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benedikt\4_FCN\data\"/>
    </mc:Choice>
  </mc:AlternateContent>
  <xr:revisionPtr revIDLastSave="0" documentId="13_ncr:1_{6CF9E1F4-E400-4705-A101-328DFF131704}" xr6:coauthVersionLast="47" xr6:coauthVersionMax="47" xr10:uidLastSave="{00000000-0000-0000-0000-000000000000}"/>
  <bookViews>
    <workbookView xWindow="-108" yWindow="-108" windowWidth="23256" windowHeight="12456" tabRatio="873" activeTab="3" xr2:uid="{00000000-000D-0000-FFFF-FFFF00000000}"/>
  </bookViews>
  <sheets>
    <sheet name="Spiele" sheetId="35" r:id="rId1"/>
    <sheet name="Spielzeiten" sheetId="41" r:id="rId2"/>
    <sheet name="Rote Karten" sheetId="39" r:id="rId3"/>
    <sheet name="Abschlüsse" sheetId="2" r:id="rId4"/>
    <sheet name="Teams" sheetId="37" r:id="rId5"/>
    <sheet name="Spieler" sheetId="40" r:id="rId6"/>
  </sheets>
  <definedNames>
    <definedName name="_xlnm._FilterDatabase" localSheetId="3" hidden="1">Abschlüsse!#REF!</definedName>
    <definedName name="Abkürzungen" localSheetId="1">Teams[TID]</definedName>
    <definedName name="Abkürzungen">Teams[TID]</definedName>
    <definedName name="Ergebnis">#REF!</definedName>
    <definedName name="Gegner">#REF!</definedName>
    <definedName name="Gruppe">#REF!</definedName>
    <definedName name="GSOG">#REF!</definedName>
    <definedName name="GSUG">#REF!</definedName>
    <definedName name="HeimGast">#REF!</definedName>
    <definedName name="HZ">#REF!</definedName>
    <definedName name="MinuteOG">#REF!</definedName>
    <definedName name="MinuteUG">#REF!</definedName>
    <definedName name="Nummern">Spieler[Nr]</definedName>
    <definedName name="Phase">#REF!</definedName>
    <definedName name="PROG">#REF!</definedName>
    <definedName name="PRUG">#REF!</definedName>
    <definedName name="Spiel">#REF!</definedName>
    <definedName name="Spielerliste">#REF!</definedName>
    <definedName name="SpielNr.">#REF!</definedName>
    <definedName name="SpieltagOG">#REF!</definedName>
    <definedName name="SpieltagUG">#REF!</definedName>
    <definedName name="Team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220" i="2" l="1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H3" i="2"/>
  <c r="I3" i="2"/>
  <c r="J3" i="2"/>
  <c r="H4" i="2"/>
  <c r="I4" i="2"/>
  <c r="J4" i="2"/>
  <c r="H5" i="2"/>
  <c r="I5" i="2"/>
  <c r="J5" i="2"/>
  <c r="H6" i="2"/>
  <c r="I6" i="2"/>
  <c r="J6" i="2"/>
  <c r="H7" i="2"/>
  <c r="I7" i="2"/>
  <c r="J7" i="2"/>
  <c r="H8" i="2"/>
  <c r="I8" i="2"/>
  <c r="J8" i="2"/>
  <c r="H9" i="2"/>
  <c r="I9" i="2"/>
  <c r="J9" i="2"/>
  <c r="H10" i="2"/>
  <c r="I10" i="2"/>
  <c r="J10" i="2"/>
  <c r="H11" i="2"/>
  <c r="I11" i="2"/>
  <c r="J11" i="2"/>
  <c r="H12" i="2"/>
  <c r="I12" i="2"/>
  <c r="J12" i="2"/>
  <c r="H13" i="2"/>
  <c r="I13" i="2"/>
  <c r="J13" i="2"/>
  <c r="H14" i="2"/>
  <c r="I14" i="2"/>
  <c r="J14" i="2"/>
  <c r="H15" i="2"/>
  <c r="I15" i="2"/>
  <c r="J15" i="2"/>
  <c r="H16" i="2"/>
  <c r="I16" i="2"/>
  <c r="J16" i="2"/>
  <c r="H17" i="2"/>
  <c r="I17" i="2"/>
  <c r="J17" i="2"/>
  <c r="H18" i="2"/>
  <c r="I18" i="2"/>
  <c r="J18" i="2"/>
  <c r="H19" i="2"/>
  <c r="I19" i="2"/>
  <c r="J19" i="2"/>
  <c r="H20" i="2"/>
  <c r="I20" i="2"/>
  <c r="J20" i="2"/>
  <c r="H21" i="2"/>
  <c r="I21" i="2"/>
  <c r="J21" i="2"/>
  <c r="H22" i="2"/>
  <c r="I22" i="2"/>
  <c r="J22" i="2"/>
  <c r="H23" i="2"/>
  <c r="I23" i="2"/>
  <c r="J23" i="2"/>
  <c r="H24" i="2"/>
  <c r="I24" i="2"/>
  <c r="J24" i="2"/>
  <c r="H25" i="2"/>
  <c r="I25" i="2"/>
  <c r="J25" i="2"/>
  <c r="H26" i="2"/>
  <c r="I26" i="2"/>
  <c r="J26" i="2"/>
  <c r="H27" i="2"/>
  <c r="I27" i="2"/>
  <c r="J27" i="2"/>
  <c r="H28" i="2"/>
  <c r="I28" i="2"/>
  <c r="J28" i="2"/>
  <c r="H29" i="2"/>
  <c r="I29" i="2"/>
  <c r="J29" i="2"/>
  <c r="H30" i="2"/>
  <c r="I30" i="2"/>
  <c r="J30" i="2"/>
  <c r="H31" i="2"/>
  <c r="I31" i="2"/>
  <c r="J31" i="2"/>
  <c r="H32" i="2"/>
  <c r="I32" i="2"/>
  <c r="J32" i="2"/>
  <c r="H33" i="2"/>
  <c r="I33" i="2"/>
  <c r="J33" i="2"/>
  <c r="H34" i="2"/>
  <c r="I34" i="2"/>
  <c r="J34" i="2"/>
  <c r="H35" i="2"/>
  <c r="I35" i="2"/>
  <c r="J35" i="2"/>
  <c r="H36" i="2"/>
  <c r="I36" i="2"/>
  <c r="J36" i="2"/>
  <c r="H37" i="2"/>
  <c r="I37" i="2"/>
  <c r="J37" i="2"/>
  <c r="H38" i="2"/>
  <c r="I38" i="2"/>
  <c r="J38" i="2"/>
  <c r="H39" i="2"/>
  <c r="I39" i="2"/>
  <c r="J39" i="2"/>
  <c r="H40" i="2"/>
  <c r="I40" i="2"/>
  <c r="J40" i="2"/>
  <c r="H41" i="2"/>
  <c r="I41" i="2"/>
  <c r="J41" i="2"/>
  <c r="H42" i="2"/>
  <c r="I42" i="2"/>
  <c r="J42" i="2"/>
  <c r="H43" i="2"/>
  <c r="I43" i="2"/>
  <c r="J43" i="2"/>
  <c r="H44" i="2"/>
  <c r="I44" i="2"/>
  <c r="J44" i="2"/>
  <c r="H45" i="2"/>
  <c r="I45" i="2"/>
  <c r="J45" i="2"/>
  <c r="H46" i="2"/>
  <c r="I46" i="2"/>
  <c r="J46" i="2"/>
  <c r="H47" i="2"/>
  <c r="I47" i="2"/>
  <c r="J47" i="2"/>
  <c r="H48" i="2"/>
  <c r="I48" i="2"/>
  <c r="J48" i="2"/>
  <c r="H49" i="2"/>
  <c r="I49" i="2"/>
  <c r="J49" i="2"/>
  <c r="H50" i="2"/>
  <c r="I50" i="2"/>
  <c r="J50" i="2"/>
  <c r="H51" i="2"/>
  <c r="I51" i="2"/>
  <c r="J51" i="2"/>
  <c r="H52" i="2"/>
  <c r="I52" i="2"/>
  <c r="J52" i="2"/>
  <c r="H53" i="2"/>
  <c r="I53" i="2"/>
  <c r="J53" i="2"/>
  <c r="H54" i="2"/>
  <c r="I54" i="2"/>
  <c r="J54" i="2"/>
  <c r="H55" i="2"/>
  <c r="I55" i="2"/>
  <c r="J55" i="2"/>
  <c r="H56" i="2"/>
  <c r="I56" i="2"/>
  <c r="J56" i="2"/>
  <c r="H57" i="2"/>
  <c r="I57" i="2"/>
  <c r="J57" i="2"/>
  <c r="H58" i="2"/>
  <c r="I58" i="2"/>
  <c r="J58" i="2"/>
  <c r="H59" i="2"/>
  <c r="I59" i="2"/>
  <c r="J59" i="2"/>
  <c r="H60" i="2"/>
  <c r="I60" i="2"/>
  <c r="J60" i="2"/>
  <c r="H61" i="2"/>
  <c r="I61" i="2"/>
  <c r="J61" i="2"/>
  <c r="H62" i="2"/>
  <c r="I62" i="2"/>
  <c r="J62" i="2"/>
  <c r="H63" i="2"/>
  <c r="I63" i="2"/>
  <c r="J63" i="2"/>
  <c r="H64" i="2"/>
  <c r="I64" i="2"/>
  <c r="J64" i="2"/>
  <c r="H65" i="2"/>
  <c r="I65" i="2"/>
  <c r="J65" i="2"/>
  <c r="H66" i="2"/>
  <c r="I66" i="2"/>
  <c r="J66" i="2"/>
  <c r="H67" i="2"/>
  <c r="I67" i="2"/>
  <c r="J67" i="2"/>
  <c r="H68" i="2"/>
  <c r="I68" i="2"/>
  <c r="J68" i="2"/>
  <c r="H69" i="2"/>
  <c r="I69" i="2"/>
  <c r="J69" i="2"/>
  <c r="H70" i="2"/>
  <c r="I70" i="2"/>
  <c r="J70" i="2"/>
  <c r="H71" i="2"/>
  <c r="I71" i="2"/>
  <c r="J71" i="2"/>
  <c r="H72" i="2"/>
  <c r="I72" i="2"/>
  <c r="J72" i="2"/>
  <c r="H73" i="2"/>
  <c r="I73" i="2"/>
  <c r="J73" i="2"/>
  <c r="H74" i="2"/>
  <c r="I74" i="2"/>
  <c r="J74" i="2"/>
  <c r="H75" i="2"/>
  <c r="I75" i="2"/>
  <c r="J75" i="2"/>
  <c r="H76" i="2"/>
  <c r="I76" i="2"/>
  <c r="J76" i="2"/>
  <c r="H77" i="2"/>
  <c r="I77" i="2"/>
  <c r="J77" i="2"/>
  <c r="H78" i="2"/>
  <c r="I78" i="2"/>
  <c r="J78" i="2"/>
  <c r="H79" i="2"/>
  <c r="I79" i="2"/>
  <c r="J79" i="2"/>
  <c r="H80" i="2"/>
  <c r="I80" i="2"/>
  <c r="J80" i="2"/>
  <c r="H81" i="2"/>
  <c r="I81" i="2"/>
  <c r="J81" i="2"/>
  <c r="H82" i="2"/>
  <c r="I82" i="2"/>
  <c r="J82" i="2"/>
  <c r="H83" i="2"/>
  <c r="I83" i="2"/>
  <c r="J83" i="2"/>
  <c r="H84" i="2"/>
  <c r="I84" i="2"/>
  <c r="J84" i="2"/>
  <c r="H85" i="2"/>
  <c r="I85" i="2"/>
  <c r="J85" i="2"/>
  <c r="H86" i="2"/>
  <c r="I86" i="2"/>
  <c r="J86" i="2"/>
  <c r="H87" i="2"/>
  <c r="I87" i="2"/>
  <c r="J87" i="2"/>
  <c r="H88" i="2"/>
  <c r="I88" i="2"/>
  <c r="J88" i="2"/>
  <c r="H89" i="2"/>
  <c r="I89" i="2"/>
  <c r="J89" i="2"/>
  <c r="H90" i="2"/>
  <c r="I90" i="2"/>
  <c r="J90" i="2"/>
  <c r="H91" i="2"/>
  <c r="I91" i="2"/>
  <c r="J91" i="2"/>
  <c r="H92" i="2"/>
  <c r="I92" i="2"/>
  <c r="J92" i="2"/>
  <c r="H93" i="2"/>
  <c r="I93" i="2"/>
  <c r="J93" i="2"/>
  <c r="H94" i="2"/>
  <c r="I94" i="2"/>
  <c r="J94" i="2"/>
  <c r="H95" i="2"/>
  <c r="I95" i="2"/>
  <c r="J95" i="2"/>
  <c r="H96" i="2"/>
  <c r="I96" i="2"/>
  <c r="J96" i="2"/>
  <c r="H97" i="2"/>
  <c r="I97" i="2"/>
  <c r="J97" i="2"/>
  <c r="H98" i="2"/>
  <c r="I98" i="2"/>
  <c r="J98" i="2"/>
  <c r="H99" i="2"/>
  <c r="I99" i="2"/>
  <c r="J99" i="2"/>
  <c r="H100" i="2"/>
  <c r="I100" i="2"/>
  <c r="J100" i="2"/>
  <c r="H101" i="2"/>
  <c r="I101" i="2"/>
  <c r="J101" i="2"/>
  <c r="H102" i="2"/>
  <c r="I102" i="2"/>
  <c r="J102" i="2"/>
  <c r="H103" i="2"/>
  <c r="I103" i="2"/>
  <c r="J103" i="2"/>
  <c r="H104" i="2"/>
  <c r="I104" i="2"/>
  <c r="J104" i="2"/>
  <c r="H105" i="2"/>
  <c r="I105" i="2"/>
  <c r="J105" i="2"/>
  <c r="H106" i="2"/>
  <c r="I106" i="2"/>
  <c r="J106" i="2"/>
  <c r="H107" i="2"/>
  <c r="I107" i="2"/>
  <c r="J107" i="2"/>
  <c r="H108" i="2"/>
  <c r="I108" i="2"/>
  <c r="J108" i="2"/>
  <c r="H109" i="2"/>
  <c r="I109" i="2"/>
  <c r="J109" i="2"/>
  <c r="H110" i="2"/>
  <c r="I110" i="2"/>
  <c r="J110" i="2"/>
  <c r="H111" i="2"/>
  <c r="I111" i="2"/>
  <c r="J111" i="2"/>
  <c r="H112" i="2"/>
  <c r="I112" i="2"/>
  <c r="J112" i="2"/>
  <c r="H113" i="2"/>
  <c r="I113" i="2"/>
  <c r="J113" i="2"/>
  <c r="H114" i="2"/>
  <c r="I114" i="2"/>
  <c r="J114" i="2"/>
  <c r="H115" i="2"/>
  <c r="I115" i="2"/>
  <c r="J115" i="2"/>
  <c r="H116" i="2"/>
  <c r="I116" i="2"/>
  <c r="J116" i="2"/>
  <c r="H117" i="2"/>
  <c r="I117" i="2"/>
  <c r="J117" i="2"/>
  <c r="H118" i="2"/>
  <c r="I118" i="2"/>
  <c r="J118" i="2"/>
  <c r="H119" i="2"/>
  <c r="I119" i="2"/>
  <c r="J119" i="2"/>
  <c r="H120" i="2"/>
  <c r="I120" i="2"/>
  <c r="J120" i="2"/>
  <c r="H121" i="2"/>
  <c r="I121" i="2"/>
  <c r="J121" i="2"/>
  <c r="H122" i="2"/>
  <c r="I122" i="2"/>
  <c r="J122" i="2"/>
  <c r="H123" i="2"/>
  <c r="I123" i="2"/>
  <c r="J123" i="2"/>
  <c r="H124" i="2"/>
  <c r="I124" i="2"/>
  <c r="J124" i="2"/>
  <c r="H125" i="2"/>
  <c r="I125" i="2"/>
  <c r="J125" i="2"/>
  <c r="H126" i="2"/>
  <c r="I126" i="2"/>
  <c r="J126" i="2"/>
  <c r="H127" i="2"/>
  <c r="I127" i="2"/>
  <c r="J127" i="2"/>
  <c r="H128" i="2"/>
  <c r="I128" i="2"/>
  <c r="J128" i="2"/>
  <c r="H129" i="2"/>
  <c r="I129" i="2"/>
  <c r="J129" i="2"/>
  <c r="H130" i="2"/>
  <c r="I130" i="2"/>
  <c r="J130" i="2"/>
  <c r="H131" i="2"/>
  <c r="I131" i="2"/>
  <c r="J131" i="2"/>
  <c r="H132" i="2"/>
  <c r="I132" i="2"/>
  <c r="J132" i="2"/>
  <c r="H133" i="2"/>
  <c r="I133" i="2"/>
  <c r="J133" i="2"/>
  <c r="H134" i="2"/>
  <c r="I134" i="2"/>
  <c r="J134" i="2"/>
  <c r="H135" i="2"/>
  <c r="I135" i="2"/>
  <c r="J135" i="2"/>
  <c r="H136" i="2"/>
  <c r="I136" i="2"/>
  <c r="J136" i="2"/>
  <c r="H137" i="2"/>
  <c r="I137" i="2"/>
  <c r="J137" i="2"/>
  <c r="H138" i="2"/>
  <c r="I138" i="2"/>
  <c r="J138" i="2"/>
  <c r="H139" i="2"/>
  <c r="I139" i="2"/>
  <c r="J139" i="2"/>
  <c r="H140" i="2"/>
  <c r="I140" i="2"/>
  <c r="J140" i="2"/>
  <c r="H141" i="2"/>
  <c r="I141" i="2"/>
  <c r="J141" i="2"/>
  <c r="H142" i="2"/>
  <c r="I142" i="2"/>
  <c r="J142" i="2"/>
  <c r="H143" i="2"/>
  <c r="I143" i="2"/>
  <c r="J143" i="2"/>
  <c r="H144" i="2"/>
  <c r="I144" i="2"/>
  <c r="J144" i="2"/>
  <c r="H145" i="2"/>
  <c r="I145" i="2"/>
  <c r="J145" i="2"/>
  <c r="H146" i="2"/>
  <c r="I146" i="2"/>
  <c r="J146" i="2"/>
  <c r="H147" i="2"/>
  <c r="I147" i="2"/>
  <c r="J147" i="2"/>
  <c r="H148" i="2"/>
  <c r="I148" i="2"/>
  <c r="J148" i="2"/>
  <c r="H149" i="2"/>
  <c r="I149" i="2"/>
  <c r="J149" i="2"/>
  <c r="H150" i="2"/>
  <c r="I150" i="2"/>
  <c r="J150" i="2"/>
  <c r="H151" i="2"/>
  <c r="I151" i="2"/>
  <c r="J151" i="2"/>
  <c r="H152" i="2"/>
  <c r="I152" i="2"/>
  <c r="J152" i="2"/>
  <c r="H153" i="2"/>
  <c r="I153" i="2"/>
  <c r="J153" i="2"/>
  <c r="H154" i="2"/>
  <c r="I154" i="2"/>
  <c r="J154" i="2"/>
  <c r="H155" i="2"/>
  <c r="I155" i="2"/>
  <c r="J155" i="2"/>
  <c r="H156" i="2"/>
  <c r="I156" i="2"/>
  <c r="J156" i="2"/>
  <c r="H157" i="2"/>
  <c r="I157" i="2"/>
  <c r="J157" i="2"/>
  <c r="H158" i="2"/>
  <c r="I158" i="2"/>
  <c r="J158" i="2"/>
  <c r="H159" i="2"/>
  <c r="I159" i="2"/>
  <c r="J159" i="2"/>
  <c r="H160" i="2"/>
  <c r="I160" i="2"/>
  <c r="J160" i="2"/>
  <c r="H161" i="2"/>
  <c r="I161" i="2"/>
  <c r="J161" i="2"/>
  <c r="H162" i="2"/>
  <c r="I162" i="2"/>
  <c r="J162" i="2"/>
  <c r="H163" i="2"/>
  <c r="I163" i="2"/>
  <c r="J163" i="2"/>
  <c r="H164" i="2"/>
  <c r="I164" i="2"/>
  <c r="J164" i="2"/>
  <c r="H165" i="2"/>
  <c r="I165" i="2"/>
  <c r="J165" i="2"/>
  <c r="H166" i="2"/>
  <c r="I166" i="2"/>
  <c r="J166" i="2"/>
  <c r="H167" i="2"/>
  <c r="I167" i="2"/>
  <c r="J167" i="2"/>
  <c r="H168" i="2"/>
  <c r="I168" i="2"/>
  <c r="J168" i="2"/>
  <c r="H169" i="2"/>
  <c r="I169" i="2"/>
  <c r="J169" i="2"/>
  <c r="H170" i="2"/>
  <c r="I170" i="2"/>
  <c r="J170" i="2"/>
  <c r="H171" i="2"/>
  <c r="I171" i="2"/>
  <c r="J171" i="2"/>
  <c r="H172" i="2"/>
  <c r="I172" i="2"/>
  <c r="J172" i="2"/>
  <c r="H173" i="2"/>
  <c r="I173" i="2"/>
  <c r="J173" i="2"/>
  <c r="H174" i="2"/>
  <c r="I174" i="2"/>
  <c r="J174" i="2"/>
  <c r="H175" i="2"/>
  <c r="I175" i="2"/>
  <c r="J175" i="2"/>
  <c r="H176" i="2"/>
  <c r="I176" i="2"/>
  <c r="J176" i="2"/>
  <c r="H177" i="2"/>
  <c r="I177" i="2"/>
  <c r="J177" i="2"/>
  <c r="H178" i="2"/>
  <c r="I178" i="2"/>
  <c r="J178" i="2"/>
  <c r="H179" i="2"/>
  <c r="I179" i="2"/>
  <c r="J179" i="2"/>
  <c r="H180" i="2"/>
  <c r="I180" i="2"/>
  <c r="J180" i="2"/>
  <c r="H181" i="2"/>
  <c r="I181" i="2"/>
  <c r="J181" i="2"/>
  <c r="H182" i="2"/>
  <c r="I182" i="2"/>
  <c r="J182" i="2"/>
  <c r="H183" i="2"/>
  <c r="I183" i="2"/>
  <c r="J183" i="2"/>
  <c r="H184" i="2"/>
  <c r="I184" i="2"/>
  <c r="J184" i="2"/>
  <c r="H185" i="2"/>
  <c r="I185" i="2"/>
  <c r="J185" i="2"/>
  <c r="H186" i="2"/>
  <c r="I186" i="2"/>
  <c r="J186" i="2"/>
  <c r="H187" i="2"/>
  <c r="I187" i="2"/>
  <c r="J187" i="2"/>
  <c r="H188" i="2"/>
  <c r="I188" i="2"/>
  <c r="J188" i="2"/>
  <c r="H189" i="2"/>
  <c r="I189" i="2"/>
  <c r="J189" i="2"/>
  <c r="H190" i="2"/>
  <c r="I190" i="2"/>
  <c r="J190" i="2"/>
  <c r="H191" i="2"/>
  <c r="I191" i="2"/>
  <c r="J191" i="2"/>
  <c r="H192" i="2"/>
  <c r="I192" i="2"/>
  <c r="J192" i="2"/>
  <c r="H193" i="2"/>
  <c r="I193" i="2"/>
  <c r="J193" i="2"/>
  <c r="H194" i="2"/>
  <c r="I194" i="2"/>
  <c r="J194" i="2"/>
  <c r="H195" i="2"/>
  <c r="I195" i="2"/>
  <c r="J195" i="2"/>
  <c r="H196" i="2"/>
  <c r="I196" i="2"/>
  <c r="J196" i="2"/>
  <c r="H197" i="2"/>
  <c r="I197" i="2"/>
  <c r="J197" i="2"/>
  <c r="H198" i="2"/>
  <c r="I198" i="2"/>
  <c r="J198" i="2"/>
  <c r="H199" i="2"/>
  <c r="I199" i="2"/>
  <c r="J199" i="2"/>
  <c r="H200" i="2"/>
  <c r="I200" i="2"/>
  <c r="J200" i="2"/>
  <c r="H201" i="2"/>
  <c r="I201" i="2"/>
  <c r="J201" i="2"/>
  <c r="H202" i="2"/>
  <c r="I202" i="2"/>
  <c r="J202" i="2"/>
  <c r="H203" i="2"/>
  <c r="I203" i="2"/>
  <c r="J203" i="2"/>
  <c r="H204" i="2"/>
  <c r="I204" i="2"/>
  <c r="J204" i="2"/>
  <c r="H205" i="2"/>
  <c r="I205" i="2"/>
  <c r="J205" i="2"/>
  <c r="H206" i="2"/>
  <c r="I206" i="2"/>
  <c r="J206" i="2"/>
  <c r="H207" i="2"/>
  <c r="I207" i="2"/>
  <c r="J207" i="2"/>
  <c r="H208" i="2"/>
  <c r="I208" i="2"/>
  <c r="J208" i="2"/>
  <c r="H209" i="2"/>
  <c r="I209" i="2"/>
  <c r="J209" i="2"/>
  <c r="H210" i="2"/>
  <c r="I210" i="2"/>
  <c r="J210" i="2"/>
  <c r="H211" i="2"/>
  <c r="I211" i="2"/>
  <c r="J211" i="2"/>
  <c r="H212" i="2"/>
  <c r="I212" i="2"/>
  <c r="J212" i="2"/>
  <c r="H213" i="2"/>
  <c r="I213" i="2"/>
  <c r="J213" i="2"/>
  <c r="H214" i="2"/>
  <c r="I214" i="2"/>
  <c r="J214" i="2"/>
  <c r="H215" i="2"/>
  <c r="I215" i="2"/>
  <c r="J215" i="2"/>
  <c r="H216" i="2"/>
  <c r="I216" i="2"/>
  <c r="J216" i="2"/>
  <c r="H217" i="2"/>
  <c r="I217" i="2"/>
  <c r="J217" i="2"/>
  <c r="H218" i="2"/>
  <c r="I218" i="2"/>
  <c r="J218" i="2"/>
  <c r="H219" i="2"/>
  <c r="I219" i="2"/>
  <c r="J219" i="2"/>
  <c r="H220" i="2"/>
  <c r="I220" i="2"/>
  <c r="J220" i="2"/>
  <c r="H221" i="2"/>
  <c r="I221" i="2"/>
  <c r="J221" i="2"/>
  <c r="H222" i="2"/>
  <c r="I222" i="2"/>
  <c r="J222" i="2"/>
  <c r="H223" i="2"/>
  <c r="I223" i="2"/>
  <c r="J223" i="2"/>
  <c r="H224" i="2"/>
  <c r="I224" i="2"/>
  <c r="J224" i="2"/>
  <c r="H225" i="2"/>
  <c r="I225" i="2"/>
  <c r="J225" i="2"/>
  <c r="H226" i="2"/>
  <c r="I226" i="2"/>
  <c r="J226" i="2"/>
  <c r="H227" i="2"/>
  <c r="I227" i="2"/>
  <c r="J227" i="2"/>
  <c r="H228" i="2"/>
  <c r="I228" i="2"/>
  <c r="J228" i="2"/>
  <c r="H229" i="2"/>
  <c r="I229" i="2"/>
  <c r="J229" i="2"/>
  <c r="H230" i="2"/>
  <c r="I230" i="2"/>
  <c r="J230" i="2"/>
  <c r="H231" i="2"/>
  <c r="I231" i="2"/>
  <c r="J231" i="2"/>
  <c r="H232" i="2"/>
  <c r="I232" i="2"/>
  <c r="J232" i="2"/>
  <c r="H233" i="2"/>
  <c r="I233" i="2"/>
  <c r="J233" i="2"/>
  <c r="H234" i="2"/>
  <c r="I234" i="2"/>
  <c r="J234" i="2"/>
  <c r="H235" i="2"/>
  <c r="I235" i="2"/>
  <c r="J235" i="2"/>
  <c r="H236" i="2"/>
  <c r="I236" i="2"/>
  <c r="J236" i="2"/>
  <c r="H237" i="2"/>
  <c r="I237" i="2"/>
  <c r="J237" i="2"/>
  <c r="H238" i="2"/>
  <c r="I238" i="2"/>
  <c r="J238" i="2"/>
  <c r="H239" i="2"/>
  <c r="I239" i="2"/>
  <c r="J239" i="2"/>
  <c r="H240" i="2"/>
  <c r="I240" i="2"/>
  <c r="J240" i="2"/>
  <c r="H241" i="2"/>
  <c r="I241" i="2"/>
  <c r="J241" i="2"/>
  <c r="H242" i="2"/>
  <c r="I242" i="2"/>
  <c r="J242" i="2"/>
  <c r="H243" i="2"/>
  <c r="I243" i="2"/>
  <c r="J243" i="2"/>
  <c r="H244" i="2"/>
  <c r="I244" i="2"/>
  <c r="J244" i="2"/>
  <c r="H245" i="2"/>
  <c r="I245" i="2"/>
  <c r="J245" i="2"/>
  <c r="H246" i="2"/>
  <c r="I246" i="2"/>
  <c r="J246" i="2"/>
  <c r="H247" i="2"/>
  <c r="I247" i="2"/>
  <c r="J247" i="2"/>
  <c r="H248" i="2"/>
  <c r="I248" i="2"/>
  <c r="J248" i="2"/>
  <c r="H249" i="2"/>
  <c r="I249" i="2"/>
  <c r="J249" i="2"/>
  <c r="H250" i="2"/>
  <c r="I250" i="2"/>
  <c r="J250" i="2"/>
  <c r="H251" i="2"/>
  <c r="I251" i="2"/>
  <c r="J251" i="2"/>
  <c r="H252" i="2"/>
  <c r="I252" i="2"/>
  <c r="J252" i="2"/>
  <c r="H253" i="2"/>
  <c r="I253" i="2"/>
  <c r="J253" i="2"/>
  <c r="H254" i="2"/>
  <c r="I254" i="2"/>
  <c r="J254" i="2"/>
  <c r="AN181" i="2"/>
  <c r="AR172" i="2"/>
  <c r="AE174" i="2"/>
  <c r="AN222" i="2"/>
  <c r="G194" i="41"/>
  <c r="G195" i="41"/>
  <c r="G196" i="41"/>
  <c r="G197" i="41"/>
  <c r="G198" i="41"/>
  <c r="G199" i="41"/>
  <c r="G200" i="41"/>
  <c r="G201" i="41"/>
  <c r="G202" i="41"/>
  <c r="G203" i="41"/>
  <c r="G204" i="41"/>
  <c r="G205" i="41"/>
  <c r="G206" i="41"/>
  <c r="G207" i="41"/>
  <c r="G208" i="41"/>
  <c r="G209" i="41"/>
  <c r="G15" i="35"/>
  <c r="C244" i="2"/>
  <c r="D244" i="2"/>
  <c r="C232" i="2"/>
  <c r="C230" i="2"/>
  <c r="J2" i="2"/>
  <c r="I2" i="2"/>
  <c r="C204" i="2"/>
  <c r="D204" i="2"/>
  <c r="C192" i="2"/>
  <c r="D192" i="2"/>
  <c r="C167" i="2"/>
  <c r="D167" i="2"/>
  <c r="C217" i="2"/>
  <c r="C207" i="2"/>
  <c r="D207" i="2"/>
  <c r="C189" i="2"/>
  <c r="D189" i="2"/>
  <c r="C122" i="2"/>
  <c r="D122" i="2"/>
  <c r="C121" i="2"/>
  <c r="D121" i="2"/>
  <c r="C120" i="2"/>
  <c r="D120" i="2"/>
  <c r="C91" i="2"/>
  <c r="C30" i="2"/>
  <c r="D30" i="2"/>
  <c r="C4" i="2"/>
  <c r="D4" i="2"/>
  <c r="C11" i="2"/>
  <c r="C173" i="2"/>
  <c r="D173" i="2"/>
  <c r="C3" i="2"/>
  <c r="D3" i="2"/>
  <c r="C5" i="2"/>
  <c r="D5" i="2"/>
  <c r="C6" i="2"/>
  <c r="D6" i="2"/>
  <c r="C7" i="2"/>
  <c r="D7" i="2"/>
  <c r="C8" i="2"/>
  <c r="D8" i="2"/>
  <c r="C9" i="2"/>
  <c r="D9" i="2"/>
  <c r="C10" i="2"/>
  <c r="D10" i="2"/>
  <c r="D11" i="2"/>
  <c r="C12" i="2"/>
  <c r="D12" i="2"/>
  <c r="C13" i="2"/>
  <c r="D13" i="2"/>
  <c r="C14" i="2"/>
  <c r="D14" i="2"/>
  <c r="C15" i="2"/>
  <c r="D15" i="2"/>
  <c r="C16" i="2"/>
  <c r="D16" i="2"/>
  <c r="C17" i="2"/>
  <c r="D17" i="2"/>
  <c r="C18" i="2"/>
  <c r="D18" i="2"/>
  <c r="C19" i="2"/>
  <c r="D19" i="2"/>
  <c r="C20" i="2"/>
  <c r="D20" i="2"/>
  <c r="C21" i="2"/>
  <c r="D21" i="2"/>
  <c r="C22" i="2"/>
  <c r="D22" i="2"/>
  <c r="C23" i="2"/>
  <c r="D23" i="2"/>
  <c r="C24" i="2"/>
  <c r="D24" i="2"/>
  <c r="C25" i="2"/>
  <c r="D25" i="2"/>
  <c r="C26" i="2"/>
  <c r="D26" i="2"/>
  <c r="C27" i="2"/>
  <c r="D27" i="2"/>
  <c r="C28" i="2"/>
  <c r="D28" i="2"/>
  <c r="C29" i="2"/>
  <c r="D29" i="2"/>
  <c r="C31" i="2"/>
  <c r="D31" i="2"/>
  <c r="C32" i="2"/>
  <c r="D32" i="2"/>
  <c r="C33" i="2"/>
  <c r="D33" i="2"/>
  <c r="C34" i="2"/>
  <c r="D34" i="2"/>
  <c r="C35" i="2"/>
  <c r="D35" i="2"/>
  <c r="C36" i="2"/>
  <c r="D36" i="2"/>
  <c r="C37" i="2"/>
  <c r="D37" i="2"/>
  <c r="C38" i="2"/>
  <c r="D38" i="2"/>
  <c r="C39" i="2"/>
  <c r="D39" i="2"/>
  <c r="C40" i="2"/>
  <c r="D40" i="2"/>
  <c r="C41" i="2"/>
  <c r="D41" i="2"/>
  <c r="C42" i="2"/>
  <c r="D42" i="2"/>
  <c r="C43" i="2"/>
  <c r="D43" i="2"/>
  <c r="C44" i="2"/>
  <c r="D44" i="2"/>
  <c r="C45" i="2"/>
  <c r="D45" i="2"/>
  <c r="C46" i="2"/>
  <c r="D46" i="2"/>
  <c r="C47" i="2"/>
  <c r="D47" i="2"/>
  <c r="C48" i="2"/>
  <c r="D48" i="2"/>
  <c r="C49" i="2"/>
  <c r="D49" i="2"/>
  <c r="C50" i="2"/>
  <c r="D50" i="2"/>
  <c r="C51" i="2"/>
  <c r="D51" i="2"/>
  <c r="C52" i="2"/>
  <c r="D52" i="2"/>
  <c r="C53" i="2"/>
  <c r="D53" i="2"/>
  <c r="C54" i="2"/>
  <c r="D54" i="2"/>
  <c r="C55" i="2"/>
  <c r="D55" i="2"/>
  <c r="C56" i="2"/>
  <c r="D56" i="2"/>
  <c r="C57" i="2"/>
  <c r="D57" i="2"/>
  <c r="C58" i="2"/>
  <c r="D58" i="2"/>
  <c r="C59" i="2"/>
  <c r="D59" i="2"/>
  <c r="C60" i="2"/>
  <c r="D60" i="2"/>
  <c r="C61" i="2"/>
  <c r="D61" i="2"/>
  <c r="C62" i="2"/>
  <c r="D62" i="2"/>
  <c r="C63" i="2"/>
  <c r="D63" i="2"/>
  <c r="C64" i="2"/>
  <c r="D64" i="2"/>
  <c r="C65" i="2"/>
  <c r="D65" i="2"/>
  <c r="C66" i="2"/>
  <c r="D66" i="2"/>
  <c r="C67" i="2"/>
  <c r="D67" i="2"/>
  <c r="C68" i="2"/>
  <c r="D68" i="2"/>
  <c r="C69" i="2"/>
  <c r="D69" i="2"/>
  <c r="C70" i="2"/>
  <c r="D70" i="2"/>
  <c r="C71" i="2"/>
  <c r="D71" i="2"/>
  <c r="C72" i="2"/>
  <c r="D72" i="2"/>
  <c r="C73" i="2"/>
  <c r="D73" i="2"/>
  <c r="C74" i="2"/>
  <c r="D74" i="2"/>
  <c r="C75" i="2"/>
  <c r="D75" i="2"/>
  <c r="C76" i="2"/>
  <c r="D76" i="2"/>
  <c r="C77" i="2"/>
  <c r="D77" i="2"/>
  <c r="C78" i="2"/>
  <c r="D78" i="2"/>
  <c r="C79" i="2"/>
  <c r="D79" i="2"/>
  <c r="C80" i="2"/>
  <c r="D80" i="2"/>
  <c r="C81" i="2"/>
  <c r="D81" i="2"/>
  <c r="C82" i="2"/>
  <c r="D82" i="2"/>
  <c r="C83" i="2"/>
  <c r="D83" i="2"/>
  <c r="C84" i="2"/>
  <c r="D84" i="2"/>
  <c r="C85" i="2"/>
  <c r="D85" i="2"/>
  <c r="C86" i="2"/>
  <c r="D86" i="2"/>
  <c r="C87" i="2"/>
  <c r="D87" i="2"/>
  <c r="C88" i="2"/>
  <c r="D88" i="2"/>
  <c r="C89" i="2"/>
  <c r="D89" i="2"/>
  <c r="C90" i="2"/>
  <c r="D90" i="2"/>
  <c r="D91" i="2"/>
  <c r="C92" i="2"/>
  <c r="D92" i="2"/>
  <c r="C93" i="2"/>
  <c r="D93" i="2"/>
  <c r="C94" i="2"/>
  <c r="D94" i="2"/>
  <c r="C95" i="2"/>
  <c r="D95" i="2"/>
  <c r="C96" i="2"/>
  <c r="D96" i="2"/>
  <c r="C97" i="2"/>
  <c r="D97" i="2"/>
  <c r="C98" i="2"/>
  <c r="D98" i="2"/>
  <c r="C99" i="2"/>
  <c r="D99" i="2"/>
  <c r="C100" i="2"/>
  <c r="D100" i="2"/>
  <c r="C101" i="2"/>
  <c r="D101" i="2"/>
  <c r="C102" i="2"/>
  <c r="D102" i="2"/>
  <c r="C103" i="2"/>
  <c r="D103" i="2"/>
  <c r="C104" i="2"/>
  <c r="D104" i="2"/>
  <c r="C105" i="2"/>
  <c r="D105" i="2"/>
  <c r="C106" i="2"/>
  <c r="D106" i="2"/>
  <c r="C107" i="2"/>
  <c r="D107" i="2"/>
  <c r="C108" i="2"/>
  <c r="D108" i="2"/>
  <c r="C109" i="2"/>
  <c r="D109" i="2"/>
  <c r="C110" i="2"/>
  <c r="D110" i="2"/>
  <c r="C111" i="2"/>
  <c r="D111" i="2"/>
  <c r="C112" i="2"/>
  <c r="D112" i="2"/>
  <c r="C113" i="2"/>
  <c r="D113" i="2"/>
  <c r="C114" i="2"/>
  <c r="D114" i="2"/>
  <c r="C115" i="2"/>
  <c r="D115" i="2"/>
  <c r="C116" i="2"/>
  <c r="D116" i="2"/>
  <c r="C117" i="2"/>
  <c r="D117" i="2"/>
  <c r="C118" i="2"/>
  <c r="D118" i="2"/>
  <c r="C119" i="2"/>
  <c r="D119" i="2"/>
  <c r="C123" i="2"/>
  <c r="D123" i="2"/>
  <c r="C124" i="2"/>
  <c r="D124" i="2"/>
  <c r="C125" i="2"/>
  <c r="D125" i="2"/>
  <c r="C126" i="2"/>
  <c r="D126" i="2"/>
  <c r="C127" i="2"/>
  <c r="D127" i="2"/>
  <c r="C128" i="2"/>
  <c r="D128" i="2"/>
  <c r="C129" i="2"/>
  <c r="D129" i="2"/>
  <c r="C130" i="2"/>
  <c r="D130" i="2"/>
  <c r="C131" i="2"/>
  <c r="D131" i="2"/>
  <c r="C132" i="2"/>
  <c r="D132" i="2"/>
  <c r="C133" i="2"/>
  <c r="D133" i="2"/>
  <c r="C134" i="2"/>
  <c r="D134" i="2"/>
  <c r="C135" i="2"/>
  <c r="D135" i="2"/>
  <c r="C136" i="2"/>
  <c r="D136" i="2"/>
  <c r="C137" i="2"/>
  <c r="D137" i="2"/>
  <c r="C138" i="2"/>
  <c r="D138" i="2"/>
  <c r="C139" i="2"/>
  <c r="D139" i="2"/>
  <c r="C140" i="2"/>
  <c r="D140" i="2"/>
  <c r="C141" i="2"/>
  <c r="D141" i="2"/>
  <c r="C142" i="2"/>
  <c r="D142" i="2"/>
  <c r="C143" i="2"/>
  <c r="D143" i="2"/>
  <c r="C144" i="2"/>
  <c r="D144" i="2"/>
  <c r="C145" i="2"/>
  <c r="D145" i="2"/>
  <c r="C146" i="2"/>
  <c r="D146" i="2"/>
  <c r="C147" i="2"/>
  <c r="D147" i="2"/>
  <c r="C148" i="2"/>
  <c r="D148" i="2"/>
  <c r="C149" i="2"/>
  <c r="D149" i="2"/>
  <c r="C150" i="2"/>
  <c r="D150" i="2"/>
  <c r="C151" i="2"/>
  <c r="D151" i="2"/>
  <c r="C152" i="2"/>
  <c r="D152" i="2"/>
  <c r="C153" i="2"/>
  <c r="D153" i="2"/>
  <c r="C154" i="2"/>
  <c r="D154" i="2"/>
  <c r="C155" i="2"/>
  <c r="D155" i="2"/>
  <c r="C156" i="2"/>
  <c r="D156" i="2"/>
  <c r="C157" i="2"/>
  <c r="D157" i="2"/>
  <c r="C158" i="2"/>
  <c r="D158" i="2"/>
  <c r="C159" i="2"/>
  <c r="D159" i="2"/>
  <c r="C160" i="2"/>
  <c r="D160" i="2"/>
  <c r="C161" i="2"/>
  <c r="D161" i="2"/>
  <c r="C162" i="2"/>
  <c r="D162" i="2"/>
  <c r="C163" i="2"/>
  <c r="D163" i="2"/>
  <c r="C164" i="2"/>
  <c r="D164" i="2"/>
  <c r="C165" i="2"/>
  <c r="D165" i="2"/>
  <c r="C166" i="2"/>
  <c r="D166" i="2"/>
  <c r="C168" i="2"/>
  <c r="D168" i="2"/>
  <c r="C169" i="2"/>
  <c r="D169" i="2"/>
  <c r="C170" i="2"/>
  <c r="D170" i="2"/>
  <c r="C171" i="2"/>
  <c r="D171" i="2"/>
  <c r="C172" i="2"/>
  <c r="D172" i="2"/>
  <c r="C174" i="2"/>
  <c r="D174" i="2"/>
  <c r="C175" i="2"/>
  <c r="D175" i="2"/>
  <c r="C176" i="2"/>
  <c r="D176" i="2"/>
  <c r="C177" i="2"/>
  <c r="D177" i="2"/>
  <c r="C178" i="2"/>
  <c r="D178" i="2"/>
  <c r="C179" i="2"/>
  <c r="D179" i="2"/>
  <c r="C180" i="2"/>
  <c r="D180" i="2"/>
  <c r="C181" i="2"/>
  <c r="D181" i="2"/>
  <c r="C182" i="2"/>
  <c r="D182" i="2"/>
  <c r="C183" i="2"/>
  <c r="D183" i="2"/>
  <c r="C184" i="2"/>
  <c r="D184" i="2"/>
  <c r="C185" i="2"/>
  <c r="D185" i="2"/>
  <c r="C186" i="2"/>
  <c r="D186" i="2"/>
  <c r="C187" i="2"/>
  <c r="D187" i="2"/>
  <c r="C188" i="2"/>
  <c r="D188" i="2"/>
  <c r="C190" i="2"/>
  <c r="D190" i="2"/>
  <c r="C191" i="2"/>
  <c r="D191" i="2"/>
  <c r="C193" i="2"/>
  <c r="D193" i="2"/>
  <c r="C194" i="2"/>
  <c r="D194" i="2"/>
  <c r="C195" i="2"/>
  <c r="D195" i="2"/>
  <c r="C196" i="2"/>
  <c r="D196" i="2"/>
  <c r="C197" i="2"/>
  <c r="D197" i="2"/>
  <c r="C198" i="2"/>
  <c r="D198" i="2"/>
  <c r="C199" i="2"/>
  <c r="D199" i="2"/>
  <c r="C200" i="2"/>
  <c r="D200" i="2"/>
  <c r="C201" i="2"/>
  <c r="D201" i="2"/>
  <c r="C202" i="2"/>
  <c r="D202" i="2"/>
  <c r="C203" i="2"/>
  <c r="D203" i="2"/>
  <c r="C205" i="2"/>
  <c r="D205" i="2"/>
  <c r="C206" i="2"/>
  <c r="D206" i="2"/>
  <c r="C208" i="2"/>
  <c r="D208" i="2"/>
  <c r="C209" i="2"/>
  <c r="D209" i="2"/>
  <c r="C210" i="2"/>
  <c r="D210" i="2"/>
  <c r="C211" i="2"/>
  <c r="D211" i="2"/>
  <c r="C212" i="2"/>
  <c r="D212" i="2"/>
  <c r="C213" i="2"/>
  <c r="D213" i="2"/>
  <c r="C214" i="2"/>
  <c r="D214" i="2"/>
  <c r="C215" i="2"/>
  <c r="D215" i="2"/>
  <c r="C216" i="2"/>
  <c r="D216" i="2"/>
  <c r="D217" i="2"/>
  <c r="C218" i="2"/>
  <c r="D218" i="2"/>
  <c r="C219" i="2"/>
  <c r="D219" i="2"/>
  <c r="C220" i="2"/>
  <c r="D220" i="2"/>
  <c r="C221" i="2"/>
  <c r="D221" i="2"/>
  <c r="C222" i="2"/>
  <c r="D222" i="2"/>
  <c r="C223" i="2"/>
  <c r="D223" i="2"/>
  <c r="C224" i="2"/>
  <c r="D224" i="2"/>
  <c r="C225" i="2"/>
  <c r="D225" i="2"/>
  <c r="C226" i="2"/>
  <c r="D226" i="2"/>
  <c r="C227" i="2"/>
  <c r="D227" i="2"/>
  <c r="C228" i="2"/>
  <c r="D228" i="2"/>
  <c r="C229" i="2"/>
  <c r="D229" i="2"/>
  <c r="D230" i="2"/>
  <c r="C231" i="2"/>
  <c r="D231" i="2"/>
  <c r="D232" i="2"/>
  <c r="C233" i="2"/>
  <c r="D233" i="2"/>
  <c r="C234" i="2"/>
  <c r="D234" i="2"/>
  <c r="C235" i="2"/>
  <c r="D235" i="2"/>
  <c r="C236" i="2"/>
  <c r="D236" i="2"/>
  <c r="C237" i="2"/>
  <c r="D237" i="2"/>
  <c r="C238" i="2"/>
  <c r="D238" i="2"/>
  <c r="C239" i="2"/>
  <c r="D239" i="2"/>
  <c r="C240" i="2"/>
  <c r="D240" i="2"/>
  <c r="C241" i="2"/>
  <c r="D241" i="2"/>
  <c r="C242" i="2"/>
  <c r="D242" i="2"/>
  <c r="C243" i="2"/>
  <c r="D243" i="2"/>
  <c r="C245" i="2"/>
  <c r="D245" i="2"/>
  <c r="C246" i="2"/>
  <c r="D246" i="2"/>
  <c r="C247" i="2"/>
  <c r="D247" i="2"/>
  <c r="C248" i="2"/>
  <c r="D248" i="2"/>
  <c r="C249" i="2"/>
  <c r="D249" i="2"/>
  <c r="C250" i="2"/>
  <c r="D250" i="2"/>
  <c r="C251" i="2"/>
  <c r="D251" i="2"/>
  <c r="C252" i="2"/>
  <c r="D252" i="2"/>
  <c r="C253" i="2"/>
  <c r="D253" i="2"/>
  <c r="C254" i="2"/>
  <c r="D254" i="2"/>
  <c r="D2" i="2"/>
  <c r="C2" i="2"/>
  <c r="H15" i="35"/>
  <c r="AN190" i="2"/>
  <c r="AJ168" i="2"/>
  <c r="AE155" i="2"/>
  <c r="AR243" i="2"/>
  <c r="AR229" i="2"/>
  <c r="AE244" i="2"/>
  <c r="AF244" i="2"/>
  <c r="AJ244" i="2"/>
  <c r="AN244" i="2"/>
  <c r="AR244" i="2"/>
  <c r="G180" i="41"/>
  <c r="G181" i="41"/>
  <c r="G182" i="41"/>
  <c r="G183" i="41"/>
  <c r="G184" i="41"/>
  <c r="G185" i="41"/>
  <c r="G186" i="41"/>
  <c r="G187" i="41"/>
  <c r="G188" i="41"/>
  <c r="G189" i="41"/>
  <c r="G190" i="41"/>
  <c r="G191" i="41"/>
  <c r="G192" i="41"/>
  <c r="G193" i="41"/>
  <c r="G14" i="35"/>
  <c r="H14" i="35"/>
  <c r="AJ143" i="2"/>
  <c r="AN139" i="2"/>
  <c r="AN124" i="2"/>
  <c r="AN109" i="2"/>
  <c r="AE107" i="2"/>
  <c r="AF107" i="2"/>
  <c r="H2" i="2"/>
  <c r="G164" i="41"/>
  <c r="G165" i="41"/>
  <c r="G166" i="41"/>
  <c r="G167" i="41"/>
  <c r="G168" i="41"/>
  <c r="G169" i="41"/>
  <c r="G170" i="41"/>
  <c r="G171" i="41"/>
  <c r="G172" i="41"/>
  <c r="G173" i="41"/>
  <c r="G174" i="41"/>
  <c r="G175" i="41"/>
  <c r="G176" i="41"/>
  <c r="G177" i="41"/>
  <c r="G178" i="41"/>
  <c r="G179" i="41"/>
  <c r="G13" i="35"/>
  <c r="H13" i="35"/>
  <c r="AR83" i="2"/>
  <c r="AN80" i="2"/>
  <c r="AN68" i="2"/>
  <c r="AN62" i="2"/>
  <c r="AJ57" i="2"/>
  <c r="AN56" i="2"/>
  <c r="AE52" i="2"/>
  <c r="AJ43" i="2"/>
  <c r="AR42" i="2"/>
  <c r="AE204" i="2"/>
  <c r="AF204" i="2"/>
  <c r="AJ204" i="2"/>
  <c r="AN204" i="2"/>
  <c r="AR204" i="2"/>
  <c r="AE192" i="2"/>
  <c r="AF192" i="2"/>
  <c r="AJ192" i="2"/>
  <c r="AN192" i="2"/>
  <c r="AR192" i="2"/>
  <c r="AE167" i="2"/>
  <c r="AF167" i="2"/>
  <c r="AJ167" i="2"/>
  <c r="AN167" i="2"/>
  <c r="AR167" i="2"/>
  <c r="AE207" i="2"/>
  <c r="AF207" i="2"/>
  <c r="AJ207" i="2"/>
  <c r="AN207" i="2"/>
  <c r="AR207" i="2"/>
  <c r="AE189" i="2"/>
  <c r="AF189" i="2"/>
  <c r="AJ189" i="2"/>
  <c r="AN189" i="2"/>
  <c r="AR189" i="2"/>
  <c r="G3" i="35"/>
  <c r="H3" i="35"/>
  <c r="G4" i="35"/>
  <c r="H4" i="35"/>
  <c r="G5" i="35"/>
  <c r="H5" i="35"/>
  <c r="G6" i="35"/>
  <c r="H6" i="35"/>
  <c r="G7" i="35"/>
  <c r="H7" i="35"/>
  <c r="G8" i="35"/>
  <c r="H8" i="35"/>
  <c r="G9" i="35"/>
  <c r="H9" i="35"/>
  <c r="G10" i="35"/>
  <c r="H10" i="35"/>
  <c r="G11" i="35"/>
  <c r="H11" i="35"/>
  <c r="G12" i="35"/>
  <c r="H12" i="35"/>
  <c r="H2" i="35"/>
  <c r="G2" i="35"/>
  <c r="AE122" i="2"/>
  <c r="AF122" i="2"/>
  <c r="AJ122" i="2"/>
  <c r="AN122" i="2"/>
  <c r="AR122" i="2"/>
  <c r="AE121" i="2"/>
  <c r="AF121" i="2"/>
  <c r="AJ121" i="2"/>
  <c r="AN121" i="2"/>
  <c r="AR121" i="2"/>
  <c r="AE120" i="2"/>
  <c r="AF120" i="2"/>
  <c r="AJ120" i="2"/>
  <c r="AN120" i="2"/>
  <c r="AR120" i="2"/>
  <c r="G72" i="41"/>
  <c r="AE30" i="2"/>
  <c r="AF30" i="2"/>
  <c r="AJ30" i="2"/>
  <c r="AN30" i="2"/>
  <c r="AR30" i="2"/>
  <c r="AE4" i="2"/>
  <c r="AF4" i="2"/>
  <c r="AJ4" i="2"/>
  <c r="AN4" i="2"/>
  <c r="AR4" i="2"/>
  <c r="AE27" i="2"/>
  <c r="AJ15" i="2"/>
  <c r="AE15" i="2"/>
  <c r="AN14" i="2"/>
  <c r="AN12" i="2"/>
  <c r="AJ10" i="2"/>
  <c r="J15" i="35" l="1"/>
  <c r="I15" i="35"/>
  <c r="J14" i="35"/>
  <c r="I14" i="35"/>
  <c r="J13" i="35"/>
  <c r="I13" i="35"/>
  <c r="G17" i="41"/>
  <c r="G18" i="41"/>
  <c r="G19" i="41"/>
  <c r="G20" i="41"/>
  <c r="G21" i="41"/>
  <c r="G22" i="41"/>
  <c r="G23" i="41"/>
  <c r="G24" i="41"/>
  <c r="G25" i="41"/>
  <c r="G26" i="41"/>
  <c r="G27" i="41"/>
  <c r="G28" i="41"/>
  <c r="G29" i="41"/>
  <c r="G30" i="41"/>
  <c r="G31" i="41"/>
  <c r="G32" i="41"/>
  <c r="G33" i="41"/>
  <c r="G34" i="41"/>
  <c r="G35" i="41"/>
  <c r="G36" i="41"/>
  <c r="G37" i="41"/>
  <c r="G38" i="41"/>
  <c r="G39" i="41"/>
  <c r="G40" i="41"/>
  <c r="G41" i="41"/>
  <c r="G42" i="41"/>
  <c r="G43" i="41"/>
  <c r="G44" i="41"/>
  <c r="G45" i="41"/>
  <c r="G46" i="41"/>
  <c r="G47" i="41"/>
  <c r="G48" i="41"/>
  <c r="G49" i="41"/>
  <c r="G50" i="41"/>
  <c r="G51" i="41"/>
  <c r="G52" i="41"/>
  <c r="G53" i="41"/>
  <c r="G54" i="41"/>
  <c r="G55" i="41"/>
  <c r="G56" i="41"/>
  <c r="G57" i="41"/>
  <c r="G58" i="41"/>
  <c r="G59" i="41"/>
  <c r="G60" i="41"/>
  <c r="G61" i="41"/>
  <c r="G62" i="41"/>
  <c r="G63" i="41"/>
  <c r="G64" i="41"/>
  <c r="G65" i="41"/>
  <c r="G66" i="41"/>
  <c r="G67" i="41"/>
  <c r="G68" i="41"/>
  <c r="G69" i="41"/>
  <c r="G70" i="41"/>
  <c r="G71" i="41"/>
  <c r="G73" i="41"/>
  <c r="G74" i="41"/>
  <c r="G75" i="41"/>
  <c r="G76" i="41"/>
  <c r="G77" i="41"/>
  <c r="G78" i="41"/>
  <c r="G79" i="41"/>
  <c r="G80" i="41"/>
  <c r="G81" i="41"/>
  <c r="G82" i="41"/>
  <c r="G83" i="41"/>
  <c r="G84" i="41"/>
  <c r="G85" i="41"/>
  <c r="G86" i="41"/>
  <c r="G87" i="41"/>
  <c r="G88" i="41"/>
  <c r="G89" i="41"/>
  <c r="G90" i="41"/>
  <c r="G91" i="41"/>
  <c r="G92" i="41"/>
  <c r="G93" i="41"/>
  <c r="G94" i="41"/>
  <c r="G95" i="41"/>
  <c r="G96" i="41"/>
  <c r="G97" i="41"/>
  <c r="G98" i="41"/>
  <c r="G99" i="41"/>
  <c r="G100" i="41"/>
  <c r="G101" i="41"/>
  <c r="G102" i="41"/>
  <c r="G103" i="41"/>
  <c r="G104" i="41"/>
  <c r="G105" i="41"/>
  <c r="G106" i="41"/>
  <c r="G107" i="41"/>
  <c r="G108" i="41"/>
  <c r="G109" i="41"/>
  <c r="G110" i="41"/>
  <c r="G111" i="41"/>
  <c r="G112" i="41"/>
  <c r="G113" i="41"/>
  <c r="G114" i="41"/>
  <c r="G115" i="41"/>
  <c r="G116" i="41"/>
  <c r="G117" i="41"/>
  <c r="G118" i="41"/>
  <c r="G119" i="41"/>
  <c r="G120" i="41"/>
  <c r="G121" i="41"/>
  <c r="G122" i="41"/>
  <c r="G123" i="41"/>
  <c r="G124" i="41"/>
  <c r="G125" i="41"/>
  <c r="G126" i="41"/>
  <c r="G127" i="41"/>
  <c r="G128" i="41"/>
  <c r="G129" i="41"/>
  <c r="G130" i="41"/>
  <c r="G131" i="41"/>
  <c r="G132" i="41"/>
  <c r="G133" i="41"/>
  <c r="G134" i="41"/>
  <c r="G135" i="41"/>
  <c r="G136" i="41"/>
  <c r="G137" i="41"/>
  <c r="G138" i="41"/>
  <c r="G139" i="41"/>
  <c r="G140" i="41"/>
  <c r="G141" i="41"/>
  <c r="G142" i="41"/>
  <c r="G143" i="41"/>
  <c r="G144" i="41"/>
  <c r="G145" i="41"/>
  <c r="G146" i="41"/>
  <c r="G147" i="41"/>
  <c r="G148" i="41"/>
  <c r="G149" i="41"/>
  <c r="G150" i="41"/>
  <c r="G151" i="41"/>
  <c r="G152" i="41"/>
  <c r="G153" i="41"/>
  <c r="G154" i="41"/>
  <c r="G155" i="41"/>
  <c r="G156" i="41"/>
  <c r="G157" i="41"/>
  <c r="G158" i="41"/>
  <c r="G159" i="41"/>
  <c r="G160" i="41"/>
  <c r="G161" i="41"/>
  <c r="G162" i="41"/>
  <c r="G163" i="41"/>
  <c r="G3" i="41"/>
  <c r="G4" i="41"/>
  <c r="G5" i="41"/>
  <c r="G6" i="41"/>
  <c r="G7" i="41"/>
  <c r="G8" i="41"/>
  <c r="G9" i="41"/>
  <c r="G10" i="41"/>
  <c r="G11" i="41"/>
  <c r="G12" i="41"/>
  <c r="G13" i="41"/>
  <c r="G14" i="41"/>
  <c r="G15" i="41"/>
  <c r="G16" i="41"/>
  <c r="G2" i="41"/>
  <c r="AN215" i="2" l="1"/>
  <c r="AE182" i="2"/>
  <c r="AE175" i="2"/>
  <c r="AE173" i="2"/>
  <c r="AF173" i="2"/>
  <c r="AJ173" i="2"/>
  <c r="AN173" i="2"/>
  <c r="AR173" i="2"/>
  <c r="AN158" i="2"/>
  <c r="AN114" i="2"/>
  <c r="AJ56" i="2"/>
  <c r="AJ45" i="2"/>
  <c r="AE18" i="2"/>
  <c r="AJ2" i="2" l="1"/>
  <c r="AJ3" i="2"/>
  <c r="AJ5" i="2"/>
  <c r="AJ6" i="2"/>
  <c r="AJ7" i="2"/>
  <c r="AJ8" i="2"/>
  <c r="AJ9" i="2"/>
  <c r="AJ11" i="2"/>
  <c r="AJ12" i="2"/>
  <c r="AJ13" i="2"/>
  <c r="AJ14" i="2"/>
  <c r="AJ16" i="2"/>
  <c r="AJ17" i="2"/>
  <c r="AJ18" i="2"/>
  <c r="AJ19" i="2"/>
  <c r="AJ20" i="2"/>
  <c r="AJ21" i="2"/>
  <c r="AJ22" i="2"/>
  <c r="AJ23" i="2"/>
  <c r="AJ24" i="2"/>
  <c r="AJ25" i="2"/>
  <c r="AJ26" i="2"/>
  <c r="AJ27" i="2"/>
  <c r="AJ28" i="2"/>
  <c r="AJ29" i="2"/>
  <c r="AJ31" i="2"/>
  <c r="AJ32" i="2"/>
  <c r="AJ33" i="2"/>
  <c r="AJ34" i="2"/>
  <c r="AJ35" i="2"/>
  <c r="AJ36" i="2"/>
  <c r="AJ37" i="2"/>
  <c r="AJ38" i="2"/>
  <c r="AJ39" i="2"/>
  <c r="AJ40" i="2"/>
  <c r="AJ41" i="2"/>
  <c r="AJ42" i="2"/>
  <c r="AJ44" i="2"/>
  <c r="AJ46" i="2"/>
  <c r="AJ47" i="2"/>
  <c r="AJ48" i="2"/>
  <c r="AJ49" i="2"/>
  <c r="AJ50" i="2"/>
  <c r="AJ51" i="2"/>
  <c r="AJ52" i="2"/>
  <c r="AJ53" i="2"/>
  <c r="AJ54" i="2"/>
  <c r="AJ55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73" i="2"/>
  <c r="AJ74" i="2"/>
  <c r="AJ75" i="2"/>
  <c r="AJ76" i="2"/>
  <c r="AJ77" i="2"/>
  <c r="AJ78" i="2"/>
  <c r="AJ79" i="2"/>
  <c r="AJ80" i="2"/>
  <c r="AJ81" i="2"/>
  <c r="AJ82" i="2"/>
  <c r="AJ83" i="2"/>
  <c r="AJ84" i="2"/>
  <c r="AJ85" i="2"/>
  <c r="AJ86" i="2"/>
  <c r="AJ87" i="2"/>
  <c r="AJ88" i="2"/>
  <c r="AJ89" i="2"/>
  <c r="AJ90" i="2"/>
  <c r="AJ91" i="2"/>
  <c r="AJ92" i="2"/>
  <c r="AJ93" i="2"/>
  <c r="AJ94" i="2"/>
  <c r="AJ95" i="2"/>
  <c r="AJ96" i="2"/>
  <c r="AJ97" i="2"/>
  <c r="AJ98" i="2"/>
  <c r="AJ99" i="2"/>
  <c r="AJ100" i="2"/>
  <c r="AJ101" i="2"/>
  <c r="AJ102" i="2"/>
  <c r="AJ103" i="2"/>
  <c r="AJ104" i="2"/>
  <c r="AJ105" i="2"/>
  <c r="AJ106" i="2"/>
  <c r="AJ107" i="2"/>
  <c r="AJ108" i="2"/>
  <c r="AJ109" i="2"/>
  <c r="AJ110" i="2"/>
  <c r="AJ111" i="2"/>
  <c r="AJ112" i="2"/>
  <c r="AJ113" i="2"/>
  <c r="AJ114" i="2"/>
  <c r="AJ115" i="2"/>
  <c r="AJ116" i="2"/>
  <c r="AJ117" i="2"/>
  <c r="AJ118" i="2"/>
  <c r="AJ119" i="2"/>
  <c r="AJ123" i="2"/>
  <c r="AJ124" i="2"/>
  <c r="AJ125" i="2"/>
  <c r="AJ126" i="2"/>
  <c r="AJ127" i="2"/>
  <c r="AJ128" i="2"/>
  <c r="AJ129" i="2"/>
  <c r="AJ130" i="2"/>
  <c r="AJ131" i="2"/>
  <c r="AJ132" i="2"/>
  <c r="AJ133" i="2"/>
  <c r="AJ134" i="2"/>
  <c r="AJ135" i="2"/>
  <c r="AJ136" i="2"/>
  <c r="AJ137" i="2"/>
  <c r="AJ138" i="2"/>
  <c r="AJ139" i="2"/>
  <c r="AJ140" i="2"/>
  <c r="AJ141" i="2"/>
  <c r="AJ142" i="2"/>
  <c r="AJ144" i="2"/>
  <c r="AJ145" i="2"/>
  <c r="AJ146" i="2"/>
  <c r="AJ147" i="2"/>
  <c r="AJ148" i="2"/>
  <c r="AJ149" i="2"/>
  <c r="AJ150" i="2"/>
  <c r="AJ151" i="2"/>
  <c r="AJ152" i="2"/>
  <c r="AJ153" i="2"/>
  <c r="AJ154" i="2"/>
  <c r="AJ155" i="2"/>
  <c r="AJ156" i="2"/>
  <c r="AJ157" i="2"/>
  <c r="AJ158" i="2"/>
  <c r="AJ159" i="2"/>
  <c r="AJ160" i="2"/>
  <c r="AJ161" i="2"/>
  <c r="AJ162" i="2"/>
  <c r="AJ163" i="2"/>
  <c r="AJ164" i="2"/>
  <c r="AJ165" i="2"/>
  <c r="AJ166" i="2"/>
  <c r="AJ169" i="2"/>
  <c r="AJ170" i="2"/>
  <c r="AJ171" i="2"/>
  <c r="AJ172" i="2"/>
  <c r="AJ174" i="2"/>
  <c r="AJ175" i="2"/>
  <c r="AJ176" i="2"/>
  <c r="AJ177" i="2"/>
  <c r="AJ178" i="2"/>
  <c r="AJ179" i="2"/>
  <c r="AJ180" i="2"/>
  <c r="AJ181" i="2"/>
  <c r="AJ182" i="2"/>
  <c r="AJ183" i="2"/>
  <c r="AJ184" i="2"/>
  <c r="AJ185" i="2"/>
  <c r="AJ186" i="2"/>
  <c r="AJ187" i="2"/>
  <c r="AJ188" i="2"/>
  <c r="AJ190" i="2"/>
  <c r="AJ191" i="2"/>
  <c r="AJ193" i="2"/>
  <c r="AJ194" i="2"/>
  <c r="AJ195" i="2"/>
  <c r="AJ196" i="2"/>
  <c r="AJ197" i="2"/>
  <c r="AJ198" i="2"/>
  <c r="AJ199" i="2"/>
  <c r="AJ200" i="2"/>
  <c r="AJ201" i="2"/>
  <c r="AJ202" i="2"/>
  <c r="AJ203" i="2"/>
  <c r="AJ205" i="2"/>
  <c r="AJ206" i="2"/>
  <c r="AJ208" i="2"/>
  <c r="AJ209" i="2"/>
  <c r="AJ210" i="2"/>
  <c r="AJ211" i="2"/>
  <c r="AJ212" i="2"/>
  <c r="AJ213" i="2"/>
  <c r="AJ214" i="2"/>
  <c r="AJ215" i="2"/>
  <c r="AJ216" i="2"/>
  <c r="AJ217" i="2"/>
  <c r="AJ218" i="2"/>
  <c r="AJ219" i="2"/>
  <c r="AJ220" i="2"/>
  <c r="AJ221" i="2"/>
  <c r="AJ222" i="2"/>
  <c r="AJ223" i="2"/>
  <c r="AJ224" i="2"/>
  <c r="AJ225" i="2"/>
  <c r="AJ226" i="2"/>
  <c r="AJ227" i="2"/>
  <c r="AJ228" i="2"/>
  <c r="AJ229" i="2"/>
  <c r="AJ230" i="2"/>
  <c r="AJ231" i="2"/>
  <c r="AJ232" i="2"/>
  <c r="AJ233" i="2"/>
  <c r="AJ234" i="2"/>
  <c r="AJ235" i="2"/>
  <c r="AJ236" i="2"/>
  <c r="AJ237" i="2"/>
  <c r="AJ238" i="2"/>
  <c r="AJ239" i="2"/>
  <c r="AJ240" i="2"/>
  <c r="AJ241" i="2"/>
  <c r="AJ242" i="2"/>
  <c r="AJ243" i="2"/>
  <c r="AJ245" i="2"/>
  <c r="AJ246" i="2"/>
  <c r="AJ247" i="2"/>
  <c r="AJ248" i="2"/>
  <c r="AJ249" i="2"/>
  <c r="AJ250" i="2"/>
  <c r="AJ251" i="2"/>
  <c r="AJ252" i="2"/>
  <c r="AJ253" i="2"/>
  <c r="AJ254" i="2"/>
  <c r="AR3" i="2"/>
  <c r="AR5" i="2"/>
  <c r="AR6" i="2"/>
  <c r="AR7" i="2"/>
  <c r="AR8" i="2"/>
  <c r="AR9" i="2"/>
  <c r="AR10" i="2"/>
  <c r="AR11" i="2"/>
  <c r="AR12" i="2"/>
  <c r="AR13" i="2"/>
  <c r="AR14" i="2"/>
  <c r="AR15" i="2"/>
  <c r="AR16" i="2"/>
  <c r="AR17" i="2"/>
  <c r="AR18" i="2"/>
  <c r="AR19" i="2"/>
  <c r="AR20" i="2"/>
  <c r="AR21" i="2"/>
  <c r="AR22" i="2"/>
  <c r="AR23" i="2"/>
  <c r="AR24" i="2"/>
  <c r="AR25" i="2"/>
  <c r="AR26" i="2"/>
  <c r="AR27" i="2"/>
  <c r="AR28" i="2"/>
  <c r="AR29" i="2"/>
  <c r="AR31" i="2"/>
  <c r="AR32" i="2"/>
  <c r="AR33" i="2"/>
  <c r="AR34" i="2"/>
  <c r="AR35" i="2"/>
  <c r="AR36" i="2"/>
  <c r="AR37" i="2"/>
  <c r="AR38" i="2"/>
  <c r="AR39" i="2"/>
  <c r="AR40" i="2"/>
  <c r="AR41" i="2"/>
  <c r="AR43" i="2"/>
  <c r="AR44" i="2"/>
  <c r="AR45" i="2"/>
  <c r="AR46" i="2"/>
  <c r="AR47" i="2"/>
  <c r="AR48" i="2"/>
  <c r="AR49" i="2"/>
  <c r="AR50" i="2"/>
  <c r="AR51" i="2"/>
  <c r="AR52" i="2"/>
  <c r="AR53" i="2"/>
  <c r="AR54" i="2"/>
  <c r="AR55" i="2"/>
  <c r="AR56" i="2"/>
  <c r="AR57" i="2"/>
  <c r="AR58" i="2"/>
  <c r="AR59" i="2"/>
  <c r="AR60" i="2"/>
  <c r="AR61" i="2"/>
  <c r="AR62" i="2"/>
  <c r="AR63" i="2"/>
  <c r="AR64" i="2"/>
  <c r="AR65" i="2"/>
  <c r="AR66" i="2"/>
  <c r="AR67" i="2"/>
  <c r="AR68" i="2"/>
  <c r="AR69" i="2"/>
  <c r="AR70" i="2"/>
  <c r="AR71" i="2"/>
  <c r="AR72" i="2"/>
  <c r="AR73" i="2"/>
  <c r="AR74" i="2"/>
  <c r="AR75" i="2"/>
  <c r="AR76" i="2"/>
  <c r="AR77" i="2"/>
  <c r="AR78" i="2"/>
  <c r="AR79" i="2"/>
  <c r="AR80" i="2"/>
  <c r="AR81" i="2"/>
  <c r="AR82" i="2"/>
  <c r="AR84" i="2"/>
  <c r="AR85" i="2"/>
  <c r="AR86" i="2"/>
  <c r="AR87" i="2"/>
  <c r="AR88" i="2"/>
  <c r="AR89" i="2"/>
  <c r="AR90" i="2"/>
  <c r="AR91" i="2"/>
  <c r="AR92" i="2"/>
  <c r="AR93" i="2"/>
  <c r="AR94" i="2"/>
  <c r="AR95" i="2"/>
  <c r="AR96" i="2"/>
  <c r="AR97" i="2"/>
  <c r="AR98" i="2"/>
  <c r="AR99" i="2"/>
  <c r="AR100" i="2"/>
  <c r="AR101" i="2"/>
  <c r="AR102" i="2"/>
  <c r="AR103" i="2"/>
  <c r="AR104" i="2"/>
  <c r="AR105" i="2"/>
  <c r="AR106" i="2"/>
  <c r="AR107" i="2"/>
  <c r="AR108" i="2"/>
  <c r="AR109" i="2"/>
  <c r="AR110" i="2"/>
  <c r="AR111" i="2"/>
  <c r="AR112" i="2"/>
  <c r="AR113" i="2"/>
  <c r="AR114" i="2"/>
  <c r="AR115" i="2"/>
  <c r="AR116" i="2"/>
  <c r="AR117" i="2"/>
  <c r="AR118" i="2"/>
  <c r="AR119" i="2"/>
  <c r="AR123" i="2"/>
  <c r="AR124" i="2"/>
  <c r="AR125" i="2"/>
  <c r="AR126" i="2"/>
  <c r="AR127" i="2"/>
  <c r="AR128" i="2"/>
  <c r="AR129" i="2"/>
  <c r="AR130" i="2"/>
  <c r="AR131" i="2"/>
  <c r="AR132" i="2"/>
  <c r="AR133" i="2"/>
  <c r="AR134" i="2"/>
  <c r="AR135" i="2"/>
  <c r="AR136" i="2"/>
  <c r="AR137" i="2"/>
  <c r="AR138" i="2"/>
  <c r="AR139" i="2"/>
  <c r="AR140" i="2"/>
  <c r="AR141" i="2"/>
  <c r="AR142" i="2"/>
  <c r="AR143" i="2"/>
  <c r="AR144" i="2"/>
  <c r="AR145" i="2"/>
  <c r="AR146" i="2"/>
  <c r="AR147" i="2"/>
  <c r="AR148" i="2"/>
  <c r="AR149" i="2"/>
  <c r="AR150" i="2"/>
  <c r="AR151" i="2"/>
  <c r="AR152" i="2"/>
  <c r="AR153" i="2"/>
  <c r="AR154" i="2"/>
  <c r="AR155" i="2"/>
  <c r="AR156" i="2"/>
  <c r="AR157" i="2"/>
  <c r="AR158" i="2"/>
  <c r="AR159" i="2"/>
  <c r="AR160" i="2"/>
  <c r="AR161" i="2"/>
  <c r="AR162" i="2"/>
  <c r="AR163" i="2"/>
  <c r="AR164" i="2"/>
  <c r="AR165" i="2"/>
  <c r="AR166" i="2"/>
  <c r="AR168" i="2"/>
  <c r="AR169" i="2"/>
  <c r="AR170" i="2"/>
  <c r="AR171" i="2"/>
  <c r="AR174" i="2"/>
  <c r="AR175" i="2"/>
  <c r="AR176" i="2"/>
  <c r="AR177" i="2"/>
  <c r="AR178" i="2"/>
  <c r="AR179" i="2"/>
  <c r="AR180" i="2"/>
  <c r="AR181" i="2"/>
  <c r="AR182" i="2"/>
  <c r="AR183" i="2"/>
  <c r="AR184" i="2"/>
  <c r="AR185" i="2"/>
  <c r="AR186" i="2"/>
  <c r="AR187" i="2"/>
  <c r="AR188" i="2"/>
  <c r="AR190" i="2"/>
  <c r="AR191" i="2"/>
  <c r="AR193" i="2"/>
  <c r="AR194" i="2"/>
  <c r="AR195" i="2"/>
  <c r="AR196" i="2"/>
  <c r="AR197" i="2"/>
  <c r="AR198" i="2"/>
  <c r="AR199" i="2"/>
  <c r="AR200" i="2"/>
  <c r="AR201" i="2"/>
  <c r="AR202" i="2"/>
  <c r="AR203" i="2"/>
  <c r="AR205" i="2"/>
  <c r="AR206" i="2"/>
  <c r="AR208" i="2"/>
  <c r="AR209" i="2"/>
  <c r="AR210" i="2"/>
  <c r="AR211" i="2"/>
  <c r="AR212" i="2"/>
  <c r="AR213" i="2"/>
  <c r="AR214" i="2"/>
  <c r="AR215" i="2"/>
  <c r="AR216" i="2"/>
  <c r="AR217" i="2"/>
  <c r="AR218" i="2"/>
  <c r="AR219" i="2"/>
  <c r="AR221" i="2"/>
  <c r="AR222" i="2"/>
  <c r="AR223" i="2"/>
  <c r="AR224" i="2"/>
  <c r="AR225" i="2"/>
  <c r="AR226" i="2"/>
  <c r="AR227" i="2"/>
  <c r="AR228" i="2"/>
  <c r="AR230" i="2"/>
  <c r="AR231" i="2"/>
  <c r="AR232" i="2"/>
  <c r="AR233" i="2"/>
  <c r="AR234" i="2"/>
  <c r="AR235" i="2"/>
  <c r="AR236" i="2"/>
  <c r="AR237" i="2"/>
  <c r="AR238" i="2"/>
  <c r="AR239" i="2"/>
  <c r="AR240" i="2"/>
  <c r="AR241" i="2"/>
  <c r="AR242" i="2"/>
  <c r="AR245" i="2"/>
  <c r="AR246" i="2"/>
  <c r="AR247" i="2"/>
  <c r="AR248" i="2"/>
  <c r="AR249" i="2"/>
  <c r="AR250" i="2"/>
  <c r="AR251" i="2"/>
  <c r="AR252" i="2"/>
  <c r="AR253" i="2"/>
  <c r="AR254" i="2"/>
  <c r="AN3" i="2"/>
  <c r="AN5" i="2"/>
  <c r="AN6" i="2"/>
  <c r="AN7" i="2"/>
  <c r="AN8" i="2"/>
  <c r="AN9" i="2"/>
  <c r="AN10" i="2"/>
  <c r="AN11" i="2"/>
  <c r="AN13" i="2"/>
  <c r="AN15" i="2"/>
  <c r="AN16" i="2"/>
  <c r="AN17" i="2"/>
  <c r="AN18" i="2"/>
  <c r="AN19" i="2"/>
  <c r="AN20" i="2"/>
  <c r="AN21" i="2"/>
  <c r="AN22" i="2"/>
  <c r="AN23" i="2"/>
  <c r="AN24" i="2"/>
  <c r="AN25" i="2"/>
  <c r="AN26" i="2"/>
  <c r="AN27" i="2"/>
  <c r="AN28" i="2"/>
  <c r="AN29" i="2"/>
  <c r="AN31" i="2"/>
  <c r="AN32" i="2"/>
  <c r="AN33" i="2"/>
  <c r="AN34" i="2"/>
  <c r="AN35" i="2"/>
  <c r="AN36" i="2"/>
  <c r="AN37" i="2"/>
  <c r="AN38" i="2"/>
  <c r="AN39" i="2"/>
  <c r="AN40" i="2"/>
  <c r="AN41" i="2"/>
  <c r="AN42" i="2"/>
  <c r="AN43" i="2"/>
  <c r="AN44" i="2"/>
  <c r="AN45" i="2"/>
  <c r="AN46" i="2"/>
  <c r="AN47" i="2"/>
  <c r="AN48" i="2"/>
  <c r="AN49" i="2"/>
  <c r="AN50" i="2"/>
  <c r="AN51" i="2"/>
  <c r="AN52" i="2"/>
  <c r="AN53" i="2"/>
  <c r="AN54" i="2"/>
  <c r="AN55" i="2"/>
  <c r="AN57" i="2"/>
  <c r="AN58" i="2"/>
  <c r="AN59" i="2"/>
  <c r="AN60" i="2"/>
  <c r="AN61" i="2"/>
  <c r="AN63" i="2"/>
  <c r="AN64" i="2"/>
  <c r="AN65" i="2"/>
  <c r="AN66" i="2"/>
  <c r="AN67" i="2"/>
  <c r="AN69" i="2"/>
  <c r="AN70" i="2"/>
  <c r="AN71" i="2"/>
  <c r="AN72" i="2"/>
  <c r="AN73" i="2"/>
  <c r="AN74" i="2"/>
  <c r="AN75" i="2"/>
  <c r="AN76" i="2"/>
  <c r="AN77" i="2"/>
  <c r="AN78" i="2"/>
  <c r="AN79" i="2"/>
  <c r="AN81" i="2"/>
  <c r="AN82" i="2"/>
  <c r="AN83" i="2"/>
  <c r="AN84" i="2"/>
  <c r="AN85" i="2"/>
  <c r="AN86" i="2"/>
  <c r="AN87" i="2"/>
  <c r="AN88" i="2"/>
  <c r="AN89" i="2"/>
  <c r="AN90" i="2"/>
  <c r="AN91" i="2"/>
  <c r="AN92" i="2"/>
  <c r="AN93" i="2"/>
  <c r="AN94" i="2"/>
  <c r="AN95" i="2"/>
  <c r="AN96" i="2"/>
  <c r="AN97" i="2"/>
  <c r="AN98" i="2"/>
  <c r="AN99" i="2"/>
  <c r="AN100" i="2"/>
  <c r="AN101" i="2"/>
  <c r="AN102" i="2"/>
  <c r="AN103" i="2"/>
  <c r="AN104" i="2"/>
  <c r="AN105" i="2"/>
  <c r="AN106" i="2"/>
  <c r="AN107" i="2"/>
  <c r="AN108" i="2"/>
  <c r="AN110" i="2"/>
  <c r="AN111" i="2"/>
  <c r="AN112" i="2"/>
  <c r="AN113" i="2"/>
  <c r="AN115" i="2"/>
  <c r="AN116" i="2"/>
  <c r="AN117" i="2"/>
  <c r="AN118" i="2"/>
  <c r="AN119" i="2"/>
  <c r="AN123" i="2"/>
  <c r="AN125" i="2"/>
  <c r="AN126" i="2"/>
  <c r="AN127" i="2"/>
  <c r="AN128" i="2"/>
  <c r="AN129" i="2"/>
  <c r="AN130" i="2"/>
  <c r="AN131" i="2"/>
  <c r="AN132" i="2"/>
  <c r="AN133" i="2"/>
  <c r="AN134" i="2"/>
  <c r="AN135" i="2"/>
  <c r="AN136" i="2"/>
  <c r="AN137" i="2"/>
  <c r="AN138" i="2"/>
  <c r="AN140" i="2"/>
  <c r="AN141" i="2"/>
  <c r="AN142" i="2"/>
  <c r="AN143" i="2"/>
  <c r="AN144" i="2"/>
  <c r="AN145" i="2"/>
  <c r="AN146" i="2"/>
  <c r="AN147" i="2"/>
  <c r="AN148" i="2"/>
  <c r="AN149" i="2"/>
  <c r="AN150" i="2"/>
  <c r="AN151" i="2"/>
  <c r="AN152" i="2"/>
  <c r="AN153" i="2"/>
  <c r="AN154" i="2"/>
  <c r="AN155" i="2"/>
  <c r="AN156" i="2"/>
  <c r="AN157" i="2"/>
  <c r="AN159" i="2"/>
  <c r="AN160" i="2"/>
  <c r="AN161" i="2"/>
  <c r="AN162" i="2"/>
  <c r="AN163" i="2"/>
  <c r="AN164" i="2"/>
  <c r="AN165" i="2"/>
  <c r="AN166" i="2"/>
  <c r="AN168" i="2"/>
  <c r="AN169" i="2"/>
  <c r="AN170" i="2"/>
  <c r="AN171" i="2"/>
  <c r="AN172" i="2"/>
  <c r="AN174" i="2"/>
  <c r="AN175" i="2"/>
  <c r="AN176" i="2"/>
  <c r="AN177" i="2"/>
  <c r="AN178" i="2"/>
  <c r="AN179" i="2"/>
  <c r="AN180" i="2"/>
  <c r="AN182" i="2"/>
  <c r="AN183" i="2"/>
  <c r="AN184" i="2"/>
  <c r="AN185" i="2"/>
  <c r="AN186" i="2"/>
  <c r="AN187" i="2"/>
  <c r="AN188" i="2"/>
  <c r="AN191" i="2"/>
  <c r="AN193" i="2"/>
  <c r="AN194" i="2"/>
  <c r="AN195" i="2"/>
  <c r="AN196" i="2"/>
  <c r="AN197" i="2"/>
  <c r="AN198" i="2"/>
  <c r="AN199" i="2"/>
  <c r="AN200" i="2"/>
  <c r="AN201" i="2"/>
  <c r="AN202" i="2"/>
  <c r="AN203" i="2"/>
  <c r="AN205" i="2"/>
  <c r="AN206" i="2"/>
  <c r="AN208" i="2"/>
  <c r="AN209" i="2"/>
  <c r="AN210" i="2"/>
  <c r="AN211" i="2"/>
  <c r="AN212" i="2"/>
  <c r="AN213" i="2"/>
  <c r="AN214" i="2"/>
  <c r="AN216" i="2"/>
  <c r="AN217" i="2"/>
  <c r="AN218" i="2"/>
  <c r="AN219" i="2"/>
  <c r="AN220" i="2"/>
  <c r="AN221" i="2"/>
  <c r="AN223" i="2"/>
  <c r="AN224" i="2"/>
  <c r="AN225" i="2"/>
  <c r="AN226" i="2"/>
  <c r="AN227" i="2"/>
  <c r="AN228" i="2"/>
  <c r="AN229" i="2"/>
  <c r="AN230" i="2"/>
  <c r="AN231" i="2"/>
  <c r="AN232" i="2"/>
  <c r="AN233" i="2"/>
  <c r="AN234" i="2"/>
  <c r="AN235" i="2"/>
  <c r="AN236" i="2"/>
  <c r="AN237" i="2"/>
  <c r="AN238" i="2"/>
  <c r="AN239" i="2"/>
  <c r="AN240" i="2"/>
  <c r="AN241" i="2"/>
  <c r="AN242" i="2"/>
  <c r="AN243" i="2"/>
  <c r="AN245" i="2"/>
  <c r="AN246" i="2"/>
  <c r="AN247" i="2"/>
  <c r="AN248" i="2"/>
  <c r="AN249" i="2"/>
  <c r="AN250" i="2"/>
  <c r="AN251" i="2"/>
  <c r="AN252" i="2"/>
  <c r="AN253" i="2"/>
  <c r="AN254" i="2"/>
  <c r="AE3" i="2"/>
  <c r="AF3" i="2"/>
  <c r="AE5" i="2"/>
  <c r="AF5" i="2"/>
  <c r="AE6" i="2"/>
  <c r="AF6" i="2"/>
  <c r="AE7" i="2"/>
  <c r="AF7" i="2"/>
  <c r="AE8" i="2"/>
  <c r="AF8" i="2"/>
  <c r="AE9" i="2"/>
  <c r="AF9" i="2"/>
  <c r="AE10" i="2"/>
  <c r="AF10" i="2"/>
  <c r="AE11" i="2"/>
  <c r="AF11" i="2"/>
  <c r="AE12" i="2"/>
  <c r="AF12" i="2"/>
  <c r="AE13" i="2"/>
  <c r="AF13" i="2"/>
  <c r="AE14" i="2"/>
  <c r="AF14" i="2"/>
  <c r="AF15" i="2"/>
  <c r="AE16" i="2"/>
  <c r="AF16" i="2"/>
  <c r="AE17" i="2"/>
  <c r="AF17" i="2"/>
  <c r="AF18" i="2"/>
  <c r="AE19" i="2"/>
  <c r="AF19" i="2"/>
  <c r="AE20" i="2"/>
  <c r="AF20" i="2"/>
  <c r="AE21" i="2"/>
  <c r="AF21" i="2"/>
  <c r="AE22" i="2"/>
  <c r="AF22" i="2"/>
  <c r="AE23" i="2"/>
  <c r="AF23" i="2"/>
  <c r="AE24" i="2"/>
  <c r="AF24" i="2"/>
  <c r="AE25" i="2"/>
  <c r="AF25" i="2"/>
  <c r="AE26" i="2"/>
  <c r="AF26" i="2"/>
  <c r="AF27" i="2"/>
  <c r="AE28" i="2"/>
  <c r="AF28" i="2"/>
  <c r="AE29" i="2"/>
  <c r="AF29" i="2"/>
  <c r="AE31" i="2"/>
  <c r="AF31" i="2"/>
  <c r="AE32" i="2"/>
  <c r="AF32" i="2"/>
  <c r="AE33" i="2"/>
  <c r="AF33" i="2"/>
  <c r="AE34" i="2"/>
  <c r="AF34" i="2"/>
  <c r="AE35" i="2"/>
  <c r="AF35" i="2"/>
  <c r="AE36" i="2"/>
  <c r="AF36" i="2"/>
  <c r="AE37" i="2"/>
  <c r="AF37" i="2"/>
  <c r="AE38" i="2"/>
  <c r="AF38" i="2"/>
  <c r="AE39" i="2"/>
  <c r="AF39" i="2"/>
  <c r="AE40" i="2"/>
  <c r="AF40" i="2"/>
  <c r="AE41" i="2"/>
  <c r="AF41" i="2"/>
  <c r="AE42" i="2"/>
  <c r="AF42" i="2"/>
  <c r="AE43" i="2"/>
  <c r="AF43" i="2"/>
  <c r="AE44" i="2"/>
  <c r="AF44" i="2"/>
  <c r="AE45" i="2"/>
  <c r="AF45" i="2"/>
  <c r="AE46" i="2"/>
  <c r="AF46" i="2"/>
  <c r="AE47" i="2"/>
  <c r="AF47" i="2"/>
  <c r="AE48" i="2"/>
  <c r="AF48" i="2"/>
  <c r="AE49" i="2"/>
  <c r="AF49" i="2"/>
  <c r="AE50" i="2"/>
  <c r="AF50" i="2"/>
  <c r="AE51" i="2"/>
  <c r="AF51" i="2"/>
  <c r="AF52" i="2"/>
  <c r="AE53" i="2"/>
  <c r="AF53" i="2"/>
  <c r="AE54" i="2"/>
  <c r="AF54" i="2"/>
  <c r="AE55" i="2"/>
  <c r="AF55" i="2"/>
  <c r="AE56" i="2"/>
  <c r="AF56" i="2"/>
  <c r="AE57" i="2"/>
  <c r="AF57" i="2"/>
  <c r="AE58" i="2"/>
  <c r="AF58" i="2"/>
  <c r="AE59" i="2"/>
  <c r="AF59" i="2"/>
  <c r="AE60" i="2"/>
  <c r="AF60" i="2"/>
  <c r="AE61" i="2"/>
  <c r="AF61" i="2"/>
  <c r="AE62" i="2"/>
  <c r="AF62" i="2"/>
  <c r="AE63" i="2"/>
  <c r="AF63" i="2"/>
  <c r="AE64" i="2"/>
  <c r="AF64" i="2"/>
  <c r="AE65" i="2"/>
  <c r="AF65" i="2"/>
  <c r="AE66" i="2"/>
  <c r="AF66" i="2"/>
  <c r="AE67" i="2"/>
  <c r="AF67" i="2"/>
  <c r="AE68" i="2"/>
  <c r="AF68" i="2"/>
  <c r="AE69" i="2"/>
  <c r="AF69" i="2"/>
  <c r="AE70" i="2"/>
  <c r="AF70" i="2"/>
  <c r="AE71" i="2"/>
  <c r="AF71" i="2"/>
  <c r="AE72" i="2"/>
  <c r="AF72" i="2"/>
  <c r="AE73" i="2"/>
  <c r="AF73" i="2"/>
  <c r="AE74" i="2"/>
  <c r="AF74" i="2"/>
  <c r="AE75" i="2"/>
  <c r="AF75" i="2"/>
  <c r="AE76" i="2"/>
  <c r="AF76" i="2"/>
  <c r="AE77" i="2"/>
  <c r="AF77" i="2"/>
  <c r="AE78" i="2"/>
  <c r="AF78" i="2"/>
  <c r="AE79" i="2"/>
  <c r="AF79" i="2"/>
  <c r="AE80" i="2"/>
  <c r="AF80" i="2"/>
  <c r="AE81" i="2"/>
  <c r="AF81" i="2"/>
  <c r="AE82" i="2"/>
  <c r="AF82" i="2"/>
  <c r="AE83" i="2"/>
  <c r="AF83" i="2"/>
  <c r="AE84" i="2"/>
  <c r="AF84" i="2"/>
  <c r="AE85" i="2"/>
  <c r="AF85" i="2"/>
  <c r="AE86" i="2"/>
  <c r="AF86" i="2"/>
  <c r="AE87" i="2"/>
  <c r="AF87" i="2"/>
  <c r="AE88" i="2"/>
  <c r="AF88" i="2"/>
  <c r="AE89" i="2"/>
  <c r="AF89" i="2"/>
  <c r="AE90" i="2"/>
  <c r="AF90" i="2"/>
  <c r="AE91" i="2"/>
  <c r="AF91" i="2"/>
  <c r="AE92" i="2"/>
  <c r="AF92" i="2"/>
  <c r="AE93" i="2"/>
  <c r="AF93" i="2"/>
  <c r="AE94" i="2"/>
  <c r="AF94" i="2"/>
  <c r="AE95" i="2"/>
  <c r="AF95" i="2"/>
  <c r="AE96" i="2"/>
  <c r="AF96" i="2"/>
  <c r="AE97" i="2"/>
  <c r="AF97" i="2"/>
  <c r="AE98" i="2"/>
  <c r="AF98" i="2"/>
  <c r="AE99" i="2"/>
  <c r="AF99" i="2"/>
  <c r="AE100" i="2"/>
  <c r="AF100" i="2"/>
  <c r="AE101" i="2"/>
  <c r="AF101" i="2"/>
  <c r="AE102" i="2"/>
  <c r="AF102" i="2"/>
  <c r="AE103" i="2"/>
  <c r="AF103" i="2"/>
  <c r="AE104" i="2"/>
  <c r="AF104" i="2"/>
  <c r="AE105" i="2"/>
  <c r="AF105" i="2"/>
  <c r="AE106" i="2"/>
  <c r="AF106" i="2"/>
  <c r="AE108" i="2"/>
  <c r="AF108" i="2"/>
  <c r="AE109" i="2"/>
  <c r="AF109" i="2"/>
  <c r="AE110" i="2"/>
  <c r="AF110" i="2"/>
  <c r="AE111" i="2"/>
  <c r="AF111" i="2"/>
  <c r="AE112" i="2"/>
  <c r="AF112" i="2"/>
  <c r="AE113" i="2"/>
  <c r="AF113" i="2"/>
  <c r="AE114" i="2"/>
  <c r="AF114" i="2"/>
  <c r="AE115" i="2"/>
  <c r="AF115" i="2"/>
  <c r="AE116" i="2"/>
  <c r="AF116" i="2"/>
  <c r="AE117" i="2"/>
  <c r="AF117" i="2"/>
  <c r="AE118" i="2"/>
  <c r="AF118" i="2"/>
  <c r="AE119" i="2"/>
  <c r="AF119" i="2"/>
  <c r="AE123" i="2"/>
  <c r="AF123" i="2"/>
  <c r="AE124" i="2"/>
  <c r="AF124" i="2"/>
  <c r="AE125" i="2"/>
  <c r="AF125" i="2"/>
  <c r="AE126" i="2"/>
  <c r="AF126" i="2"/>
  <c r="AE127" i="2"/>
  <c r="AF127" i="2"/>
  <c r="AE128" i="2"/>
  <c r="AF128" i="2"/>
  <c r="AE129" i="2"/>
  <c r="AF129" i="2"/>
  <c r="AE130" i="2"/>
  <c r="AF130" i="2"/>
  <c r="AE131" i="2"/>
  <c r="AF131" i="2"/>
  <c r="AE132" i="2"/>
  <c r="AF132" i="2"/>
  <c r="AE133" i="2"/>
  <c r="AF133" i="2"/>
  <c r="AE134" i="2"/>
  <c r="AF134" i="2"/>
  <c r="AE135" i="2"/>
  <c r="AF135" i="2"/>
  <c r="AE136" i="2"/>
  <c r="AF136" i="2"/>
  <c r="AE137" i="2"/>
  <c r="AF137" i="2"/>
  <c r="AE138" i="2"/>
  <c r="AF138" i="2"/>
  <c r="AE139" i="2"/>
  <c r="AF139" i="2"/>
  <c r="AE140" i="2"/>
  <c r="AF140" i="2"/>
  <c r="AE141" i="2"/>
  <c r="AF141" i="2"/>
  <c r="AE142" i="2"/>
  <c r="AF142" i="2"/>
  <c r="AE143" i="2"/>
  <c r="AF143" i="2"/>
  <c r="AE144" i="2"/>
  <c r="AF144" i="2"/>
  <c r="AE145" i="2"/>
  <c r="AF145" i="2"/>
  <c r="AE146" i="2"/>
  <c r="AF146" i="2"/>
  <c r="AE147" i="2"/>
  <c r="AF147" i="2"/>
  <c r="AE148" i="2"/>
  <c r="AF148" i="2"/>
  <c r="AE149" i="2"/>
  <c r="AF149" i="2"/>
  <c r="AE150" i="2"/>
  <c r="AF150" i="2"/>
  <c r="AE151" i="2"/>
  <c r="AF151" i="2"/>
  <c r="AE152" i="2"/>
  <c r="AF152" i="2"/>
  <c r="AE153" i="2"/>
  <c r="AF153" i="2"/>
  <c r="AE154" i="2"/>
  <c r="AF154" i="2"/>
  <c r="AF155" i="2"/>
  <c r="AE156" i="2"/>
  <c r="AF156" i="2"/>
  <c r="AE157" i="2"/>
  <c r="AF157" i="2"/>
  <c r="AE158" i="2"/>
  <c r="AF158" i="2"/>
  <c r="AE159" i="2"/>
  <c r="AF159" i="2"/>
  <c r="AE160" i="2"/>
  <c r="AF160" i="2"/>
  <c r="AE161" i="2"/>
  <c r="AF161" i="2"/>
  <c r="AE162" i="2"/>
  <c r="AF162" i="2"/>
  <c r="AE163" i="2"/>
  <c r="AF163" i="2"/>
  <c r="AE164" i="2"/>
  <c r="AF164" i="2"/>
  <c r="AE165" i="2"/>
  <c r="AF165" i="2"/>
  <c r="AE166" i="2"/>
  <c r="AF166" i="2"/>
  <c r="AE168" i="2"/>
  <c r="AF168" i="2"/>
  <c r="AE169" i="2"/>
  <c r="AF169" i="2"/>
  <c r="AE170" i="2"/>
  <c r="AF170" i="2"/>
  <c r="AE171" i="2"/>
  <c r="AF171" i="2"/>
  <c r="AE172" i="2"/>
  <c r="AF172" i="2"/>
  <c r="AF174" i="2"/>
  <c r="AF175" i="2"/>
  <c r="AE176" i="2"/>
  <c r="AF176" i="2"/>
  <c r="AE177" i="2"/>
  <c r="AF177" i="2"/>
  <c r="AE178" i="2"/>
  <c r="AF178" i="2"/>
  <c r="AE179" i="2"/>
  <c r="AF179" i="2"/>
  <c r="AE180" i="2"/>
  <c r="AF180" i="2"/>
  <c r="AE181" i="2"/>
  <c r="AF181" i="2"/>
  <c r="AF182" i="2"/>
  <c r="AE183" i="2"/>
  <c r="AF183" i="2"/>
  <c r="AE184" i="2"/>
  <c r="AF184" i="2"/>
  <c r="AE185" i="2"/>
  <c r="AF185" i="2"/>
  <c r="AE186" i="2"/>
  <c r="AF186" i="2"/>
  <c r="AE187" i="2"/>
  <c r="AF187" i="2"/>
  <c r="AE188" i="2"/>
  <c r="AF188" i="2"/>
  <c r="AE190" i="2"/>
  <c r="AF190" i="2"/>
  <c r="AE191" i="2"/>
  <c r="AF191" i="2"/>
  <c r="AE193" i="2"/>
  <c r="AF193" i="2"/>
  <c r="AE194" i="2"/>
  <c r="AF194" i="2"/>
  <c r="AE195" i="2"/>
  <c r="AF195" i="2"/>
  <c r="AE196" i="2"/>
  <c r="AF196" i="2"/>
  <c r="AE197" i="2"/>
  <c r="AF197" i="2"/>
  <c r="AE198" i="2"/>
  <c r="AF198" i="2"/>
  <c r="AE199" i="2"/>
  <c r="AF199" i="2"/>
  <c r="AE200" i="2"/>
  <c r="AF200" i="2"/>
  <c r="AE201" i="2"/>
  <c r="AF201" i="2"/>
  <c r="AE202" i="2"/>
  <c r="AF202" i="2"/>
  <c r="AE203" i="2"/>
  <c r="AF203" i="2"/>
  <c r="AE205" i="2"/>
  <c r="AF205" i="2"/>
  <c r="AE206" i="2"/>
  <c r="AF206" i="2"/>
  <c r="AE208" i="2"/>
  <c r="AF208" i="2"/>
  <c r="AE209" i="2"/>
  <c r="AF209" i="2"/>
  <c r="AE210" i="2"/>
  <c r="AF210" i="2"/>
  <c r="AE211" i="2"/>
  <c r="AF211" i="2"/>
  <c r="AE212" i="2"/>
  <c r="AF212" i="2"/>
  <c r="AE213" i="2"/>
  <c r="AF213" i="2"/>
  <c r="AE214" i="2"/>
  <c r="AF214" i="2"/>
  <c r="AE215" i="2"/>
  <c r="AF215" i="2"/>
  <c r="AE216" i="2"/>
  <c r="AF216" i="2"/>
  <c r="AE217" i="2"/>
  <c r="AF217" i="2"/>
  <c r="AE218" i="2"/>
  <c r="AF218" i="2"/>
  <c r="AE219" i="2"/>
  <c r="AF219" i="2"/>
  <c r="AE220" i="2"/>
  <c r="AF220" i="2"/>
  <c r="AE221" i="2"/>
  <c r="AF221" i="2"/>
  <c r="AE222" i="2"/>
  <c r="AF222" i="2"/>
  <c r="AE223" i="2"/>
  <c r="AF223" i="2"/>
  <c r="AE224" i="2"/>
  <c r="AF224" i="2"/>
  <c r="AE225" i="2"/>
  <c r="AF225" i="2"/>
  <c r="AE226" i="2"/>
  <c r="AF226" i="2"/>
  <c r="AE227" i="2"/>
  <c r="AF227" i="2"/>
  <c r="AE228" i="2"/>
  <c r="AF228" i="2"/>
  <c r="AE229" i="2"/>
  <c r="AF229" i="2"/>
  <c r="AE230" i="2"/>
  <c r="AF230" i="2"/>
  <c r="AE231" i="2"/>
  <c r="AF231" i="2"/>
  <c r="AE232" i="2"/>
  <c r="AF232" i="2"/>
  <c r="AE233" i="2"/>
  <c r="AF233" i="2"/>
  <c r="AE234" i="2"/>
  <c r="AF234" i="2"/>
  <c r="AE235" i="2"/>
  <c r="AF235" i="2"/>
  <c r="AE236" i="2"/>
  <c r="AF236" i="2"/>
  <c r="AE237" i="2"/>
  <c r="AF237" i="2"/>
  <c r="AE238" i="2"/>
  <c r="AF238" i="2"/>
  <c r="AE239" i="2"/>
  <c r="AF239" i="2"/>
  <c r="AE240" i="2"/>
  <c r="AF240" i="2"/>
  <c r="AE241" i="2"/>
  <c r="AF241" i="2"/>
  <c r="AE242" i="2"/>
  <c r="AF242" i="2"/>
  <c r="AE243" i="2"/>
  <c r="AF243" i="2"/>
  <c r="AE245" i="2"/>
  <c r="AF245" i="2"/>
  <c r="AE246" i="2"/>
  <c r="AF246" i="2"/>
  <c r="AE247" i="2"/>
  <c r="AF247" i="2"/>
  <c r="AE248" i="2"/>
  <c r="AF248" i="2"/>
  <c r="AE249" i="2"/>
  <c r="AF249" i="2"/>
  <c r="AE250" i="2"/>
  <c r="AF250" i="2"/>
  <c r="AE251" i="2"/>
  <c r="AF251" i="2"/>
  <c r="AE252" i="2"/>
  <c r="AF252" i="2"/>
  <c r="AE253" i="2"/>
  <c r="AF253" i="2"/>
  <c r="AE254" i="2"/>
  <c r="AF254" i="2"/>
  <c r="I3" i="35" l="1"/>
  <c r="I12" i="35"/>
  <c r="J12" i="35"/>
  <c r="I10" i="35"/>
  <c r="J10" i="35"/>
  <c r="I8" i="35"/>
  <c r="J8" i="35"/>
  <c r="I6" i="35"/>
  <c r="J6" i="35"/>
  <c r="I4" i="35"/>
  <c r="J4" i="35"/>
  <c r="I11" i="35"/>
  <c r="J11" i="35"/>
  <c r="I9" i="35"/>
  <c r="J9" i="35"/>
  <c r="I7" i="35"/>
  <c r="J7" i="35"/>
  <c r="I5" i="35"/>
  <c r="J5" i="35"/>
  <c r="J3" i="35"/>
  <c r="AN2" i="2"/>
  <c r="AR2" i="2"/>
  <c r="AF2" i="2" l="1"/>
  <c r="AE2" i="2"/>
  <c r="J2" i="35" l="1"/>
  <c r="I2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Benedikt Beck</author>
  </authors>
  <commentList>
    <comment ref="M1" authorId="0" shapeId="0" xr:uid="{FBDA3A19-9E97-4FA8-A777-6DB314F8A5DE}">
      <text>
        <r>
          <rPr>
            <b/>
            <sz val="12"/>
            <color indexed="81"/>
            <rFont val="DFB Sans Web"/>
          </rPr>
          <t>Spielphase</t>
        </r>
        <r>
          <rPr>
            <sz val="12"/>
            <color indexed="81"/>
            <rFont val="DFB Sans Web"/>
          </rPr>
          <t xml:space="preserve">
- EB zu USO wenn zwischenzeitlich entweder der Ballbesitz kontrolliert wechselt oder der Gegner den Ball mit einem Befreiungsschlag klärt
- USO zu EB sobald die Dynamik der Aktion verloren geht, der Ball in der hintersten Kette quer gespielt wird oder alle Gegner wieder hinter dem Ball sind (mind. 2/3 müssen zutreffen)
- E, FSF, EW bei Abschluss unmittelbar nach dem 1. Ball
- n... bei Abschluss in der 2. Phase und nach kurzen Varianten</t>
        </r>
      </text>
    </comment>
    <comment ref="N1" authorId="0" shapeId="0" xr:uid="{320D6EB2-3D46-4B54-8CD5-17966C63FD7A}">
      <text>
        <r>
          <rPr>
            <b/>
            <sz val="12"/>
            <color indexed="81"/>
            <rFont val="DFB Sans Web"/>
          </rPr>
          <t xml:space="preserve">Vorbereitungstyp
</t>
        </r>
        <r>
          <rPr>
            <sz val="12"/>
            <color indexed="81"/>
            <rFont val="DFB Sans Web"/>
          </rPr>
          <t>- F: Hohe Flanken (von außerhalb der Box) vor das Tor
- QP: Flacher Querpass vor das Tor
- CB: Cutback von Positionen nahe der Grundlinie in den Rückraum
- SP: Steckpass mt dem lediglich die letze Linie überspielt wird
- TB: Tiefer Ball, der mehrere Linien überspielt 
- RP: Regulärer Pass mit dem Fuß
- KB: Regulärer Pass mit dem Kopf
- D: Dribbling mit dem mindestens ein gegnerischer Spieler überspielt wird oder 20 Meter überbrückt und entscheidend dafür ist, dass der Schütze in die Abschlussposition kommt
- AP: Abpraller, z.B. aus Zweikämpfen (unkontrollierte Zuspiele)
- NS: Nachschüsse, die einem gehaltenen oder geblocketen Abschluss folgen
- E: Direkt nach Eckball
- FSF: Direkt nach Freistoßflanke
- EW: Direkt nach Einwurf
- ZK: Abschluss nach gewonnenem Zweikampf des Schützen
- GF: Gegnerischer Fehler, z.B. Fehlpässe oder gelungenes Pressing</t>
        </r>
      </text>
    </comment>
    <comment ref="X1" authorId="0" shapeId="0" xr:uid="{F0B0E6BA-128B-4E98-BECF-FAA70924E68D}">
      <text>
        <r>
          <rPr>
            <b/>
            <sz val="12"/>
            <color indexed="81"/>
            <rFont val="DFB Sans Web"/>
          </rPr>
          <t>Vorbereitungsflugbahn</t>
        </r>
        <r>
          <rPr>
            <sz val="12"/>
            <color indexed="81"/>
            <rFont val="DFB Sans Web"/>
          </rPr>
          <t xml:space="preserve">
- Nur bei 1. Kontakt!
- vom Boden, Aufsetzer (solange der Bal noch deutlich hüpft) oder aus der Luft
</t>
        </r>
      </text>
    </comment>
    <comment ref="Y1" authorId="0" shapeId="0" xr:uid="{E3F43B88-75F8-4EF1-AD71-4AC5AA75F12E}">
      <text>
        <r>
          <rPr>
            <b/>
            <sz val="12"/>
            <color indexed="81"/>
            <rFont val="DFB Sans Web"/>
          </rPr>
          <t>Körperteil</t>
        </r>
        <r>
          <rPr>
            <sz val="12"/>
            <color indexed="81"/>
            <rFont val="DFB Sans Web"/>
          </rPr>
          <t xml:space="preserve">
Rechts, Links, Kopf, Sonstige</t>
        </r>
      </text>
    </comment>
    <comment ref="Z1" authorId="0" shapeId="0" xr:uid="{ECB0F4BD-6D7D-4274-A1DE-86782B540352}">
      <text>
        <r>
          <rPr>
            <b/>
            <sz val="12"/>
            <color indexed="81"/>
            <rFont val="DFB Sans Web"/>
          </rPr>
          <t>Trefferhöhe</t>
        </r>
        <r>
          <rPr>
            <sz val="12"/>
            <color indexed="81"/>
            <rFont val="DFB Sans Web"/>
          </rPr>
          <t xml:space="preserve">
- im Verhältnis zur eigenen Körpergröße
- Fuß, Unterschenkel, Oberschenkel, Hüfte, Rumpf, Kopf, Über dem Kopf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AA1" authorId="0" shapeId="0" xr:uid="{00000000-0006-0000-0000-000002000000}">
      <text>
        <r>
          <rPr>
            <b/>
            <sz val="12"/>
            <color indexed="81"/>
            <rFont val="DFB Sans Web"/>
          </rPr>
          <t xml:space="preserve">Körperrichtung
</t>
        </r>
        <r>
          <rPr>
            <sz val="12"/>
            <color indexed="81"/>
            <rFont val="DFB Sans Web"/>
          </rPr>
          <t xml:space="preserve">
Blick zum Tor, Aus der Drehung, Rücken zum Tor</t>
        </r>
      </text>
    </comment>
    <comment ref="AG1" authorId="0" shapeId="0" xr:uid="{4A870B44-7502-4992-835B-D866A5A43E65}">
      <text>
        <r>
          <rPr>
            <b/>
            <sz val="12"/>
            <color indexed="81"/>
            <rFont val="DFB Sans Web"/>
          </rPr>
          <t xml:space="preserve">Torwartaktivität
</t>
        </r>
        <r>
          <rPr>
            <sz val="12"/>
            <color indexed="81"/>
            <rFont val="DFB Sans Web"/>
          </rPr>
          <t>- SB: Schussbereit -&gt; TW auf den Füßen und nahe der richtigen Position auf der Winkelhalbierenden (WHK)
- nSB: nicht Schussbereit -&gt; TW zwar im Tor, aber nicht nahe der optimalen Position, z.B. am Boden nach vorherigem Schuss oder zu weit vor dem Tor, auf Grund falscher Antizipation
- niT: nicht im Tor -&gt; TW hat keine Chance mehr rechtzeitig nahe der WHK zu kommen</t>
        </r>
      </text>
    </comment>
    <comment ref="AJ1" authorId="0" shapeId="0" xr:uid="{06FCAFD2-9286-4071-A58E-2486A7660BAB}">
      <text>
        <r>
          <rPr>
            <b/>
            <sz val="12"/>
            <color indexed="81"/>
            <rFont val="DFB Sans Web"/>
          </rPr>
          <t>Torwartdistanz</t>
        </r>
        <r>
          <rPr>
            <sz val="12"/>
            <color indexed="81"/>
            <rFont val="DFB Sans Web"/>
          </rPr>
          <t xml:space="preserve">
- Distanz zwischen TW und Schützen bei Schussabgabe</t>
        </r>
      </text>
    </comment>
    <comment ref="AK1" authorId="0" shapeId="0" xr:uid="{923D3F0C-B982-4BBB-87EB-C11363D5B005}">
      <text>
        <r>
          <rPr>
            <b/>
            <sz val="12"/>
            <color indexed="81"/>
            <rFont val="DFB Sans Web"/>
          </rPr>
          <t xml:space="preserve">Stresseraktivität
</t>
        </r>
        <r>
          <rPr>
            <sz val="12"/>
            <color indexed="81"/>
            <rFont val="DFB Sans Web"/>
          </rPr>
          <t>Anzahl der Spieler, die bei Schussabgabe nicht im Winkelbereich stehen und entweder 
- in einem Radius von 2m Druck auf den Schützen ausüben
oder
- sich im Sprint in den Winkelbereich befinden und noch eine Chance haben rechtzeitig den Ball zu blocken</t>
        </r>
      </text>
    </comment>
    <comment ref="AO1" authorId="0" shapeId="0" xr:uid="{123223C5-7D37-4644-A355-9E17D98A6EF6}">
      <text>
        <r>
          <rPr>
            <b/>
            <sz val="12"/>
            <color indexed="81"/>
            <rFont val="DFB Sans Web"/>
          </rPr>
          <t>Blockeraktivität</t>
        </r>
        <r>
          <rPr>
            <sz val="12"/>
            <color indexed="81"/>
            <rFont val="DFB Sans Web"/>
          </rPr>
          <t xml:space="preserve">
Anzahl der Spieler, die bei Schussabgabe innerhalb des Winkelbereichs stehen
-&gt; Bei Abschlüssen aus einer Höhe über der Körpergröße der Vertediger gelten diese nur als Blocker, wenn diese in einer Distanz zum Schützen von mind. 5m (?) stehen</t>
        </r>
      </text>
    </comment>
    <comment ref="AR1" authorId="0" shapeId="0" xr:uid="{33E50A1C-35EE-44AE-AB47-D4F1F3FE00AF}">
      <text>
        <r>
          <rPr>
            <b/>
            <sz val="12"/>
            <color indexed="81"/>
            <rFont val="DFB Sans Web"/>
          </rPr>
          <t>Direkte Blockdistanz</t>
        </r>
        <r>
          <rPr>
            <sz val="12"/>
            <color indexed="81"/>
            <rFont val="DFB Sans Web"/>
          </rPr>
          <t xml:space="preserve">
- Distanz zu dem Blocker, der bei Schussabgabe in Abstimmung mit der TW-Position am besten positioniert ist</t>
        </r>
      </text>
    </comment>
  </commentList>
</comments>
</file>

<file path=xl/sharedStrings.xml><?xml version="1.0" encoding="utf-8"?>
<sst xmlns="http://schemas.openxmlformats.org/spreadsheetml/2006/main" count="2429" uniqueCount="180">
  <si>
    <t>Tor</t>
  </si>
  <si>
    <t>Team</t>
  </si>
  <si>
    <t>HZ</t>
  </si>
  <si>
    <t>AP</t>
  </si>
  <si>
    <t>Phase</t>
  </si>
  <si>
    <t>Min</t>
  </si>
  <si>
    <t>Ergeb</t>
  </si>
  <si>
    <t>Datum</t>
  </si>
  <si>
    <t>FCN</t>
  </si>
  <si>
    <t>1. FC Nürnberg</t>
  </si>
  <si>
    <t>Vereinsname</t>
  </si>
  <si>
    <t>SpSt</t>
  </si>
  <si>
    <t>DisT</t>
  </si>
  <si>
    <t>WinT</t>
  </si>
  <si>
    <t>AbNr</t>
  </si>
  <si>
    <t>KörT</t>
  </si>
  <si>
    <t>TrefH</t>
  </si>
  <si>
    <t>KörR</t>
  </si>
  <si>
    <t>Save</t>
  </si>
  <si>
    <t>Vorbei</t>
  </si>
  <si>
    <t>Block</t>
  </si>
  <si>
    <t>GS</t>
  </si>
  <si>
    <t>PR</t>
  </si>
  <si>
    <t>1. HZ</t>
  </si>
  <si>
    <t>2. HZ</t>
  </si>
  <si>
    <t>SID</t>
  </si>
  <si>
    <t>TID</t>
  </si>
  <si>
    <t>GID</t>
  </si>
  <si>
    <t>TWD</t>
  </si>
  <si>
    <t>DBD</t>
  </si>
  <si>
    <t>VorT</t>
  </si>
  <si>
    <t>xFe</t>
  </si>
  <si>
    <t>yFe</t>
  </si>
  <si>
    <t>(VFB)</t>
  </si>
  <si>
    <t>TWA</t>
  </si>
  <si>
    <t>StrA</t>
  </si>
  <si>
    <t>BloA</t>
  </si>
  <si>
    <t>HG</t>
  </si>
  <si>
    <t>TH</t>
  </si>
  <si>
    <t>TG</t>
  </si>
  <si>
    <t>PH</t>
  </si>
  <si>
    <t>PG</t>
  </si>
  <si>
    <t>xTW</t>
  </si>
  <si>
    <t>yTW</t>
  </si>
  <si>
    <t>xBlo</t>
  </si>
  <si>
    <t>yBlo</t>
  </si>
  <si>
    <t>TLK</t>
  </si>
  <si>
    <t>SNr</t>
  </si>
  <si>
    <t>xStr</t>
  </si>
  <si>
    <t>yStr</t>
  </si>
  <si>
    <t>DSD</t>
  </si>
  <si>
    <t>SSV</t>
  </si>
  <si>
    <t>SSV Jahn Regensburg</t>
  </si>
  <si>
    <t>SpVgg GW Deggendorf</t>
  </si>
  <si>
    <t>GWD</t>
  </si>
  <si>
    <t>FC Deisenhofen</t>
  </si>
  <si>
    <t>FCD</t>
  </si>
  <si>
    <t>TSV 1860 Rosenheim</t>
  </si>
  <si>
    <t>TSV</t>
  </si>
  <si>
    <t>DJK Don Bosco Bamberg</t>
  </si>
  <si>
    <t>DJK</t>
  </si>
  <si>
    <t>FC Memmingen</t>
  </si>
  <si>
    <t>FCM</t>
  </si>
  <si>
    <t>FC Würzburger Kickers</t>
  </si>
  <si>
    <t>FWK</t>
  </si>
  <si>
    <t>FC Augsburg</t>
  </si>
  <si>
    <t>FCA</t>
  </si>
  <si>
    <t>FC Bayern München</t>
  </si>
  <si>
    <t>FCB</t>
  </si>
  <si>
    <t>SpVgg Unterhaching</t>
  </si>
  <si>
    <t>UHG</t>
  </si>
  <si>
    <t>SV Viktoria Aschaffenburg</t>
  </si>
  <si>
    <t>SVA</t>
  </si>
  <si>
    <t>Kirchheimer SC</t>
  </si>
  <si>
    <t>KSC</t>
  </si>
  <si>
    <t>TSV 1860 Müchen</t>
  </si>
  <si>
    <t>60M</t>
  </si>
  <si>
    <t>SpVgg Greuther Fürth</t>
  </si>
  <si>
    <t>SGF</t>
  </si>
  <si>
    <t>VNr</t>
  </si>
  <si>
    <t>2VNr</t>
  </si>
  <si>
    <t>3VNr</t>
  </si>
  <si>
    <t>4VNr</t>
  </si>
  <si>
    <t>5VNr</t>
  </si>
  <si>
    <t>6VNr</t>
  </si>
  <si>
    <t>7VNr</t>
  </si>
  <si>
    <t>8VNr</t>
  </si>
  <si>
    <t>9VNr</t>
  </si>
  <si>
    <t>Vorname</t>
  </si>
  <si>
    <t>Nachname</t>
  </si>
  <si>
    <t>Luca</t>
  </si>
  <si>
    <t>Achhammer</t>
  </si>
  <si>
    <t>Noah</t>
  </si>
  <si>
    <t>Alao</t>
  </si>
  <si>
    <t xml:space="preserve">Fenuel </t>
  </si>
  <si>
    <t>Alemayehu</t>
  </si>
  <si>
    <t xml:space="preserve">Mert </t>
  </si>
  <si>
    <t xml:space="preserve">Cetin </t>
  </si>
  <si>
    <t>Ludwig</t>
  </si>
  <si>
    <t>Döring</t>
  </si>
  <si>
    <t>Nikita</t>
  </si>
  <si>
    <t>Drozd</t>
  </si>
  <si>
    <t>Louis</t>
  </si>
  <si>
    <t>Eckstein</t>
  </si>
  <si>
    <t>Emirhan</t>
  </si>
  <si>
    <t>Eksiner E.</t>
  </si>
  <si>
    <t>Metehan</t>
  </si>
  <si>
    <t>Eksiner M.</t>
  </si>
  <si>
    <t>Jonas</t>
  </si>
  <si>
    <t>Holmer</t>
  </si>
  <si>
    <t>Jüngling</t>
  </si>
  <si>
    <t xml:space="preserve">Elia </t>
  </si>
  <si>
    <t>Keller</t>
  </si>
  <si>
    <t>Kohl</t>
  </si>
  <si>
    <t>Felix</t>
  </si>
  <si>
    <t>Luis</t>
  </si>
  <si>
    <t>Kusche</t>
  </si>
  <si>
    <t>Daniel</t>
  </si>
  <si>
    <t>Mai</t>
  </si>
  <si>
    <t>Kai</t>
  </si>
  <si>
    <t>Müller</t>
  </si>
  <si>
    <t>Eromosele</t>
  </si>
  <si>
    <t>Omokhuale</t>
  </si>
  <si>
    <t xml:space="preserve">Johannes </t>
  </si>
  <si>
    <t>Renninger</t>
  </si>
  <si>
    <t>Salim</t>
  </si>
  <si>
    <t>Rübensaal</t>
  </si>
  <si>
    <t>Schraut</t>
  </si>
  <si>
    <t>Leopold</t>
  </si>
  <si>
    <t>von Wilmowsky</t>
  </si>
  <si>
    <t>Arion</t>
  </si>
  <si>
    <t>Zyba</t>
  </si>
  <si>
    <t>Nr</t>
  </si>
  <si>
    <t>Heim</t>
  </si>
  <si>
    <t>Gast</t>
  </si>
  <si>
    <t>1Von</t>
  </si>
  <si>
    <t>1Bis</t>
  </si>
  <si>
    <t>2Von</t>
  </si>
  <si>
    <t>2Bis</t>
  </si>
  <si>
    <t>SZ</t>
  </si>
  <si>
    <t>nFS</t>
  </si>
  <si>
    <t>As</t>
  </si>
  <si>
    <t>vB</t>
  </si>
  <si>
    <t>R</t>
  </si>
  <si>
    <t>Son</t>
  </si>
  <si>
    <t>BzT</t>
  </si>
  <si>
    <t>SB</t>
  </si>
  <si>
    <t>EB</t>
  </si>
  <si>
    <t>TB</t>
  </si>
  <si>
    <t>L</t>
  </si>
  <si>
    <t>Fuß</t>
  </si>
  <si>
    <t>nd</t>
  </si>
  <si>
    <t>SP</t>
  </si>
  <si>
    <t>F</t>
  </si>
  <si>
    <t>adL</t>
  </si>
  <si>
    <t>ZK</t>
  </si>
  <si>
    <t>adD</t>
  </si>
  <si>
    <t>nEW</t>
  </si>
  <si>
    <t>RP</t>
  </si>
  <si>
    <t>EW</t>
  </si>
  <si>
    <t>K</t>
  </si>
  <si>
    <t>Kopf</t>
  </si>
  <si>
    <t>RzT</t>
  </si>
  <si>
    <t>USO</t>
  </si>
  <si>
    <t>D</t>
  </si>
  <si>
    <t>NS</t>
  </si>
  <si>
    <t>niT</t>
  </si>
  <si>
    <t>GF</t>
  </si>
  <si>
    <t>nE</t>
  </si>
  <si>
    <t>nSB</t>
  </si>
  <si>
    <t>Alu</t>
  </si>
  <si>
    <t>ET</t>
  </si>
  <si>
    <t>QP</t>
  </si>
  <si>
    <t>E</t>
  </si>
  <si>
    <t>FSS</t>
  </si>
  <si>
    <t>FSF</t>
  </si>
  <si>
    <t>KB</t>
  </si>
  <si>
    <t>11M</t>
  </si>
  <si>
    <t>CB</t>
  </si>
  <si>
    <t>TNr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</si>
</sst>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>
    <font>
      <sz val="10"/>
      <color theme="1"/>
      <name val="DFB Sans Web"/>
      <family val="2"/>
    </font>
    <font>
      <sz val="11"/>
      <color theme="1"/>
      <name val="Calibri"/>
      <family val="2"/>
      <scheme val="minor"/>
    </font>
    <font>
      <b/>
      <sz val="12"/>
      <color theme="1"/>
      <name val="DFB Sans Web"/>
    </font>
    <font>
      <sz val="9"/>
      <color indexed="81"/>
      <name val="Segoe UI"/>
      <family val="2"/>
    </font>
    <font>
      <sz val="12"/>
      <color theme="1"/>
      <name val="DFB Sans Web"/>
    </font>
    <font>
      <sz val="8"/>
      <name val="DFB Sans Web"/>
      <family val="2"/>
    </font>
    <font>
      <sz val="10"/>
      <color theme="1"/>
      <name val="DFB Sans Web"/>
    </font>
    <font>
      <b/>
      <sz val="12"/>
      <color indexed="81"/>
      <name val="DFB Sans Web"/>
    </font>
    <font>
      <sz val="12"/>
      <color indexed="81"/>
      <name val="DFB Sans Web"/>
    </font>
    <font>
      <sz val="10"/>
      <color theme="1"/>
      <name val="DFB Sans Web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0" borderId="0"/>
    <xf numFmtId="9" fontId="1" fillId="0" borderId="0" applyFont="0" applyFill="0" applyBorder="0" applyAlignment="0" applyProtection="0"/>
    <xf numFmtId="0" fontId="9" fillId="0" borderId="0"/>
  </cellStyleXfs>
  <cellXfs count="26">
    <xf numFmtId="0" fontId="0" fillId="0" borderId="0" xfId="0"/>
    <xf numFmtId="0" fontId="4" fillId="0" borderId="0" xfId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0" fontId="2" fillId="2" borderId="0" xfId="1" applyFont="1" applyFill="1" applyAlignment="1">
      <alignment horizontal="center" vertical="center"/>
    </xf>
    <xf numFmtId="1" fontId="2" fillId="2" borderId="0" xfId="1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2" fillId="3" borderId="0" xfId="1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1" fontId="2" fillId="4" borderId="0" xfId="1" applyNumberFormat="1" applyFont="1" applyFill="1" applyAlignment="1">
      <alignment horizontal="center" vertical="center"/>
    </xf>
    <xf numFmtId="1" fontId="2" fillId="3" borderId="0" xfId="1" applyNumberFormat="1" applyFont="1" applyFill="1" applyAlignment="1">
      <alignment horizontal="center" vertical="center"/>
    </xf>
    <xf numFmtId="1" fontId="2" fillId="3" borderId="0" xfId="0" applyNumberFormat="1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164" fontId="2" fillId="3" borderId="0" xfId="1" applyNumberFormat="1" applyFont="1" applyFill="1" applyAlignment="1">
      <alignment horizontal="center" vertical="center"/>
    </xf>
    <xf numFmtId="164" fontId="2" fillId="2" borderId="0" xfId="1" applyNumberFormat="1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" fontId="4" fillId="2" borderId="0" xfId="0" applyNumberFormat="1" applyFont="1" applyFill="1" applyAlignment="1">
      <alignment horizontal="center" vertical="center"/>
    </xf>
    <xf numFmtId="164" fontId="4" fillId="2" borderId="0" xfId="0" applyNumberFormat="1" applyFont="1" applyFill="1" applyAlignment="1">
      <alignment horizontal="center" vertical="center"/>
    </xf>
    <xf numFmtId="14" fontId="2" fillId="2" borderId="0" xfId="1" applyNumberFormat="1" applyFont="1" applyFill="1" applyAlignment="1">
      <alignment horizontal="center" vertical="center"/>
    </xf>
    <xf numFmtId="1" fontId="4" fillId="3" borderId="0" xfId="0" applyNumberFormat="1" applyFont="1" applyFill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</cellXfs>
  <cellStyles count="4">
    <cellStyle name="Prozent 2" xfId="2" xr:uid="{00000000-0005-0000-0000-000000000000}"/>
    <cellStyle name="Standard" xfId="0" builtinId="0"/>
    <cellStyle name="Standard 2" xfId="1" xr:uid="{00000000-0005-0000-0000-000002000000}"/>
    <cellStyle name="Standard 3" xfId="3" xr:uid="{5AC60E4B-579E-4BD2-99C6-0C9C6D5808CA}"/>
  </cellStyles>
  <dxfs count="125">
    <dxf>
      <fill>
        <patternFill patternType="lightUp">
          <fgColor rgb="FF00965A"/>
          <bgColor auto="1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39994506668294322"/>
        </patternFill>
      </fill>
    </dxf>
    <dxf>
      <fill>
        <patternFill patternType="solid">
          <bgColor theme="0"/>
        </patternFill>
      </fill>
    </dxf>
    <dxf>
      <fill>
        <patternFill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 patternType="solid">
          <bgColor theme="0"/>
        </patternFill>
      </fill>
    </dxf>
    <dxf>
      <fill>
        <patternFill>
          <bgColor theme="5" tint="0.39994506668294322"/>
        </patternFill>
      </fill>
    </dxf>
    <dxf>
      <fill>
        <patternFill patternType="solid"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 tint="-4.9989318521683403E-2"/>
        </patternFill>
      </fill>
    </dxf>
  </dxfs>
  <tableStyles count="0" defaultTableStyle="TableStyleMedium2" defaultPivotStyle="PivotStyleLight16"/>
  <colors>
    <mruColors>
      <color rgb="FF00965A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F676392-3FDD-41D6-93C3-2A601922C21C}" name="Spiele" displayName="Spiele" ref="A1:J15" totalsRowShown="0" headerRowDxfId="124">
  <tableColumns count="10">
    <tableColumn id="3" xr3:uid="{6E46BB75-7AA6-4AE0-A005-D539DDCFC196}" name="SID" dataDxfId="123"/>
    <tableColumn id="4" xr3:uid="{C47A3B61-F28E-4214-BFC3-37A3A33F953B}" name="Datum" dataDxfId="122"/>
    <tableColumn id="5" xr3:uid="{C689F04B-B6CE-4315-BADE-AAA86EC831A6}" name="Heim" dataDxfId="121"/>
    <tableColumn id="6" xr3:uid="{D9B15F89-1F0A-458D-922F-6B2237C4FDDE}" name="Gast" dataDxfId="120"/>
    <tableColumn id="7" xr3:uid="{1F4B0B22-113B-4B13-B735-0BBD579317AF}" name="1. HZ" dataDxfId="119"/>
    <tableColumn id="8" xr3:uid="{12077EEE-5CEB-4092-B79D-C908B22B2779}" name="2. HZ" dataDxfId="118"/>
    <tableColumn id="13" xr3:uid="{9623CA39-28F7-4980-A88A-3573C5D164D8}" name="TH" dataDxfId="117">
      <calculatedColumnFormula>SUM(COUNTIFS(Abschlüsse!$A$2:$A$254,$A2,Abschlüsse!$B$2:$B$254,$C2,Abschlüsse!$L$2:$L$254,"Tor"),COUNTIFS(Abschlüsse!$A$2:$A$254,$A2,Abschlüsse!$B$2:$B$254,$C2,Abschlüsse!$L$2:$L$254,"ET"))</calculatedColumnFormula>
    </tableColumn>
    <tableColumn id="14" xr3:uid="{C91559F3-290E-4254-BCA6-0153E99BEA95}" name="TG" dataDxfId="116">
      <calculatedColumnFormula>SUM(COUNTIFS(Abschlüsse!$A$2:$A$254,$A2,Abschlüsse!$B$2:$B$254,$D2,Abschlüsse!$L$2:$L$254,"Tor"),COUNTIFS(Abschlüsse!$A$2:$A$254,$A2,Abschlüsse!$B$2:$B$254,$D2,Abschlüsse!$L$2:$L$254,"ET"))</calculatedColumnFormula>
    </tableColumn>
    <tableColumn id="15" xr3:uid="{20A97A80-E72B-4108-88BD-336F6FD51B46}" name="PH" dataDxfId="115">
      <calculatedColumnFormula>IF($A2="","",IF($G2&gt;$H2,3,IF($G2=$H2,1,IF($G2&lt;$H2,0,""))))</calculatedColumnFormula>
    </tableColumn>
    <tableColumn id="16" xr3:uid="{4191863F-CF4A-4B49-A67D-B4999F1036F4}" name="PG" dataDxfId="114">
      <calculatedColumnFormula>IF($A2="","",IF($G2&lt;$H2,3,IF($G2=$H2,1,IF($G2&gt;$H2,0,""))))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D3F87D4-9D6F-4AB5-9B1F-827577A8D01C}" name="Tabelle10" displayName="Tabelle10" ref="A1:G209" totalsRowShown="0" headerRowDxfId="113" dataDxfId="112">
  <tableColumns count="7">
    <tableColumn id="1" xr3:uid="{9849534C-FEBF-4D72-A83E-C4921D5B58F8}" name="SID" dataDxfId="111"/>
    <tableColumn id="2" xr3:uid="{30E5CCDD-CD08-4E9F-93D9-14FC799320DA}" name="Nr" dataDxfId="110"/>
    <tableColumn id="3" xr3:uid="{A9A2D9AC-3794-4B06-B135-2E3A2793F85D}" name="1Von" dataDxfId="109"/>
    <tableColumn id="6" xr3:uid="{18616D7C-A504-4C93-9C5F-4ACF1574C27E}" name="1Bis" dataDxfId="108"/>
    <tableColumn id="5" xr3:uid="{8F7065A7-2117-438C-B45D-8A2C4A12E782}" name="2Von" dataDxfId="107"/>
    <tableColumn id="8" xr3:uid="{26DDE481-2A58-4719-BB30-5389A7F8F2B4}" name="2Bis" dataDxfId="106"/>
    <tableColumn id="4" xr3:uid="{9048B275-4ABE-4791-A832-CD383163ECA9}" name="SZ" dataDxfId="105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FD750AE-7335-47D4-B025-C7658ADF7DD7}" name="Karten" displayName="Karten" ref="A1:E4" totalsRowShown="0" headerRowDxfId="104" headerRowCellStyle="Standard 2">
  <tableColumns count="5">
    <tableColumn id="3" xr3:uid="{70097416-485F-4F24-982D-9E074C03170E}" name="SID" dataDxfId="103"/>
    <tableColumn id="4" xr3:uid="{B092948C-193B-446C-8856-25DFE9932308}" name="Min" dataDxfId="102"/>
    <tableColumn id="5" xr3:uid="{AA39880A-83A1-4B14-A37F-1A691A8ADEB1}" name="HZ" dataDxfId="101"/>
    <tableColumn id="6" xr3:uid="{5D906F9B-93AA-4C4C-84B2-376AE41ED7BC}" name="Team" dataDxfId="100"/>
    <tableColumn id="2" xr3:uid="{E89E6B47-DF22-428B-B7D5-23F13828C5E5}" name="TNr" dataDxfId="99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C2ACF92-1699-403D-A98C-81F228F02BD5}" name="Abschlüsse" displayName="Abschlüsse" ref="A1:AR254" totalsRowShown="0" headerRowDxfId="98" dataDxfId="97" headerRowCellStyle="Standard 2">
  <autoFilter ref="A1:AR254" xr:uid="{3C2ACF92-1699-403D-A98C-81F228F02BD5}"/>
  <tableColumns count="44">
    <tableColumn id="3" xr3:uid="{0676AC04-BF24-449C-85E1-9A2476826D3A}" name="SID" dataDxfId="96"/>
    <tableColumn id="4" xr3:uid="{115800A1-176E-47B9-8A68-56625F9DD647}" name="TID" dataDxfId="95"/>
    <tableColumn id="5" xr3:uid="{C19F80A9-D1CF-49F1-8F61-DBA96CBBDD44}" name="HG" dataDxfId="94">
      <calculatedColumnFormula>IF($A2="","",IF(VLOOKUP($A2,Spiele!$A$2:$D$15,3,FALSE)=$B2,"H","G"))</calculatedColumnFormula>
    </tableColumn>
    <tableColumn id="6" xr3:uid="{3DFABB6E-EDFC-4F0E-826F-06C6A5AD8683}" name="GID" dataDxfId="93">
      <calculatedColumnFormula>IF($B2="","",IF(VLOOKUP($A2,Spiele!$A$2:$F$15,3,FALSE)=$B2,VLOOKUP($A2,Spiele!$A$2:$F$15,4,FALSE),VLOOKUP($A2,Spiele!$A$2:$F$15,3,FALSE)))</calculatedColumnFormula>
    </tableColumn>
    <tableColumn id="7" xr3:uid="{D19C19F7-DE1E-42DF-974A-D2D74520C748}" name="AbNr" dataDxfId="92">
      <calculatedColumnFormula>IF(Abschlüsse[[#This Row],[Ergeb]]="ET",0,COUNTIFS($A$2:$A2,$A2,$B$2:$B2,$B2,$L$2:$L2,"&lt;&gt;ET"))</calculatedColumnFormula>
    </tableColumn>
    <tableColumn id="8" xr3:uid="{3B1D1C24-F95D-4C77-AF08-E4A123A74007}" name="Min" dataDxfId="91"/>
    <tableColumn id="9" xr3:uid="{6606DEAC-71A2-4313-AAE4-5C8A940C1133}" name="HZ" dataDxfId="90"/>
    <tableColumn id="10" xr3:uid="{9F0E3DBA-AEA8-4714-9395-480D67A047DB}" name="PR" dataDxfId="89">
      <calculatedColumnFormula>COUNTIFS('Rote Karten'!$A$2:$A$4,$A2,'Rote Karten'!$D$2:$D$4,"&lt;&gt;"&amp;$B2,'Rote Karten'!$B$2:$B$4,"&lt;"&amp;$F2,'Rote Karten'!$C$2:$C$4,"&lt;="&amp;$G2)-COUNTIFS('Rote Karten'!$A$2:$A$4,$A2,'Rote Karten'!$D$2:$D$4,$B2,'Rote Karten'!$B$2:$B$4,"&lt;"&amp;$F2,'Rote Karten'!$C$2:$C$4,"&lt;="&amp;$G2)</calculatedColumnFormula>
    </tableColumn>
    <tableColumn id="11" xr3:uid="{6142E3DF-889A-4B2B-97E8-6FD7D8CC9D6C}" name="SpSt" dataDxfId="88">
      <calculatedColumnFormula>IF(OR($L2="Tor",$L2="ET"),_xlfn.IFNA(IF(VLOOKUP($A2,Spiele!$A$2:$C$15,3,FALSE)=$B2,COUNTIFS($L$2:$L2,"Tor",$B$2:$B2,$B2,$A$2:$A2,$A2)+COUNTIFS($L$2:$L2,"ET",$B$2:$B2,$B2,$A$2:$A2,$A2)&amp;":"&amp;COUNTIFS($L$2:$L2,"Tor",$B$2:$B2,"&lt;&gt;"&amp;$B2,$A$2:$A2,$A2)+COUNTIFS($L$2:$L2,"ET",$B$2:$B2,"&lt;&gt;"&amp;$B2,$A$2:$A2,$A2),COUNTIFS($L$2:$L2,"Tor",$B$2:$B2,"&lt;&gt;"&amp;$B2,$A$2:$A2,$A2)+COUNTIFS($L$2:$L2,"ET",$B$2:$B2,"&lt;&gt;"&amp;$B2,$A$2:$A2,$A2)&amp;":"&amp;COUNTIFS($L$2:$L2,"Tor",$B$2:$B2,$B2,$A$2:$A2,$A2)+COUNTIFS($L$2:$L2,"ET",$B$2:$B2,$B2,$A$2:$A2,$A2)),""),"")</calculatedColumnFormula>
    </tableColumn>
    <tableColumn id="12" xr3:uid="{9B1FAFAC-2EEC-4649-B2F3-8803E71BE194}" name="GS" dataDxfId="87">
      <calculatedColumnFormula>_xlfn.IFNA(IF(VLOOKUP($A2,Spiele!$A$2:$D$15,3,FALSE)=$B2,(COUNTIFS($L$1:$L1,"Tor",$B$1:$B1,$B2,$A$1:$A1,$A2)+COUNTIFS($L$1:$L1,"ET",$B$1:$B1,$B2,$A$1:$A1,$A2))-(COUNTIFS($L$1:$L1,"Tor",$B$1:$B1,"&lt;&gt;"&amp;$B2,$A$1:$A1,$A2)+COUNTIFS($L$1:$L1,"ET",$B$1:$B1,"&lt;&gt;"&amp;$B2,$A$1:$A1,$A2)),(COUNTIFS($L$1:$L1,"Tor",$B$1:$B1,$B2,$A$1:$A1,$A2)+COUNTIFS($L$1:$L1,"ET",$B$1:$B1,$B2,$A$1:$A1,$A2))-(COUNTIFS($L$1:$L1,"Tor",$B$1:$B1,"&lt;&gt;"&amp;$B2,$A$1:$A1,$A2)+COUNTIFS($L$1:$L1,"ET",$B$1:$B1,"&lt;&gt;"&amp;$B2,$A$1:$A1,$A2))),"")</calculatedColumnFormula>
    </tableColumn>
    <tableColumn id="13" xr3:uid="{CC428C03-CFEF-4D06-B244-5F16229C14BC}" name="AP" dataDxfId="86"/>
    <tableColumn id="14" xr3:uid="{9BB09F34-2ED0-47E9-B84C-40DC097D25F5}" name="Ergeb" dataDxfId="85"/>
    <tableColumn id="15" xr3:uid="{6C57D418-22CA-497C-B088-5843FFCDEDD2}" name="Phase" dataDxfId="84"/>
    <tableColumn id="56" xr3:uid="{AEAE92F2-B7AB-4B3E-848F-FCF45833072A}" name="VorT" dataDxfId="83"/>
    <tableColumn id="1" xr3:uid="{34E9F78F-EFDB-46C3-9BFE-9BCA54759B4E}" name="VNr" dataDxfId="82"/>
    <tableColumn id="19" xr3:uid="{9FA4BEDF-1EBC-4B1F-9742-41586CD52374}" name="2VNr" dataDxfId="81"/>
    <tableColumn id="41" xr3:uid="{F00A10CF-A199-454D-A4F2-B3BCF7A37FC4}" name="3VNr" dataDxfId="80"/>
    <tableColumn id="40" xr3:uid="{0D3A3F12-70B7-4EEB-98A3-C5A87CF96CA6}" name="4VNr" dataDxfId="79"/>
    <tableColumn id="39" xr3:uid="{0CC28612-BE0A-4B32-8F70-5248F77D7169}" name="5VNr" dataDxfId="78"/>
    <tableColumn id="38" xr3:uid="{19D00967-9F96-4B46-B790-07181869FBD6}" name="6VNr" dataDxfId="77"/>
    <tableColumn id="22" xr3:uid="{7217BEA7-2DE9-497F-B43C-3CEA65491CE8}" name="7VNr" dataDxfId="76"/>
    <tableColumn id="44" xr3:uid="{B295D602-77BF-4FED-9C4F-6F1378CD28AF}" name="8VNr" dataDxfId="75"/>
    <tableColumn id="43" xr3:uid="{F3BE3028-C1EC-48FB-AF19-D650ACFF06E5}" name="9VNr" dataDxfId="74"/>
    <tableColumn id="47" xr3:uid="{647B20CC-7D80-421C-BE8F-8F3CE9B968EE}" name="(VFB)" dataDxfId="73"/>
    <tableColumn id="21" xr3:uid="{95AAAC4A-8457-4DFC-8371-7B0C810C8712}" name="KörT" dataDxfId="72"/>
    <tableColumn id="23" xr3:uid="{808E2CAB-9D7C-459E-B2D4-25D9F743DA87}" name="TrefH" dataDxfId="71"/>
    <tableColumn id="24" xr3:uid="{A11971A4-7A8E-4B97-84D5-7391AC59E624}" name="KörR" dataDxfId="70"/>
    <tableColumn id="26" xr3:uid="{E41E2754-BFBC-4D03-8812-6F17B62B2B60}" name="SNr" dataDxfId="69"/>
    <tableColumn id="31" xr3:uid="{DD0D9E09-CF09-48E1-97C3-8C9B6D4D1E5B}" name="xFe" dataDxfId="68"/>
    <tableColumn id="28" xr3:uid="{11680A8C-8CDB-4710-8CDE-51FF0EE9520C}" name="yFe" dataDxfId="67"/>
    <tableColumn id="29" xr3:uid="{BCBF9B7F-F1D7-48E8-852E-1B36B42A6C43}" name="DisT" dataDxfId="66">
      <calculatedColumnFormula>IF($L2="ET","",IF($AC2&gt;3.66,SQRT($AD2^2+($AC2-(7.32/2))^2),IF($AC2&lt;-3.66,SQRT($AD2^2+($AC2+(7.32/2))^2),$AD2)))</calculatedColumnFormula>
    </tableColumn>
    <tableColumn id="30" xr3:uid="{AC9B65EE-53EF-4A59-8FCA-C2D6A0C4A3DA}" name="WinT" dataDxfId="65">
      <calculatedColumnFormula>IF($L2="ET","",IF(DEGREES(ATAN((7.32*$AD2)/($AD2^2+$AC2^2-(7.32/2)^2)))&lt;=0,180+DEGREES(ATAN((7.32*$AD2)/($AD2^2+$AC2^2-(7.32/2)^2))),DEGREES(ATAN((7.32*$AD2)/($AD2^2+$AC2^2-(7.32/2)^2)))))</calculatedColumnFormula>
    </tableColumn>
    <tableColumn id="50" xr3:uid="{FC7F7126-4E73-456C-885D-E55627565533}" name="TWA" dataDxfId="64"/>
    <tableColumn id="49" xr3:uid="{B29E0C2E-2BEC-4407-BA9E-CDCD562039BF}" name="xTW" dataDxfId="63"/>
    <tableColumn id="17" xr3:uid="{6724291E-070A-4888-ABDD-B931563CA214}" name="yTW" dataDxfId="62"/>
    <tableColumn id="32" xr3:uid="{87862D1D-C2BB-4683-A92F-75FE8571FA2E}" name="TWD" dataDxfId="61">
      <calculatedColumnFormula>IF(Abschlüsse[[#This Row],[Ergeb]]="ET","",SQRT(($AC2-$AH2)^2+($AD2-$AI2)^2))</calculatedColumnFormula>
    </tableColumn>
    <tableColumn id="33" xr3:uid="{94FF56B2-6993-474F-AB48-0FF3C0098004}" name="StrA" dataDxfId="60"/>
    <tableColumn id="27" xr3:uid="{741633BC-E97B-44EB-A7F2-F59753AE6E65}" name="xStr" dataDxfId="59"/>
    <tableColumn id="25" xr3:uid="{92B6126A-E63C-4863-866B-07BBF966FD02}" name="yStr" dataDxfId="58"/>
    <tableColumn id="20" xr3:uid="{B0913E61-0547-4A7A-A6A7-84849CF14046}" name="DSD" dataDxfId="57">
      <calculatedColumnFormula>IF(AK2=0,"",SQRT(($AC2-$AL2)^2+($AD2-$AM2)^2))</calculatedColumnFormula>
    </tableColumn>
    <tableColumn id="34" xr3:uid="{94BF70EA-16AC-45EC-85EC-F51169F858FF}" name="BloA" dataDxfId="56"/>
    <tableColumn id="35" xr3:uid="{E8EC79AD-7B6F-4536-B8A3-30825A8AF986}" name="xBlo" dataDxfId="55"/>
    <tableColumn id="36" xr3:uid="{D02871C8-34A8-45E5-A1CC-1FE9EA4724EE}" name="yBlo" dataDxfId="54"/>
    <tableColumn id="37" xr3:uid="{43BAA548-6D8F-4DBB-8759-92D6CB80CF92}" name="DBD" dataDxfId="53">
      <calculatedColumnFormula>IF(AO2=0,"",SQRT(($AC2-$AP2)^2+($AD2-$AQ2)^2))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2E3F26E-F735-4032-BC61-FE48D7D63912}" name="Teams" displayName="Teams" ref="A1:B16" totalsRowShown="0" headerRowDxfId="52" dataDxfId="51">
  <sortState xmlns:xlrd2="http://schemas.microsoft.com/office/spreadsheetml/2017/richdata2" ref="A2:B16">
    <sortCondition ref="B1:B16"/>
  </sortState>
  <tableColumns count="2">
    <tableColumn id="1" xr3:uid="{27BAE413-083F-4F88-A9CD-16D42B209049}" name="TID" dataDxfId="50"/>
    <tableColumn id="2" xr3:uid="{4FA1BA8C-B703-4335-B254-DB509E573EE1}" name="Vereinsname" dataDxfId="49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B75E859-3E1B-42D3-851F-742095C94B3A}" name="Spieler" displayName="Spieler" ref="A1:C23" totalsRowShown="0" headerRowDxfId="48" dataDxfId="47">
  <sortState xmlns:xlrd2="http://schemas.microsoft.com/office/spreadsheetml/2017/richdata2" ref="A2:C23">
    <sortCondition ref="A1:A23"/>
  </sortState>
  <tableColumns count="3">
    <tableColumn id="3" xr3:uid="{6E0A8AAC-34A0-4023-B327-51EC11EB4584}" name="Nr" dataDxfId="46"/>
    <tableColumn id="1" xr3:uid="{2B0A2B90-AFAC-47C9-8A53-A8D111281E0C}" name="Vorname" dataDxfId="45"/>
    <tableColumn id="2" xr3:uid="{689F3E8F-1306-4126-8B87-A0D1D886F089}" name="Nachname" dataDxfId="44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5"/>
  <sheetViews>
    <sheetView zoomScale="70" zoomScaleNormal="70" workbookViewId="0">
      <pane ySplit="1" topLeftCell="A2" activePane="bottomLeft" state="frozen"/>
      <selection activeCell="B2" sqref="B2:O2"/>
      <selection pane="bottomLeft"/>
    </sheetView>
  </sheetViews>
  <sheetFormatPr baseColWidth="10" defaultColWidth="11.21875" defaultRowHeight="25.05" customHeight="1"/>
  <cols>
    <col min="1" max="1" width="6.77734375" style="3" customWidth="1"/>
    <col min="2" max="2" width="15.77734375" style="6" customWidth="1"/>
    <col min="3" max="4" width="12.77734375" style="2" customWidth="1"/>
    <col min="5" max="10" width="6.77734375" style="3" customWidth="1"/>
    <col min="11" max="11" width="3.6640625" style="2" customWidth="1"/>
    <col min="12" max="16384" width="11.21875" style="2"/>
  </cols>
  <sheetData>
    <row r="1" spans="1:10" ht="25.05" customHeight="1">
      <c r="A1" s="5" t="s">
        <v>25</v>
      </c>
      <c r="B1" s="20" t="s">
        <v>7</v>
      </c>
      <c r="C1" s="4" t="s">
        <v>133</v>
      </c>
      <c r="D1" s="4" t="s">
        <v>134</v>
      </c>
      <c r="E1" s="5" t="s">
        <v>23</v>
      </c>
      <c r="F1" s="5" t="s">
        <v>24</v>
      </c>
      <c r="G1" s="10" t="s">
        <v>38</v>
      </c>
      <c r="H1" s="10" t="s">
        <v>39</v>
      </c>
      <c r="I1" s="10" t="s">
        <v>40</v>
      </c>
      <c r="J1" s="10" t="s">
        <v>41</v>
      </c>
    </row>
    <row r="2" spans="1:10" ht="25.05" customHeight="1">
      <c r="A2" s="3">
        <v>1</v>
      </c>
      <c r="B2" s="6">
        <v>45900</v>
      </c>
      <c r="C2" s="2" t="s">
        <v>8</v>
      </c>
      <c r="D2" s="2" t="s">
        <v>54</v>
      </c>
      <c r="E2" s="3">
        <v>40</v>
      </c>
      <c r="F2" s="3">
        <v>40</v>
      </c>
      <c r="G2" s="18">
        <f>SUM(COUNTIFS(Abschlüsse!$A$2:$A$254,$A2,Abschlüsse!$B$2:$B$254,$C2,Abschlüsse!$L$2:$L$254,"Tor"),COUNTIFS(Abschlüsse!$A$2:$A$254,$A2,Abschlüsse!$B$2:$B$254,$C2,Abschlüsse!$L$2:$L$254,"ET"))</f>
        <v>4</v>
      </c>
      <c r="H2" s="18">
        <f>SUM(COUNTIFS(Abschlüsse!$A$2:$A$254,$A2,Abschlüsse!$B$2:$B$254,$D2,Abschlüsse!$L$2:$L$254,"Tor"),COUNTIFS(Abschlüsse!$A$2:$A$254,$A2,Abschlüsse!$B$2:$B$254,$D2,Abschlüsse!$L$2:$L$254,"ET"))</f>
        <v>0</v>
      </c>
      <c r="I2" s="18">
        <f t="shared" ref="I2:I13" si="0">IF($A2="","",IF($G2&gt;$H2,3,IF($G2=$H2,1,IF($G2&lt;$H2,0,""))))</f>
        <v>3</v>
      </c>
      <c r="J2" s="18">
        <f t="shared" ref="J2:J13" si="1">IF($A2="","",IF($G2&lt;$H2,3,IF($G2=$H2,1,IF($G2&gt;$H2,0,""))))</f>
        <v>0</v>
      </c>
    </row>
    <row r="3" spans="1:10" ht="25.05" customHeight="1">
      <c r="A3" s="3">
        <v>2</v>
      </c>
      <c r="B3" s="6">
        <v>45906</v>
      </c>
      <c r="C3" s="2" t="s">
        <v>56</v>
      </c>
      <c r="D3" s="2" t="s">
        <v>8</v>
      </c>
      <c r="E3" s="3">
        <v>40</v>
      </c>
      <c r="F3" s="3">
        <v>43</v>
      </c>
      <c r="G3" s="18">
        <f>SUM(COUNTIFS(Abschlüsse!$A$2:$A$254,$A3,Abschlüsse!$B$2:$B$254,$C3,Abschlüsse!$L$2:$L$254,"Tor"),COUNTIFS(Abschlüsse!$A$2:$A$254,$A3,Abschlüsse!$B$2:$B$254,$C3,Abschlüsse!$L$2:$L$254,"ET"))</f>
        <v>2</v>
      </c>
      <c r="H3" s="18">
        <f>SUM(COUNTIFS(Abschlüsse!$A$2:$A$254,$A3,Abschlüsse!$B$2:$B$254,$D3,Abschlüsse!$L$2:$L$254,"Tor"),COUNTIFS(Abschlüsse!$A$2:$A$254,$A3,Abschlüsse!$B$2:$B$254,$D3,Abschlüsse!$L$2:$L$254,"ET"))</f>
        <v>3</v>
      </c>
      <c r="I3" s="18">
        <f t="shared" si="0"/>
        <v>0</v>
      </c>
      <c r="J3" s="18">
        <f t="shared" si="1"/>
        <v>3</v>
      </c>
    </row>
    <row r="4" spans="1:10" ht="25.05" customHeight="1">
      <c r="A4" s="3">
        <v>3</v>
      </c>
      <c r="B4" s="6">
        <v>45914</v>
      </c>
      <c r="C4" s="2" t="s">
        <v>8</v>
      </c>
      <c r="D4" s="2" t="s">
        <v>58</v>
      </c>
      <c r="E4" s="3">
        <v>40</v>
      </c>
      <c r="F4" s="3">
        <v>40</v>
      </c>
      <c r="G4" s="18">
        <f>SUM(COUNTIFS(Abschlüsse!$A$2:$A$254,$A4,Abschlüsse!$B$2:$B$254,$C4,Abschlüsse!$L$2:$L$254,"Tor"),COUNTIFS(Abschlüsse!$A$2:$A$254,$A4,Abschlüsse!$B$2:$B$254,$C4,Abschlüsse!$L$2:$L$254,"ET"))</f>
        <v>4</v>
      </c>
      <c r="H4" s="18">
        <f>SUM(COUNTIFS(Abschlüsse!$A$2:$A$254,$A4,Abschlüsse!$B$2:$B$254,$D4,Abschlüsse!$L$2:$L$254,"Tor"),COUNTIFS(Abschlüsse!$A$2:$A$254,$A4,Abschlüsse!$B$2:$B$254,$D4,Abschlüsse!$L$2:$L$254,"ET"))</f>
        <v>1</v>
      </c>
      <c r="I4" s="18">
        <f t="shared" si="0"/>
        <v>3</v>
      </c>
      <c r="J4" s="18">
        <f t="shared" si="1"/>
        <v>0</v>
      </c>
    </row>
    <row r="5" spans="1:10" ht="25.05" customHeight="1">
      <c r="A5" s="3">
        <v>4</v>
      </c>
      <c r="B5" s="6">
        <v>45917</v>
      </c>
      <c r="C5" s="2" t="s">
        <v>60</v>
      </c>
      <c r="D5" s="2" t="s">
        <v>8</v>
      </c>
      <c r="E5" s="3">
        <v>42</v>
      </c>
      <c r="F5" s="3">
        <v>43</v>
      </c>
      <c r="G5" s="18">
        <f>SUM(COUNTIFS(Abschlüsse!$A$2:$A$254,$A5,Abschlüsse!$B$2:$B$254,$C5,Abschlüsse!$L$2:$L$254,"Tor"),COUNTIFS(Abschlüsse!$A$2:$A$254,$A5,Abschlüsse!$B$2:$B$254,$C5,Abschlüsse!$L$2:$L$254,"ET"))</f>
        <v>0</v>
      </c>
      <c r="H5" s="18">
        <f>SUM(COUNTIFS(Abschlüsse!$A$2:$A$254,$A5,Abschlüsse!$B$2:$B$254,$D5,Abschlüsse!$L$2:$L$254,"Tor"),COUNTIFS(Abschlüsse!$A$2:$A$254,$A5,Abschlüsse!$B$2:$B$254,$D5,Abschlüsse!$L$2:$L$254,"ET"))</f>
        <v>2</v>
      </c>
      <c r="I5" s="18">
        <f t="shared" si="0"/>
        <v>0</v>
      </c>
      <c r="J5" s="18">
        <f t="shared" si="1"/>
        <v>3</v>
      </c>
    </row>
    <row r="6" spans="1:10" ht="25.05" customHeight="1">
      <c r="A6" s="3">
        <v>5</v>
      </c>
      <c r="B6" s="6">
        <v>45921</v>
      </c>
      <c r="C6" s="2" t="s">
        <v>8</v>
      </c>
      <c r="D6" s="2" t="s">
        <v>62</v>
      </c>
      <c r="E6" s="3">
        <v>41</v>
      </c>
      <c r="F6" s="3">
        <v>42</v>
      </c>
      <c r="G6" s="18">
        <f>SUM(COUNTIFS(Abschlüsse!$A$2:$A$254,$A6,Abschlüsse!$B$2:$B$254,$C6,Abschlüsse!$L$2:$L$254,"Tor"),COUNTIFS(Abschlüsse!$A$2:$A$254,$A6,Abschlüsse!$B$2:$B$254,$C6,Abschlüsse!$L$2:$L$254,"ET"))</f>
        <v>2</v>
      </c>
      <c r="H6" s="18">
        <f>SUM(COUNTIFS(Abschlüsse!$A$2:$A$254,$A6,Abschlüsse!$B$2:$B$254,$D6,Abschlüsse!$L$2:$L$254,"Tor"),COUNTIFS(Abschlüsse!$A$2:$A$254,$A6,Abschlüsse!$B$2:$B$254,$D6,Abschlüsse!$L$2:$L$254,"ET"))</f>
        <v>2</v>
      </c>
      <c r="I6" s="18">
        <f t="shared" si="0"/>
        <v>1</v>
      </c>
      <c r="J6" s="18">
        <f t="shared" si="1"/>
        <v>1</v>
      </c>
    </row>
    <row r="7" spans="1:10" ht="25.05" customHeight="1">
      <c r="A7" s="3">
        <v>6</v>
      </c>
      <c r="B7" s="6">
        <v>45928</v>
      </c>
      <c r="C7" s="2" t="s">
        <v>64</v>
      </c>
      <c r="D7" s="2" t="s">
        <v>8</v>
      </c>
      <c r="E7" s="3">
        <v>41</v>
      </c>
      <c r="F7" s="3">
        <v>45</v>
      </c>
      <c r="G7" s="18">
        <f>SUM(COUNTIFS(Abschlüsse!$A$2:$A$254,$A7,Abschlüsse!$B$2:$B$254,$C7,Abschlüsse!$L$2:$L$254,"Tor"),COUNTIFS(Abschlüsse!$A$2:$A$254,$A7,Abschlüsse!$B$2:$B$254,$C7,Abschlüsse!$L$2:$L$254,"ET"))</f>
        <v>4</v>
      </c>
      <c r="H7" s="18">
        <f>SUM(COUNTIFS(Abschlüsse!$A$2:$A$254,$A7,Abschlüsse!$B$2:$B$254,$D7,Abschlüsse!$L$2:$L$254,"Tor"),COUNTIFS(Abschlüsse!$A$2:$A$254,$A7,Abschlüsse!$B$2:$B$254,$D7,Abschlüsse!$L$2:$L$254,"ET"))</f>
        <v>4</v>
      </c>
      <c r="I7" s="18">
        <f t="shared" si="0"/>
        <v>1</v>
      </c>
      <c r="J7" s="18">
        <f t="shared" si="1"/>
        <v>1</v>
      </c>
    </row>
    <row r="8" spans="1:10" ht="25.05" customHeight="1">
      <c r="A8" s="3">
        <v>7</v>
      </c>
      <c r="B8" s="6">
        <v>45931</v>
      </c>
      <c r="C8" s="2" t="s">
        <v>8</v>
      </c>
      <c r="D8" s="2" t="s">
        <v>66</v>
      </c>
      <c r="E8" s="3">
        <v>41</v>
      </c>
      <c r="F8" s="3">
        <v>45</v>
      </c>
      <c r="G8" s="18">
        <f>SUM(COUNTIFS(Abschlüsse!$A$2:$A$254,$A8,Abschlüsse!$B$2:$B$254,$C8,Abschlüsse!$L$2:$L$254,"Tor"),COUNTIFS(Abschlüsse!$A$2:$A$254,$A8,Abschlüsse!$B$2:$B$254,$C8,Abschlüsse!$L$2:$L$254,"ET"))</f>
        <v>2</v>
      </c>
      <c r="H8" s="18">
        <f>SUM(COUNTIFS(Abschlüsse!$A$2:$A$254,$A8,Abschlüsse!$B$2:$B$254,$D8,Abschlüsse!$L$2:$L$254,"Tor"),COUNTIFS(Abschlüsse!$A$2:$A$254,$A8,Abschlüsse!$B$2:$B$254,$D8,Abschlüsse!$L$2:$L$254,"ET"))</f>
        <v>1</v>
      </c>
      <c r="I8" s="18">
        <f t="shared" si="0"/>
        <v>3</v>
      </c>
      <c r="J8" s="18">
        <f t="shared" si="1"/>
        <v>0</v>
      </c>
    </row>
    <row r="9" spans="1:10" ht="25.05" customHeight="1">
      <c r="A9" s="3">
        <v>8</v>
      </c>
      <c r="B9" s="6">
        <v>45935</v>
      </c>
      <c r="C9" s="2" t="s">
        <v>51</v>
      </c>
      <c r="D9" s="2" t="s">
        <v>8</v>
      </c>
      <c r="E9" s="3">
        <v>40</v>
      </c>
      <c r="F9" s="3">
        <v>46</v>
      </c>
      <c r="G9" s="18">
        <f>SUM(COUNTIFS(Abschlüsse!$A$2:$A$254,$A9,Abschlüsse!$B$2:$B$254,$C9,Abschlüsse!$L$2:$L$254,"Tor"),COUNTIFS(Abschlüsse!$A$2:$A$254,$A9,Abschlüsse!$B$2:$B$254,$C9,Abschlüsse!$L$2:$L$254,"ET"))</f>
        <v>2</v>
      </c>
      <c r="H9" s="18">
        <f>SUM(COUNTIFS(Abschlüsse!$A$2:$A$254,$A9,Abschlüsse!$B$2:$B$254,$D9,Abschlüsse!$L$2:$L$254,"Tor"),COUNTIFS(Abschlüsse!$A$2:$A$254,$A9,Abschlüsse!$B$2:$B$254,$D9,Abschlüsse!$L$2:$L$254,"ET"))</f>
        <v>3</v>
      </c>
      <c r="I9" s="18">
        <f t="shared" si="0"/>
        <v>0</v>
      </c>
      <c r="J9" s="18">
        <f t="shared" si="1"/>
        <v>3</v>
      </c>
    </row>
    <row r="10" spans="1:10" ht="25.05" customHeight="1">
      <c r="A10" s="3">
        <v>9</v>
      </c>
      <c r="B10" s="6">
        <v>45949</v>
      </c>
      <c r="C10" s="2" t="s">
        <v>70</v>
      </c>
      <c r="D10" s="2" t="s">
        <v>8</v>
      </c>
      <c r="E10" s="3">
        <v>42</v>
      </c>
      <c r="F10" s="3">
        <v>44</v>
      </c>
      <c r="G10" s="18">
        <f>SUM(COUNTIFS(Abschlüsse!$A$2:$A$254,$A10,Abschlüsse!$B$2:$B$254,$C10,Abschlüsse!$L$2:$L$254,"Tor"),COUNTIFS(Abschlüsse!$A$2:$A$254,$A10,Abschlüsse!$B$2:$B$254,$C10,Abschlüsse!$L$2:$L$254,"ET"))</f>
        <v>0</v>
      </c>
      <c r="H10" s="18">
        <f>SUM(COUNTIFS(Abschlüsse!$A$2:$A$254,$A10,Abschlüsse!$B$2:$B$254,$D10,Abschlüsse!$L$2:$L$254,"Tor"),COUNTIFS(Abschlüsse!$A$2:$A$254,$A10,Abschlüsse!$B$2:$B$254,$D10,Abschlüsse!$L$2:$L$254,"ET"))</f>
        <v>0</v>
      </c>
      <c r="I10" s="18">
        <f t="shared" si="0"/>
        <v>1</v>
      </c>
      <c r="J10" s="18">
        <f t="shared" si="1"/>
        <v>1</v>
      </c>
    </row>
    <row r="11" spans="1:10" ht="25.05" customHeight="1">
      <c r="A11" s="3">
        <v>10</v>
      </c>
      <c r="B11" s="6">
        <v>45956</v>
      </c>
      <c r="C11" s="2" t="s">
        <v>8</v>
      </c>
      <c r="D11" s="2" t="s">
        <v>72</v>
      </c>
      <c r="E11" s="3">
        <v>40</v>
      </c>
      <c r="F11" s="3">
        <v>44</v>
      </c>
      <c r="G11" s="18">
        <f>SUM(COUNTIFS(Abschlüsse!$A$2:$A$254,$A11,Abschlüsse!$B$2:$B$254,$C11,Abschlüsse!$L$2:$L$254,"Tor"),COUNTIFS(Abschlüsse!$A$2:$A$254,$A11,Abschlüsse!$B$2:$B$254,$C11,Abschlüsse!$L$2:$L$254,"ET"))</f>
        <v>0</v>
      </c>
      <c r="H11" s="18">
        <f>SUM(COUNTIFS(Abschlüsse!$A$2:$A$254,$A11,Abschlüsse!$B$2:$B$254,$D11,Abschlüsse!$L$2:$L$254,"Tor"),COUNTIFS(Abschlüsse!$A$2:$A$254,$A11,Abschlüsse!$B$2:$B$254,$D11,Abschlüsse!$L$2:$L$254,"ET"))</f>
        <v>0</v>
      </c>
      <c r="I11" s="18">
        <f t="shared" si="0"/>
        <v>1</v>
      </c>
      <c r="J11" s="18">
        <f t="shared" si="1"/>
        <v>1</v>
      </c>
    </row>
    <row r="12" spans="1:10" ht="25.05" customHeight="1">
      <c r="A12" s="3">
        <v>11</v>
      </c>
      <c r="B12" s="6">
        <v>45963</v>
      </c>
      <c r="C12" s="2" t="s">
        <v>74</v>
      </c>
      <c r="D12" s="2" t="s">
        <v>8</v>
      </c>
      <c r="E12" s="3">
        <v>40</v>
      </c>
      <c r="F12" s="3">
        <v>46</v>
      </c>
      <c r="G12" s="18">
        <f>SUM(COUNTIFS(Abschlüsse!$A$2:$A$254,$A12,Abschlüsse!$B$2:$B$254,$C12,Abschlüsse!$L$2:$L$254,"Tor"),COUNTIFS(Abschlüsse!$A$2:$A$254,$A12,Abschlüsse!$B$2:$B$254,$C12,Abschlüsse!$L$2:$L$254,"ET"))</f>
        <v>0</v>
      </c>
      <c r="H12" s="18">
        <f>SUM(COUNTIFS(Abschlüsse!$A$2:$A$254,$A12,Abschlüsse!$B$2:$B$254,$D12,Abschlüsse!$L$2:$L$254,"Tor"),COUNTIFS(Abschlüsse!$A$2:$A$254,$A12,Abschlüsse!$B$2:$B$254,$D12,Abschlüsse!$L$2:$L$254,"ET"))</f>
        <v>0</v>
      </c>
      <c r="I12" s="18">
        <f t="shared" si="0"/>
        <v>1</v>
      </c>
      <c r="J12" s="18">
        <f t="shared" si="1"/>
        <v>1</v>
      </c>
    </row>
    <row r="13" spans="1:10" ht="25.05" customHeight="1">
      <c r="A13" s="3">
        <v>12</v>
      </c>
      <c r="B13" s="6">
        <v>45970</v>
      </c>
      <c r="C13" s="2" t="s">
        <v>8</v>
      </c>
      <c r="D13" s="2" t="s">
        <v>68</v>
      </c>
      <c r="E13" s="3">
        <v>41</v>
      </c>
      <c r="F13" s="3">
        <v>45</v>
      </c>
      <c r="G13" s="18">
        <f>SUM(COUNTIFS(Abschlüsse!$A$2:$A$254,$A13,Abschlüsse!$B$2:$B$254,$C13,Abschlüsse!$L$2:$L$254,"Tor"),COUNTIFS(Abschlüsse!$A$2:$A$254,$A13,Abschlüsse!$B$2:$B$254,$C13,Abschlüsse!$L$2:$L$254,"ET"))</f>
        <v>0</v>
      </c>
      <c r="H13" s="18">
        <f>SUM(COUNTIFS(Abschlüsse!$A$2:$A$254,$A13,Abschlüsse!$B$2:$B$254,$D13,Abschlüsse!$L$2:$L$254,"Tor"),COUNTIFS(Abschlüsse!$A$2:$A$254,$A13,Abschlüsse!$B$2:$B$254,$D13,Abschlüsse!$L$2:$L$254,"ET"))</f>
        <v>0</v>
      </c>
      <c r="I13" s="18">
        <f t="shared" si="0"/>
        <v>1</v>
      </c>
      <c r="J13" s="18">
        <f t="shared" si="1"/>
        <v>1</v>
      </c>
    </row>
    <row r="14" spans="1:10" ht="25.05" customHeight="1">
      <c r="A14" s="3">
        <v>13</v>
      </c>
      <c r="B14" s="6">
        <v>45977</v>
      </c>
      <c r="C14" s="2" t="s">
        <v>8</v>
      </c>
      <c r="D14" s="2" t="s">
        <v>76</v>
      </c>
      <c r="E14" s="3">
        <v>41</v>
      </c>
      <c r="F14" s="3">
        <v>44</v>
      </c>
      <c r="G14" s="18">
        <f>SUM(COUNTIFS(Abschlüsse!$A$2:$A$254,$A14,Abschlüsse!$B$2:$B$254,$C14,Abschlüsse!$L$2:$L$254,"Tor"),COUNTIFS(Abschlüsse!$A$2:$A$254,$A14,Abschlüsse!$B$2:$B$254,$C14,Abschlüsse!$L$2:$L$254,"ET"))</f>
        <v>1</v>
      </c>
      <c r="H14" s="18">
        <f>SUM(COUNTIFS(Abschlüsse!$A$2:$A$254,$A14,Abschlüsse!$B$2:$B$254,$D14,Abschlüsse!$L$2:$L$254,"Tor"),COUNTIFS(Abschlüsse!$A$2:$A$254,$A14,Abschlüsse!$B$2:$B$254,$D14,Abschlüsse!$L$2:$L$254,"ET"))</f>
        <v>1</v>
      </c>
      <c r="I14" s="18">
        <f>IF($A14="","",IF($G14&gt;$H14,3,IF($G14=$H14,1,IF($G14&lt;$H14,0,""))))</f>
        <v>1</v>
      </c>
      <c r="J14" s="18">
        <f>IF($A14="","",IF($G14&lt;$H14,3,IF($G14=$H14,1,IF($G14&gt;$H14,0,""))))</f>
        <v>1</v>
      </c>
    </row>
    <row r="15" spans="1:10" ht="25.05" customHeight="1">
      <c r="A15" s="3">
        <v>14</v>
      </c>
      <c r="B15" s="6">
        <v>45984</v>
      </c>
      <c r="C15" s="2" t="s">
        <v>78</v>
      </c>
      <c r="D15" s="2" t="s">
        <v>8</v>
      </c>
      <c r="E15" s="3">
        <v>42</v>
      </c>
      <c r="F15" s="3">
        <v>45</v>
      </c>
      <c r="G15" s="18">
        <f>SUM(COUNTIFS(Abschlüsse!$A$2:$A$254,$A15,Abschlüsse!$B$2:$B$254,$C15,Abschlüsse!$L$2:$L$254,"Tor"),COUNTIFS(Abschlüsse!$A$2:$A$254,$A15,Abschlüsse!$B$2:$B$254,$C15,Abschlüsse!$L$2:$L$254,"ET"))</f>
        <v>0</v>
      </c>
      <c r="H15" s="18">
        <f>SUM(COUNTIFS(Abschlüsse!$A$2:$A$254,$A15,Abschlüsse!$B$2:$B$254,$D15,Abschlüsse!$L$2:$L$254,"Tor"),COUNTIFS(Abschlüsse!$A$2:$A$254,$A15,Abschlüsse!$B$2:$B$254,$D15,Abschlüsse!$L$2:$L$254,"ET"))</f>
        <v>0</v>
      </c>
      <c r="I15" s="18">
        <f>IF($A15="","",IF($G15&gt;$H15,3,IF($G15=$H15,1,IF($G15&lt;$H15,0,""))))</f>
        <v>1</v>
      </c>
      <c r="J15" s="18">
        <f>IF($A15="","",IF($G15&lt;$H15,3,IF($G15=$H15,1,IF($G15&gt;$H15,0,""))))</f>
        <v>1</v>
      </c>
    </row>
  </sheetData>
  <conditionalFormatting sqref="A2:J15">
    <cfRule type="expression" dxfId="43" priority="112">
      <formula>ISEVEN($A2)</formula>
    </cfRule>
  </conditionalFormatting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9C6BD-4C2A-43C2-ABE2-7D7A75806116}">
  <dimension ref="A1:J209"/>
  <sheetViews>
    <sheetView zoomScale="70" zoomScaleNormal="70" workbookViewId="0">
      <pane ySplit="1" topLeftCell="A203" activePane="bottomLeft" state="frozen"/>
      <selection pane="bottomLeft"/>
    </sheetView>
  </sheetViews>
  <sheetFormatPr baseColWidth="10" defaultColWidth="5.6640625" defaultRowHeight="25.05" customHeight="1"/>
  <cols>
    <col min="1" max="7" width="6.77734375" style="2" customWidth="1"/>
    <col min="8" max="16384" width="5.6640625" style="2"/>
  </cols>
  <sheetData>
    <row r="1" spans="1:7" ht="25.05" customHeight="1">
      <c r="A1" s="25" t="s">
        <v>25</v>
      </c>
      <c r="B1" s="25" t="s">
        <v>132</v>
      </c>
      <c r="C1" s="25" t="s">
        <v>135</v>
      </c>
      <c r="D1" s="25" t="s">
        <v>136</v>
      </c>
      <c r="E1" s="25" t="s">
        <v>137</v>
      </c>
      <c r="F1" s="25" t="s">
        <v>138</v>
      </c>
      <c r="G1" s="24" t="s">
        <v>139</v>
      </c>
    </row>
    <row r="2" spans="1:7" ht="25.05" customHeight="1">
      <c r="A2" s="2">
        <v>1</v>
      </c>
      <c r="B2" s="2">
        <v>1</v>
      </c>
      <c r="C2" s="2">
        <v>1</v>
      </c>
      <c r="D2" s="2">
        <v>40</v>
      </c>
      <c r="E2" s="2">
        <v>41</v>
      </c>
      <c r="F2" s="2">
        <v>80</v>
      </c>
      <c r="G2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" spans="1:7" ht="25.05" customHeight="1">
      <c r="A3" s="2">
        <v>1</v>
      </c>
      <c r="B3" s="2">
        <v>13</v>
      </c>
      <c r="C3" s="2">
        <v>1</v>
      </c>
      <c r="D3" s="2">
        <v>40</v>
      </c>
      <c r="E3" s="2">
        <v>41</v>
      </c>
      <c r="F3" s="2">
        <v>80</v>
      </c>
      <c r="G3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4" spans="1:7" ht="25.05" customHeight="1">
      <c r="A4" s="2">
        <v>1</v>
      </c>
      <c r="B4" s="2">
        <v>20</v>
      </c>
      <c r="C4" s="2">
        <v>1</v>
      </c>
      <c r="D4" s="2">
        <v>40</v>
      </c>
      <c r="E4" s="2">
        <v>41</v>
      </c>
      <c r="F4" s="2">
        <v>80</v>
      </c>
      <c r="G4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5" spans="1:7" ht="25.05" customHeight="1">
      <c r="A5" s="2">
        <v>1</v>
      </c>
      <c r="B5" s="2">
        <v>26</v>
      </c>
      <c r="C5" s="2">
        <v>1</v>
      </c>
      <c r="D5" s="2">
        <v>40</v>
      </c>
      <c r="E5" s="2">
        <v>41</v>
      </c>
      <c r="F5" s="2">
        <v>80</v>
      </c>
      <c r="G5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6" spans="1:7" ht="25.05" customHeight="1">
      <c r="A6" s="2">
        <v>1</v>
      </c>
      <c r="B6" s="2">
        <v>23</v>
      </c>
      <c r="C6" s="2">
        <v>1</v>
      </c>
      <c r="D6" s="2">
        <v>40</v>
      </c>
      <c r="E6" s="2">
        <v>41</v>
      </c>
      <c r="F6" s="2">
        <v>70</v>
      </c>
      <c r="G6" s="17">
        <f>SUM(Tabelle10[[#This Row],[1Bis]],Tabelle10[[#This Row],[2Bis]])-SUM(Tabelle10[[#This Row],[1Von]],Tabelle10[[#This Row],[2Von]])+IF(Tabelle10[[#This Row],[2Von]]&gt;0,1)+IF(Tabelle10[[#This Row],[1Von]]&gt;0,1)</f>
        <v>70</v>
      </c>
    </row>
    <row r="7" spans="1:7" ht="25.05" customHeight="1">
      <c r="A7" s="2">
        <v>1</v>
      </c>
      <c r="B7" s="2">
        <v>6</v>
      </c>
      <c r="C7" s="2">
        <v>1</v>
      </c>
      <c r="D7" s="2">
        <v>40</v>
      </c>
      <c r="E7" s="2">
        <v>41</v>
      </c>
      <c r="F7" s="2">
        <v>80</v>
      </c>
      <c r="G7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8" spans="1:7" ht="25.05" customHeight="1">
      <c r="A8" s="2">
        <v>1</v>
      </c>
      <c r="B8" s="2">
        <v>11</v>
      </c>
      <c r="C8" s="2">
        <v>1</v>
      </c>
      <c r="D8" s="2">
        <v>40</v>
      </c>
      <c r="E8" s="2">
        <v>41</v>
      </c>
      <c r="F8" s="2">
        <v>49</v>
      </c>
      <c r="G8" s="17">
        <f>SUM(Tabelle10[[#This Row],[1Bis]],Tabelle10[[#This Row],[2Bis]])-SUM(Tabelle10[[#This Row],[1Von]],Tabelle10[[#This Row],[2Von]])+IF(Tabelle10[[#This Row],[2Von]]&gt;0,1)+IF(Tabelle10[[#This Row],[1Von]]&gt;0,1)</f>
        <v>49</v>
      </c>
    </row>
    <row r="9" spans="1:7" ht="25.05" customHeight="1">
      <c r="A9" s="2">
        <v>1</v>
      </c>
      <c r="B9" s="2">
        <v>27</v>
      </c>
      <c r="C9" s="2">
        <v>1</v>
      </c>
      <c r="D9" s="2">
        <v>40</v>
      </c>
      <c r="E9" s="2">
        <v>41</v>
      </c>
      <c r="F9" s="2">
        <v>49</v>
      </c>
      <c r="G9" s="17">
        <f>SUM(Tabelle10[[#This Row],[1Bis]],Tabelle10[[#This Row],[2Bis]])-SUM(Tabelle10[[#This Row],[1Von]],Tabelle10[[#This Row],[2Von]])+IF(Tabelle10[[#This Row],[2Von]]&gt;0,1)+IF(Tabelle10[[#This Row],[1Von]]&gt;0,1)</f>
        <v>49</v>
      </c>
    </row>
    <row r="10" spans="1:7" ht="25.05" customHeight="1">
      <c r="A10" s="2">
        <v>1</v>
      </c>
      <c r="B10" s="2">
        <v>8</v>
      </c>
      <c r="C10" s="2">
        <v>1</v>
      </c>
      <c r="D10" s="2">
        <v>40</v>
      </c>
      <c r="E10" s="2">
        <v>41</v>
      </c>
      <c r="F10" s="2">
        <v>80</v>
      </c>
      <c r="G10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11" spans="1:7" ht="25.05" customHeight="1">
      <c r="A11" s="2">
        <v>1</v>
      </c>
      <c r="B11" s="2">
        <v>7</v>
      </c>
      <c r="C11" s="2">
        <v>1</v>
      </c>
      <c r="D11" s="2">
        <v>40</v>
      </c>
      <c r="E11" s="2">
        <v>41</v>
      </c>
      <c r="F11" s="2">
        <v>80</v>
      </c>
      <c r="G11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12" spans="1:7" ht="25.05" customHeight="1">
      <c r="A12" s="2">
        <v>1</v>
      </c>
      <c r="B12" s="2">
        <v>9</v>
      </c>
      <c r="C12" s="2">
        <v>1</v>
      </c>
      <c r="D12" s="2">
        <v>40</v>
      </c>
      <c r="E12" s="2">
        <v>41</v>
      </c>
      <c r="F12" s="2">
        <v>60</v>
      </c>
      <c r="G12" s="17">
        <f>SUM(Tabelle10[[#This Row],[1Bis]],Tabelle10[[#This Row],[2Bis]])-SUM(Tabelle10[[#This Row],[1Von]],Tabelle10[[#This Row],[2Von]])+IF(Tabelle10[[#This Row],[2Von]]&gt;0,1)+IF(Tabelle10[[#This Row],[1Von]]&gt;0,1)</f>
        <v>60</v>
      </c>
    </row>
    <row r="13" spans="1:7" ht="25.05" customHeight="1">
      <c r="A13" s="2">
        <v>1</v>
      </c>
      <c r="B13" s="2">
        <v>18</v>
      </c>
      <c r="E13" s="2">
        <v>50</v>
      </c>
      <c r="F13" s="2">
        <v>80</v>
      </c>
      <c r="G13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14" spans="1:7" ht="25.05" customHeight="1">
      <c r="A14" s="2">
        <v>1</v>
      </c>
      <c r="B14" s="2">
        <v>5</v>
      </c>
      <c r="E14" s="2">
        <v>50</v>
      </c>
      <c r="F14" s="2">
        <v>80</v>
      </c>
      <c r="G14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15" spans="1:7" ht="25.05" customHeight="1">
      <c r="A15" s="2">
        <v>1</v>
      </c>
      <c r="B15" s="2">
        <v>25</v>
      </c>
      <c r="E15" s="2">
        <v>61</v>
      </c>
      <c r="F15" s="2">
        <v>80</v>
      </c>
      <c r="G15" s="17">
        <f>SUM(Tabelle10[[#This Row],[1Bis]],Tabelle10[[#This Row],[2Bis]])-SUM(Tabelle10[[#This Row],[1Von]],Tabelle10[[#This Row],[2Von]])+IF(Tabelle10[[#This Row],[2Von]]&gt;0,1)+IF(Tabelle10[[#This Row],[1Von]]&gt;0,1)</f>
        <v>20</v>
      </c>
    </row>
    <row r="16" spans="1:7" ht="25.05" customHeight="1">
      <c r="A16" s="2">
        <v>1</v>
      </c>
      <c r="B16" s="2">
        <v>19</v>
      </c>
      <c r="E16" s="2">
        <v>71</v>
      </c>
      <c r="F16" s="2">
        <v>80</v>
      </c>
      <c r="G16" s="17">
        <f>SUM(Tabelle10[[#This Row],[1Bis]],Tabelle10[[#This Row],[2Bis]])-SUM(Tabelle10[[#This Row],[1Von]],Tabelle10[[#This Row],[2Von]])+IF(Tabelle10[[#This Row],[2Von]]&gt;0,1)+IF(Tabelle10[[#This Row],[1Von]]&gt;0,1)</f>
        <v>10</v>
      </c>
    </row>
    <row r="17" spans="1:10" ht="25.05" customHeight="1">
      <c r="A17" s="2">
        <v>2</v>
      </c>
      <c r="B17" s="2">
        <v>1</v>
      </c>
      <c r="C17" s="2">
        <v>1</v>
      </c>
      <c r="D17" s="2">
        <v>40</v>
      </c>
      <c r="E17" s="2">
        <v>41</v>
      </c>
      <c r="F17" s="2">
        <v>83</v>
      </c>
      <c r="G17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18" spans="1:10" ht="25.05" customHeight="1">
      <c r="A18" s="2">
        <v>2</v>
      </c>
      <c r="B18" s="2">
        <v>13</v>
      </c>
      <c r="C18" s="2">
        <v>1</v>
      </c>
      <c r="D18" s="2">
        <v>40</v>
      </c>
      <c r="E18" s="2">
        <v>41</v>
      </c>
      <c r="F18" s="2">
        <v>83</v>
      </c>
      <c r="G18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19" spans="1:10" ht="25.05" customHeight="1">
      <c r="A19" s="2">
        <v>2</v>
      </c>
      <c r="B19" s="2">
        <v>20</v>
      </c>
      <c r="C19" s="2">
        <v>1</v>
      </c>
      <c r="D19" s="2">
        <v>40</v>
      </c>
      <c r="E19" s="2">
        <v>41</v>
      </c>
      <c r="F19" s="2">
        <v>83</v>
      </c>
      <c r="G19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0" spans="1:10" ht="25.05" customHeight="1">
      <c r="A20" s="2">
        <v>2</v>
      </c>
      <c r="B20" s="2">
        <v>26</v>
      </c>
      <c r="C20" s="2">
        <v>1</v>
      </c>
      <c r="D20" s="2">
        <v>40</v>
      </c>
      <c r="E20" s="2">
        <v>41</v>
      </c>
      <c r="F20" s="2">
        <v>83</v>
      </c>
      <c r="G20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1" spans="1:10" ht="25.05" customHeight="1">
      <c r="A21" s="2">
        <v>2</v>
      </c>
      <c r="B21" s="2">
        <v>23</v>
      </c>
      <c r="C21" s="2">
        <v>1</v>
      </c>
      <c r="D21" s="2">
        <v>40</v>
      </c>
      <c r="E21" s="2">
        <v>41</v>
      </c>
      <c r="F21" s="2">
        <v>83</v>
      </c>
      <c r="G21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2" spans="1:10" ht="25.05" customHeight="1">
      <c r="A22" s="2">
        <v>2</v>
      </c>
      <c r="B22" s="2">
        <v>5</v>
      </c>
      <c r="C22" s="2">
        <v>1</v>
      </c>
      <c r="D22" s="2">
        <v>40</v>
      </c>
      <c r="E22" s="2">
        <v>41</v>
      </c>
      <c r="F22" s="2">
        <v>83</v>
      </c>
      <c r="G22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3" spans="1:10" ht="25.05" customHeight="1">
      <c r="A23" s="2">
        <v>2</v>
      </c>
      <c r="B23" s="2">
        <v>6</v>
      </c>
      <c r="C23" s="2">
        <v>1</v>
      </c>
      <c r="D23" s="2">
        <v>40</v>
      </c>
      <c r="E23" s="2">
        <v>41</v>
      </c>
      <c r="F23" s="2">
        <v>57</v>
      </c>
      <c r="G23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24" spans="1:10" ht="25.05" customHeight="1">
      <c r="A24" s="2">
        <v>2</v>
      </c>
      <c r="B24" s="2">
        <v>27</v>
      </c>
      <c r="C24" s="2">
        <v>1</v>
      </c>
      <c r="D24" s="2">
        <v>40</v>
      </c>
      <c r="E24" s="2">
        <v>41</v>
      </c>
      <c r="F24" s="2">
        <v>68</v>
      </c>
      <c r="G24" s="17">
        <f>SUM(Tabelle10[[#This Row],[1Bis]],Tabelle10[[#This Row],[2Bis]])-SUM(Tabelle10[[#This Row],[1Von]],Tabelle10[[#This Row],[2Von]])+IF(Tabelle10[[#This Row],[2Von]]&gt;0,1)+IF(Tabelle10[[#This Row],[1Von]]&gt;0,1)</f>
        <v>68</v>
      </c>
    </row>
    <row r="25" spans="1:10" ht="25.05" customHeight="1">
      <c r="A25" s="2">
        <v>2</v>
      </c>
      <c r="B25" s="2">
        <v>8</v>
      </c>
      <c r="C25" s="2">
        <v>1</v>
      </c>
      <c r="D25" s="2">
        <v>40</v>
      </c>
      <c r="E25" s="2">
        <v>41</v>
      </c>
      <c r="F25" s="2">
        <v>83</v>
      </c>
      <c r="G25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6" spans="1:10" ht="25.05" customHeight="1">
      <c r="A26" s="2">
        <v>2</v>
      </c>
      <c r="B26" s="2">
        <v>7</v>
      </c>
      <c r="C26" s="2">
        <v>1</v>
      </c>
      <c r="D26" s="2">
        <v>40</v>
      </c>
      <c r="E26" s="2">
        <v>41</v>
      </c>
      <c r="F26" s="2">
        <v>57</v>
      </c>
      <c r="G26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27" spans="1:10" ht="25.05" customHeight="1">
      <c r="A27" s="2">
        <v>2</v>
      </c>
      <c r="B27" s="2">
        <v>9</v>
      </c>
      <c r="C27" s="2">
        <v>1</v>
      </c>
      <c r="D27" s="2">
        <v>40</v>
      </c>
      <c r="E27" s="2">
        <v>41</v>
      </c>
      <c r="F27" s="2">
        <v>83</v>
      </c>
      <c r="G27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8" spans="1:10" ht="25.05" customHeight="1">
      <c r="A28" s="2">
        <v>2</v>
      </c>
      <c r="B28" s="2">
        <v>25</v>
      </c>
      <c r="E28" s="2">
        <v>58</v>
      </c>
      <c r="F28" s="2">
        <v>83</v>
      </c>
      <c r="G28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29" spans="1:10" ht="25.05" customHeight="1">
      <c r="A29" s="2">
        <v>2</v>
      </c>
      <c r="B29" s="2">
        <v>19</v>
      </c>
      <c r="E29" s="2">
        <v>58</v>
      </c>
      <c r="F29" s="2">
        <v>83</v>
      </c>
      <c r="G29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30" spans="1:10" ht="25.05" customHeight="1">
      <c r="A30" s="2">
        <v>2</v>
      </c>
      <c r="B30" s="2">
        <v>18</v>
      </c>
      <c r="E30" s="2">
        <v>69</v>
      </c>
      <c r="F30" s="2">
        <v>83</v>
      </c>
      <c r="G30" s="17">
        <f>SUM(Tabelle10[[#This Row],[1Bis]],Tabelle10[[#This Row],[2Bis]])-SUM(Tabelle10[[#This Row],[1Von]],Tabelle10[[#This Row],[2Von]])+IF(Tabelle10[[#This Row],[2Von]]&gt;0,1)+IF(Tabelle10[[#This Row],[1Von]]&gt;0,1)</f>
        <v>15</v>
      </c>
      <c r="J30" s="3"/>
    </row>
    <row r="31" spans="1:10" ht="25.05" customHeight="1">
      <c r="A31" s="2">
        <v>3</v>
      </c>
      <c r="B31" s="2">
        <v>21</v>
      </c>
      <c r="C31" s="2">
        <v>1</v>
      </c>
      <c r="D31" s="2">
        <v>40</v>
      </c>
      <c r="E31" s="2">
        <v>41</v>
      </c>
      <c r="F31" s="2">
        <v>80</v>
      </c>
      <c r="G31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2" spans="1:10" ht="25.05" customHeight="1">
      <c r="A32" s="2">
        <v>3</v>
      </c>
      <c r="B32" s="2">
        <v>13</v>
      </c>
      <c r="C32" s="2">
        <v>1</v>
      </c>
      <c r="D32" s="2">
        <v>40</v>
      </c>
      <c r="E32" s="2">
        <v>41</v>
      </c>
      <c r="F32" s="2">
        <v>57</v>
      </c>
      <c r="G32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33" spans="1:7" ht="25.05" customHeight="1">
      <c r="A33" s="2">
        <v>3</v>
      </c>
      <c r="B33" s="2">
        <v>20</v>
      </c>
      <c r="C33" s="2">
        <v>1</v>
      </c>
      <c r="D33" s="2">
        <v>40</v>
      </c>
      <c r="E33" s="2">
        <v>41</v>
      </c>
      <c r="F33" s="2">
        <v>80</v>
      </c>
      <c r="G33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4" spans="1:7" ht="25.05" customHeight="1">
      <c r="A34" s="2">
        <v>3</v>
      </c>
      <c r="B34" s="2">
        <v>16</v>
      </c>
      <c r="C34" s="2">
        <v>1</v>
      </c>
      <c r="D34" s="2">
        <v>40</v>
      </c>
      <c r="E34" s="2">
        <v>41</v>
      </c>
      <c r="F34" s="2">
        <v>80</v>
      </c>
      <c r="G34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5" spans="1:7" ht="25.05" customHeight="1">
      <c r="A35" s="2">
        <v>3</v>
      </c>
      <c r="B35" s="2">
        <v>23</v>
      </c>
      <c r="C35" s="2">
        <v>1</v>
      </c>
      <c r="D35" s="2">
        <v>40</v>
      </c>
      <c r="E35" s="2">
        <v>41</v>
      </c>
      <c r="F35" s="2">
        <v>80</v>
      </c>
      <c r="G35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6" spans="1:7" ht="25.05" customHeight="1">
      <c r="A36" s="2">
        <v>3</v>
      </c>
      <c r="B36" s="2">
        <v>26</v>
      </c>
      <c r="C36" s="2">
        <v>1</v>
      </c>
      <c r="D36" s="2">
        <v>40</v>
      </c>
      <c r="E36" s="2">
        <v>41</v>
      </c>
      <c r="F36" s="2">
        <v>80</v>
      </c>
      <c r="G36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7" spans="1:7" ht="25.05" customHeight="1">
      <c r="A37" s="2">
        <v>3</v>
      </c>
      <c r="B37" s="2">
        <v>6</v>
      </c>
      <c r="C37" s="2">
        <v>1</v>
      </c>
      <c r="D37" s="2">
        <v>40</v>
      </c>
      <c r="E37" s="2">
        <v>41</v>
      </c>
      <c r="F37" s="2">
        <v>66</v>
      </c>
      <c r="G37" s="17">
        <f>SUM(Tabelle10[[#This Row],[1Bis]],Tabelle10[[#This Row],[2Bis]])-SUM(Tabelle10[[#This Row],[1Von]],Tabelle10[[#This Row],[2Von]])+IF(Tabelle10[[#This Row],[2Von]]&gt;0,1)+IF(Tabelle10[[#This Row],[1Von]]&gt;0,1)</f>
        <v>66</v>
      </c>
    </row>
    <row r="38" spans="1:7" ht="25.05" customHeight="1">
      <c r="A38" s="2">
        <v>3</v>
      </c>
      <c r="B38" s="2">
        <v>7</v>
      </c>
      <c r="C38" s="2">
        <v>1</v>
      </c>
      <c r="D38" s="2">
        <v>40</v>
      </c>
      <c r="E38" s="2">
        <v>41</v>
      </c>
      <c r="F38" s="2">
        <v>80</v>
      </c>
      <c r="G38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9" spans="1:7" ht="25.05" customHeight="1">
      <c r="A39" s="2">
        <v>3</v>
      </c>
      <c r="B39" s="2">
        <v>8</v>
      </c>
      <c r="C39" s="2">
        <v>1</v>
      </c>
      <c r="D39" s="2">
        <v>40</v>
      </c>
      <c r="E39" s="2">
        <v>41</v>
      </c>
      <c r="F39" s="2">
        <v>48</v>
      </c>
      <c r="G39" s="17">
        <f>SUM(Tabelle10[[#This Row],[1Bis]],Tabelle10[[#This Row],[2Bis]])-SUM(Tabelle10[[#This Row],[1Von]],Tabelle10[[#This Row],[2Von]])+IF(Tabelle10[[#This Row],[2Von]]&gt;0,1)+IF(Tabelle10[[#This Row],[1Von]]&gt;0,1)</f>
        <v>48</v>
      </c>
    </row>
    <row r="40" spans="1:7" ht="25.05" customHeight="1">
      <c r="A40" s="2">
        <v>3</v>
      </c>
      <c r="B40" s="2">
        <v>27</v>
      </c>
      <c r="C40" s="2">
        <v>1</v>
      </c>
      <c r="D40" s="2">
        <v>40</v>
      </c>
      <c r="E40" s="2">
        <v>41</v>
      </c>
      <c r="F40" s="2">
        <v>57</v>
      </c>
      <c r="G40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41" spans="1:7" ht="25.05" customHeight="1">
      <c r="A41" s="2">
        <v>3</v>
      </c>
      <c r="B41" s="2">
        <v>9</v>
      </c>
      <c r="C41" s="2">
        <v>1</v>
      </c>
      <c r="D41" s="2">
        <v>40</v>
      </c>
      <c r="E41" s="2">
        <v>41</v>
      </c>
      <c r="F41" s="2">
        <v>66</v>
      </c>
      <c r="G41" s="17">
        <f>SUM(Tabelle10[[#This Row],[1Bis]],Tabelle10[[#This Row],[2Bis]])-SUM(Tabelle10[[#This Row],[1Von]],Tabelle10[[#This Row],[2Von]])+IF(Tabelle10[[#This Row],[2Von]]&gt;0,1)+IF(Tabelle10[[#This Row],[1Von]]&gt;0,1)</f>
        <v>66</v>
      </c>
    </row>
    <row r="42" spans="1:7" ht="25.05" customHeight="1">
      <c r="A42" s="2">
        <v>3</v>
      </c>
      <c r="B42" s="2">
        <v>10</v>
      </c>
      <c r="E42" s="2">
        <v>49</v>
      </c>
      <c r="F42" s="2">
        <v>80</v>
      </c>
      <c r="G42" s="17">
        <f>SUM(Tabelle10[[#This Row],[1Bis]],Tabelle10[[#This Row],[2Bis]])-SUM(Tabelle10[[#This Row],[1Von]],Tabelle10[[#This Row],[2Von]])+IF(Tabelle10[[#This Row],[2Von]]&gt;0,1)+IF(Tabelle10[[#This Row],[1Von]]&gt;0,1)</f>
        <v>32</v>
      </c>
    </row>
    <row r="43" spans="1:7" ht="25.05" customHeight="1">
      <c r="A43" s="2">
        <v>3</v>
      </c>
      <c r="B43" s="2">
        <v>19</v>
      </c>
      <c r="E43" s="2">
        <v>58</v>
      </c>
      <c r="F43" s="2">
        <v>80</v>
      </c>
      <c r="G43" s="17">
        <f>SUM(Tabelle10[[#This Row],[1Bis]],Tabelle10[[#This Row],[2Bis]])-SUM(Tabelle10[[#This Row],[1Von]],Tabelle10[[#This Row],[2Von]])+IF(Tabelle10[[#This Row],[2Von]]&gt;0,1)+IF(Tabelle10[[#This Row],[1Von]]&gt;0,1)</f>
        <v>23</v>
      </c>
    </row>
    <row r="44" spans="1:7" ht="25.05" customHeight="1">
      <c r="A44" s="2">
        <v>3</v>
      </c>
      <c r="B44" s="2">
        <v>18</v>
      </c>
      <c r="E44" s="2">
        <v>58</v>
      </c>
      <c r="F44" s="2">
        <v>80</v>
      </c>
      <c r="G44" s="17">
        <f>SUM(Tabelle10[[#This Row],[1Bis]],Tabelle10[[#This Row],[2Bis]])-SUM(Tabelle10[[#This Row],[1Von]],Tabelle10[[#This Row],[2Von]])+IF(Tabelle10[[#This Row],[2Von]]&gt;0,1)+IF(Tabelle10[[#This Row],[1Von]]&gt;0,1)</f>
        <v>23</v>
      </c>
    </row>
    <row r="45" spans="1:7" ht="25.05" customHeight="1">
      <c r="A45" s="2">
        <v>3</v>
      </c>
      <c r="B45" s="2">
        <v>11</v>
      </c>
      <c r="E45" s="2">
        <v>67</v>
      </c>
      <c r="F45" s="2">
        <v>80</v>
      </c>
      <c r="G45" s="17">
        <f>SUM(Tabelle10[[#This Row],[1Bis]],Tabelle10[[#This Row],[2Bis]])-SUM(Tabelle10[[#This Row],[1Von]],Tabelle10[[#This Row],[2Von]])+IF(Tabelle10[[#This Row],[2Von]]&gt;0,1)+IF(Tabelle10[[#This Row],[1Von]]&gt;0,1)</f>
        <v>14</v>
      </c>
    </row>
    <row r="46" spans="1:7" ht="25.05" customHeight="1">
      <c r="A46" s="2">
        <v>3</v>
      </c>
      <c r="B46" s="2">
        <v>25</v>
      </c>
      <c r="E46" s="2">
        <v>67</v>
      </c>
      <c r="F46" s="2">
        <v>80</v>
      </c>
      <c r="G46" s="17">
        <f>SUM(Tabelle10[[#This Row],[1Bis]],Tabelle10[[#This Row],[2Bis]])-SUM(Tabelle10[[#This Row],[1Von]],Tabelle10[[#This Row],[2Von]])+IF(Tabelle10[[#This Row],[2Von]]&gt;0,1)+IF(Tabelle10[[#This Row],[1Von]]&gt;0,1)</f>
        <v>14</v>
      </c>
    </row>
    <row r="47" spans="1:7" ht="25.05" customHeight="1">
      <c r="A47" s="2">
        <v>4</v>
      </c>
      <c r="B47" s="2">
        <v>21</v>
      </c>
      <c r="C47" s="2">
        <v>1</v>
      </c>
      <c r="D47" s="2">
        <v>42</v>
      </c>
      <c r="E47" s="2">
        <v>41</v>
      </c>
      <c r="F47" s="2">
        <v>83</v>
      </c>
      <c r="G47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48" spans="1:7" ht="25.05" customHeight="1">
      <c r="A48" s="2">
        <v>4</v>
      </c>
      <c r="B48" s="2">
        <v>20</v>
      </c>
      <c r="C48" s="2">
        <v>1</v>
      </c>
      <c r="D48" s="2">
        <v>42</v>
      </c>
      <c r="E48" s="2">
        <v>41</v>
      </c>
      <c r="F48" s="2">
        <v>83</v>
      </c>
      <c r="G48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49" spans="1:9" ht="25.05" customHeight="1">
      <c r="A49" s="2">
        <v>4</v>
      </c>
      <c r="B49" s="2">
        <v>16</v>
      </c>
      <c r="C49" s="2">
        <v>1</v>
      </c>
      <c r="D49" s="2">
        <v>42</v>
      </c>
      <c r="E49" s="2">
        <v>41</v>
      </c>
      <c r="F49" s="2">
        <v>83</v>
      </c>
      <c r="G49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0" spans="1:9" ht="25.05" customHeight="1">
      <c r="A50" s="2">
        <v>4</v>
      </c>
      <c r="B50" s="2">
        <v>23</v>
      </c>
      <c r="C50" s="2">
        <v>1</v>
      </c>
      <c r="D50" s="2">
        <v>42</v>
      </c>
      <c r="E50" s="2">
        <v>41</v>
      </c>
      <c r="F50" s="2">
        <v>83</v>
      </c>
      <c r="G50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1" spans="1:9" ht="25.05" customHeight="1">
      <c r="A51" s="2">
        <v>4</v>
      </c>
      <c r="B51" s="2">
        <v>19</v>
      </c>
      <c r="C51" s="2">
        <v>1</v>
      </c>
      <c r="D51" s="2">
        <v>42</v>
      </c>
      <c r="G51" s="17">
        <f>SUM(Tabelle10[[#This Row],[1Bis]],Tabelle10[[#This Row],[2Bis]])-SUM(Tabelle10[[#This Row],[1Von]],Tabelle10[[#This Row],[2Von]])+IF(Tabelle10[[#This Row],[2Von]]&gt;0,1)+IF(Tabelle10[[#This Row],[1Von]]&gt;0,1)</f>
        <v>42</v>
      </c>
    </row>
    <row r="52" spans="1:9" ht="25.05" customHeight="1">
      <c r="A52" s="2">
        <v>4</v>
      </c>
      <c r="B52" s="2">
        <v>5</v>
      </c>
      <c r="C52" s="2">
        <v>1</v>
      </c>
      <c r="D52" s="2">
        <v>42</v>
      </c>
      <c r="E52" s="2">
        <v>41</v>
      </c>
      <c r="F52" s="2">
        <v>57</v>
      </c>
      <c r="G52" s="17">
        <f>SUM(Tabelle10[[#This Row],[1Bis]],Tabelle10[[#This Row],[2Bis]])-SUM(Tabelle10[[#This Row],[1Von]],Tabelle10[[#This Row],[2Von]])+IF(Tabelle10[[#This Row],[2Von]]&gt;0,1)+IF(Tabelle10[[#This Row],[1Von]]&gt;0,1)</f>
        <v>59</v>
      </c>
    </row>
    <row r="53" spans="1:9" ht="25.05" customHeight="1">
      <c r="A53" s="2">
        <v>4</v>
      </c>
      <c r="B53" s="2">
        <v>6</v>
      </c>
      <c r="C53" s="2">
        <v>1</v>
      </c>
      <c r="D53" s="2">
        <v>42</v>
      </c>
      <c r="E53" s="2">
        <v>41</v>
      </c>
      <c r="F53" s="2">
        <v>83</v>
      </c>
      <c r="G53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4" spans="1:9" ht="25.05" customHeight="1">
      <c r="A54" s="2">
        <v>4</v>
      </c>
      <c r="B54" s="2">
        <v>27</v>
      </c>
      <c r="C54" s="2">
        <v>1</v>
      </c>
      <c r="D54" s="2">
        <v>42</v>
      </c>
      <c r="E54" s="2">
        <v>41</v>
      </c>
      <c r="F54" s="2">
        <v>57</v>
      </c>
      <c r="G54" s="17">
        <f>SUM(Tabelle10[[#This Row],[1Bis]],Tabelle10[[#This Row],[2Bis]])-SUM(Tabelle10[[#This Row],[1Von]],Tabelle10[[#This Row],[2Von]])+IF(Tabelle10[[#This Row],[2Von]]&gt;0,1)+IF(Tabelle10[[#This Row],[1Von]]&gt;0,1)</f>
        <v>59</v>
      </c>
    </row>
    <row r="55" spans="1:9" ht="25.05" customHeight="1">
      <c r="A55" s="2">
        <v>4</v>
      </c>
      <c r="B55" s="2">
        <v>8</v>
      </c>
      <c r="C55" s="2">
        <v>1</v>
      </c>
      <c r="D55" s="2">
        <v>42</v>
      </c>
      <c r="E55" s="2">
        <v>41</v>
      </c>
      <c r="F55" s="2">
        <v>83</v>
      </c>
      <c r="G55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6" spans="1:9" ht="25.05" customHeight="1">
      <c r="A56" s="2">
        <v>4</v>
      </c>
      <c r="B56" s="2">
        <v>10</v>
      </c>
      <c r="C56" s="2">
        <v>1</v>
      </c>
      <c r="D56" s="2">
        <v>42</v>
      </c>
      <c r="E56" s="2">
        <v>41</v>
      </c>
      <c r="F56" s="2">
        <v>79</v>
      </c>
      <c r="G56" s="17">
        <f>SUM(Tabelle10[[#This Row],[1Bis]],Tabelle10[[#This Row],[2Bis]])-SUM(Tabelle10[[#This Row],[1Von]],Tabelle10[[#This Row],[2Von]])+IF(Tabelle10[[#This Row],[2Von]]&gt;0,1)+IF(Tabelle10[[#This Row],[1Von]]&gt;0,1)</f>
        <v>81</v>
      </c>
    </row>
    <row r="57" spans="1:9" ht="25.05" customHeight="1">
      <c r="A57" s="2">
        <v>4</v>
      </c>
      <c r="B57" s="2">
        <v>7</v>
      </c>
      <c r="C57" s="2">
        <v>1</v>
      </c>
      <c r="D57" s="2">
        <v>42</v>
      </c>
      <c r="E57" s="2">
        <v>41</v>
      </c>
      <c r="F57" s="2">
        <v>83</v>
      </c>
      <c r="G57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8" spans="1:9" ht="25.05" customHeight="1">
      <c r="A58" s="2">
        <v>4</v>
      </c>
      <c r="B58" s="2">
        <v>13</v>
      </c>
      <c r="E58" s="2">
        <v>41</v>
      </c>
      <c r="F58" s="2">
        <v>83</v>
      </c>
      <c r="G58" s="17">
        <f>SUM(Tabelle10[[#This Row],[1Bis]],Tabelle10[[#This Row],[2Bis]])-SUM(Tabelle10[[#This Row],[1Von]],Tabelle10[[#This Row],[2Von]])+IF(Tabelle10[[#This Row],[2Von]]&gt;0,1)+IF(Tabelle10[[#This Row],[1Von]]&gt;0,1)</f>
        <v>43</v>
      </c>
    </row>
    <row r="59" spans="1:9" ht="25.05" customHeight="1">
      <c r="A59" s="2">
        <v>4</v>
      </c>
      <c r="B59" s="2">
        <v>26</v>
      </c>
      <c r="E59" s="2">
        <v>58</v>
      </c>
      <c r="F59" s="2">
        <v>83</v>
      </c>
      <c r="G59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60" spans="1:9" ht="25.05" customHeight="1">
      <c r="A60" s="2">
        <v>4</v>
      </c>
      <c r="B60" s="2">
        <v>9</v>
      </c>
      <c r="E60" s="2">
        <v>58</v>
      </c>
      <c r="F60" s="2">
        <v>83</v>
      </c>
      <c r="G60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61" spans="1:9" ht="25.05" customHeight="1">
      <c r="A61" s="2">
        <v>4</v>
      </c>
      <c r="B61" s="2">
        <v>25</v>
      </c>
      <c r="E61" s="2">
        <v>80</v>
      </c>
      <c r="F61" s="2">
        <v>83</v>
      </c>
      <c r="G61" s="17">
        <f>SUM(Tabelle10[[#This Row],[1Bis]],Tabelle10[[#This Row],[2Bis]])-SUM(Tabelle10[[#This Row],[1Von]],Tabelle10[[#This Row],[2Von]])+IF(Tabelle10[[#This Row],[2Von]]&gt;0,1)+IF(Tabelle10[[#This Row],[1Von]]&gt;0,1)</f>
        <v>4</v>
      </c>
      <c r="I61" s="3"/>
    </row>
    <row r="62" spans="1:9" ht="25.05" customHeight="1">
      <c r="A62" s="2">
        <v>5</v>
      </c>
      <c r="B62" s="2">
        <v>1</v>
      </c>
      <c r="C62" s="2">
        <v>1</v>
      </c>
      <c r="D62" s="2">
        <v>41</v>
      </c>
      <c r="E62" s="2">
        <v>41</v>
      </c>
      <c r="F62" s="2">
        <v>82</v>
      </c>
      <c r="G62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3" spans="1:9" ht="25.05" customHeight="1">
      <c r="A63" s="2">
        <v>5</v>
      </c>
      <c r="B63" s="2">
        <v>13</v>
      </c>
      <c r="C63" s="2">
        <v>1</v>
      </c>
      <c r="D63" s="2">
        <v>41</v>
      </c>
      <c r="E63" s="2">
        <v>41</v>
      </c>
      <c r="F63" s="2">
        <v>82</v>
      </c>
      <c r="G63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4" spans="1:9" ht="25.05" customHeight="1">
      <c r="A64" s="2">
        <v>5</v>
      </c>
      <c r="B64" s="2">
        <v>20</v>
      </c>
      <c r="C64" s="2">
        <v>1</v>
      </c>
      <c r="D64" s="2">
        <v>41</v>
      </c>
      <c r="E64" s="2">
        <v>41</v>
      </c>
      <c r="F64" s="2">
        <v>82</v>
      </c>
      <c r="G64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5" spans="1:9" ht="25.05" customHeight="1">
      <c r="A65" s="2">
        <v>5</v>
      </c>
      <c r="B65" s="2">
        <v>16</v>
      </c>
      <c r="C65" s="2">
        <v>1</v>
      </c>
      <c r="D65" s="2">
        <v>41</v>
      </c>
      <c r="E65" s="2">
        <v>41</v>
      </c>
      <c r="F65" s="2">
        <v>82</v>
      </c>
      <c r="G65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6" spans="1:9" ht="25.05" customHeight="1">
      <c r="A66" s="2">
        <v>5</v>
      </c>
      <c r="B66" s="2">
        <v>23</v>
      </c>
      <c r="C66" s="2">
        <v>1</v>
      </c>
      <c r="D66" s="2">
        <v>41</v>
      </c>
      <c r="E66" s="2">
        <v>41</v>
      </c>
      <c r="F66" s="2">
        <v>82</v>
      </c>
      <c r="G66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7" spans="1:9" ht="25.05" customHeight="1">
      <c r="A67" s="2">
        <v>5</v>
      </c>
      <c r="B67" s="2">
        <v>26</v>
      </c>
      <c r="C67" s="2">
        <v>1</v>
      </c>
      <c r="D67" s="2">
        <v>41</v>
      </c>
      <c r="E67" s="2">
        <v>41</v>
      </c>
      <c r="F67" s="2">
        <v>76</v>
      </c>
      <c r="G67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68" spans="1:9" ht="25.05" customHeight="1">
      <c r="A68" s="2">
        <v>5</v>
      </c>
      <c r="B68" s="2">
        <v>5</v>
      </c>
      <c r="C68" s="2">
        <v>1</v>
      </c>
      <c r="D68" s="2">
        <v>41</v>
      </c>
      <c r="E68" s="2">
        <v>41</v>
      </c>
      <c r="F68" s="2">
        <v>51</v>
      </c>
      <c r="G68" s="17">
        <f>SUM(Tabelle10[[#This Row],[1Bis]],Tabelle10[[#This Row],[2Bis]])-SUM(Tabelle10[[#This Row],[1Von]],Tabelle10[[#This Row],[2Von]])+IF(Tabelle10[[#This Row],[2Von]]&gt;0,1)+IF(Tabelle10[[#This Row],[1Von]]&gt;0,1)</f>
        <v>52</v>
      </c>
    </row>
    <row r="69" spans="1:9" ht="25.05" customHeight="1">
      <c r="A69" s="2">
        <v>5</v>
      </c>
      <c r="B69" s="2">
        <v>7</v>
      </c>
      <c r="C69" s="2">
        <v>1</v>
      </c>
      <c r="D69" s="2">
        <v>41</v>
      </c>
      <c r="E69" s="2">
        <v>41</v>
      </c>
      <c r="F69" s="2">
        <v>76</v>
      </c>
      <c r="G69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70" spans="1:9" ht="25.05" customHeight="1">
      <c r="A70" s="2">
        <v>5</v>
      </c>
      <c r="B70" s="2">
        <v>8</v>
      </c>
      <c r="C70" s="2">
        <v>1</v>
      </c>
      <c r="D70" s="2">
        <v>41</v>
      </c>
      <c r="E70" s="2">
        <v>41</v>
      </c>
      <c r="F70" s="2">
        <v>82</v>
      </c>
      <c r="G70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71" spans="1:9" ht="25.05" customHeight="1">
      <c r="A71" s="2">
        <v>5</v>
      </c>
      <c r="B71" s="2">
        <v>10</v>
      </c>
      <c r="C71" s="2">
        <v>1</v>
      </c>
      <c r="D71" s="2">
        <v>41</v>
      </c>
      <c r="E71" s="2">
        <v>41</v>
      </c>
      <c r="F71" s="2">
        <v>51</v>
      </c>
      <c r="G71" s="17">
        <f>SUM(Tabelle10[[#This Row],[1Bis]],Tabelle10[[#This Row],[2Bis]])-SUM(Tabelle10[[#This Row],[1Von]],Tabelle10[[#This Row],[2Von]])+IF(Tabelle10[[#This Row],[2Von]]&gt;0,1)+IF(Tabelle10[[#This Row],[1Von]]&gt;0,1)</f>
        <v>52</v>
      </c>
    </row>
    <row r="72" spans="1:9" ht="25.05" customHeight="1">
      <c r="A72" s="2">
        <v>5</v>
      </c>
      <c r="B72" s="2">
        <v>9</v>
      </c>
      <c r="C72" s="2">
        <v>1</v>
      </c>
      <c r="D72" s="2">
        <v>41</v>
      </c>
      <c r="E72" s="2">
        <v>41</v>
      </c>
      <c r="F72" s="2">
        <v>61</v>
      </c>
      <c r="G72" s="17">
        <f>SUM(Tabelle10[[#This Row],[1Bis]],Tabelle10[[#This Row],[2Bis]])-SUM(Tabelle10[[#This Row],[1Von]],Tabelle10[[#This Row],[2Von]])+IF(Tabelle10[[#This Row],[2Von]]&gt;0,1)+IF(Tabelle10[[#This Row],[1Von]]&gt;0,1)</f>
        <v>62</v>
      </c>
    </row>
    <row r="73" spans="1:9" ht="25.05" customHeight="1">
      <c r="A73" s="2">
        <v>5</v>
      </c>
      <c r="B73" s="2">
        <v>6</v>
      </c>
      <c r="E73" s="2">
        <v>52</v>
      </c>
      <c r="F73" s="2">
        <v>82</v>
      </c>
      <c r="G73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74" spans="1:9" ht="25.05" customHeight="1">
      <c r="A74" s="2">
        <v>5</v>
      </c>
      <c r="B74" s="2">
        <v>27</v>
      </c>
      <c r="E74" s="2">
        <v>52</v>
      </c>
      <c r="F74" s="2">
        <v>82</v>
      </c>
      <c r="G74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75" spans="1:9" ht="25.05" customHeight="1">
      <c r="A75" s="2">
        <v>5</v>
      </c>
      <c r="B75" s="2">
        <v>25</v>
      </c>
      <c r="E75" s="2">
        <v>62</v>
      </c>
      <c r="F75" s="2">
        <v>82</v>
      </c>
      <c r="G75" s="17">
        <f>SUM(Tabelle10[[#This Row],[1Bis]],Tabelle10[[#This Row],[2Bis]])-SUM(Tabelle10[[#This Row],[1Von]],Tabelle10[[#This Row],[2Von]])+IF(Tabelle10[[#This Row],[2Von]]&gt;0,1)+IF(Tabelle10[[#This Row],[1Von]]&gt;0,1)</f>
        <v>21</v>
      </c>
    </row>
    <row r="76" spans="1:9" ht="25.05" customHeight="1">
      <c r="A76" s="2">
        <v>5</v>
      </c>
      <c r="B76" s="2">
        <v>19</v>
      </c>
      <c r="E76" s="2">
        <v>77</v>
      </c>
      <c r="F76" s="2">
        <v>82</v>
      </c>
      <c r="G76" s="17">
        <f>SUM(Tabelle10[[#This Row],[1Bis]],Tabelle10[[#This Row],[2Bis]])-SUM(Tabelle10[[#This Row],[1Von]],Tabelle10[[#This Row],[2Von]])+IF(Tabelle10[[#This Row],[2Von]]&gt;0,1)+IF(Tabelle10[[#This Row],[1Von]]&gt;0,1)</f>
        <v>6</v>
      </c>
    </row>
    <row r="77" spans="1:9" ht="25.05" customHeight="1">
      <c r="A77" s="2">
        <v>5</v>
      </c>
      <c r="B77" s="2">
        <v>18</v>
      </c>
      <c r="E77" s="2">
        <v>77</v>
      </c>
      <c r="F77" s="2">
        <v>82</v>
      </c>
      <c r="G77" s="17">
        <f>SUM(Tabelle10[[#This Row],[1Bis]],Tabelle10[[#This Row],[2Bis]])-SUM(Tabelle10[[#This Row],[1Von]],Tabelle10[[#This Row],[2Von]])+IF(Tabelle10[[#This Row],[2Von]]&gt;0,1)+IF(Tabelle10[[#This Row],[1Von]]&gt;0,1)</f>
        <v>6</v>
      </c>
      <c r="I77" s="3"/>
    </row>
    <row r="78" spans="1:9" ht="25.05" customHeight="1">
      <c r="A78" s="2">
        <v>6</v>
      </c>
      <c r="B78" s="2">
        <v>1</v>
      </c>
      <c r="C78" s="2">
        <v>1</v>
      </c>
      <c r="D78" s="2">
        <v>41</v>
      </c>
      <c r="E78" s="2">
        <v>41</v>
      </c>
      <c r="F78" s="2">
        <v>85</v>
      </c>
      <c r="G7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79" spans="1:9" ht="25.05" customHeight="1">
      <c r="A79" s="2">
        <v>6</v>
      </c>
      <c r="B79" s="2">
        <v>4</v>
      </c>
      <c r="C79" s="2">
        <v>1</v>
      </c>
      <c r="D79" s="2">
        <v>41</v>
      </c>
      <c r="E79" s="2">
        <v>41</v>
      </c>
      <c r="F79" s="2">
        <v>85</v>
      </c>
      <c r="G7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0" spans="1:9" ht="25.05" customHeight="1">
      <c r="A80" s="2">
        <v>6</v>
      </c>
      <c r="B80" s="2">
        <v>20</v>
      </c>
      <c r="C80" s="2">
        <v>1</v>
      </c>
      <c r="D80" s="2">
        <v>41</v>
      </c>
      <c r="E80" s="2">
        <v>41</v>
      </c>
      <c r="F80" s="2">
        <v>70</v>
      </c>
      <c r="G80" s="17">
        <f>SUM(Tabelle10[[#This Row],[1Bis]],Tabelle10[[#This Row],[2Bis]])-SUM(Tabelle10[[#This Row],[1Von]],Tabelle10[[#This Row],[2Von]])+IF(Tabelle10[[#This Row],[2Von]]&gt;0,1)+IF(Tabelle10[[#This Row],[1Von]]&gt;0,1)</f>
        <v>71</v>
      </c>
    </row>
    <row r="81" spans="1:9" ht="25.05" customHeight="1">
      <c r="A81" s="2">
        <v>6</v>
      </c>
      <c r="B81" s="2">
        <v>16</v>
      </c>
      <c r="C81" s="2">
        <v>1</v>
      </c>
      <c r="D81" s="2">
        <v>41</v>
      </c>
      <c r="E81" s="2">
        <v>41</v>
      </c>
      <c r="F81" s="2">
        <v>85</v>
      </c>
      <c r="G8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2" spans="1:9" ht="25.05" customHeight="1">
      <c r="A82" s="2">
        <v>6</v>
      </c>
      <c r="B82" s="2">
        <v>23</v>
      </c>
      <c r="C82" s="2">
        <v>1</v>
      </c>
      <c r="D82" s="2">
        <v>41</v>
      </c>
      <c r="E82" s="2">
        <v>41</v>
      </c>
      <c r="F82" s="2">
        <v>85</v>
      </c>
      <c r="G8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3" spans="1:9" ht="25.05" customHeight="1">
      <c r="A83" s="2">
        <v>6</v>
      </c>
      <c r="B83" s="2">
        <v>26</v>
      </c>
      <c r="C83" s="2">
        <v>1</v>
      </c>
      <c r="D83" s="2">
        <v>41</v>
      </c>
      <c r="E83" s="2">
        <v>41</v>
      </c>
      <c r="F83" s="2">
        <v>85</v>
      </c>
      <c r="G8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4" spans="1:9" ht="25.05" customHeight="1">
      <c r="A84" s="2">
        <v>6</v>
      </c>
      <c r="B84" s="2">
        <v>11</v>
      </c>
      <c r="C84" s="2">
        <v>1</v>
      </c>
      <c r="D84" s="2">
        <v>41</v>
      </c>
      <c r="E84" s="2">
        <v>41</v>
      </c>
      <c r="F84" s="2">
        <v>74</v>
      </c>
      <c r="G84" s="17">
        <f>SUM(Tabelle10[[#This Row],[1Bis]],Tabelle10[[#This Row],[2Bis]])-SUM(Tabelle10[[#This Row],[1Von]],Tabelle10[[#This Row],[2Von]])+IF(Tabelle10[[#This Row],[2Von]]&gt;0,1)+IF(Tabelle10[[#This Row],[1Von]]&gt;0,1)</f>
        <v>75</v>
      </c>
    </row>
    <row r="85" spans="1:9" ht="25.05" customHeight="1">
      <c r="A85" s="2">
        <v>6</v>
      </c>
      <c r="B85" s="2">
        <v>27</v>
      </c>
      <c r="C85" s="2">
        <v>1</v>
      </c>
      <c r="D85" s="2">
        <v>41</v>
      </c>
      <c r="E85" s="2">
        <v>41</v>
      </c>
      <c r="F85" s="2">
        <v>68</v>
      </c>
      <c r="G85" s="17">
        <f>SUM(Tabelle10[[#This Row],[1Bis]],Tabelle10[[#This Row],[2Bis]])-SUM(Tabelle10[[#This Row],[1Von]],Tabelle10[[#This Row],[2Von]])+IF(Tabelle10[[#This Row],[2Von]]&gt;0,1)+IF(Tabelle10[[#This Row],[1Von]]&gt;0,1)</f>
        <v>69</v>
      </c>
    </row>
    <row r="86" spans="1:9" ht="25.05" customHeight="1">
      <c r="A86" s="2">
        <v>6</v>
      </c>
      <c r="B86" s="2">
        <v>8</v>
      </c>
      <c r="C86" s="2">
        <v>1</v>
      </c>
      <c r="D86" s="2">
        <v>41</v>
      </c>
      <c r="E86" s="2">
        <v>41</v>
      </c>
      <c r="F86" s="2">
        <v>85</v>
      </c>
      <c r="G8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7" spans="1:9" ht="25.05" customHeight="1">
      <c r="A87" s="2">
        <v>6</v>
      </c>
      <c r="B87" s="2">
        <v>10</v>
      </c>
      <c r="C87" s="2">
        <v>1</v>
      </c>
      <c r="D87" s="2">
        <v>41</v>
      </c>
      <c r="E87" s="2">
        <v>41</v>
      </c>
      <c r="F87" s="2">
        <v>85</v>
      </c>
      <c r="G8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8" spans="1:9" ht="25.05" customHeight="1">
      <c r="A88" s="2">
        <v>6</v>
      </c>
      <c r="B88" s="2">
        <v>7</v>
      </c>
      <c r="C88" s="2">
        <v>1</v>
      </c>
      <c r="D88" s="2">
        <v>41</v>
      </c>
      <c r="E88" s="2">
        <v>41</v>
      </c>
      <c r="F88" s="2">
        <v>85</v>
      </c>
      <c r="G8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9" spans="1:9" ht="25.05" customHeight="1">
      <c r="A89" s="2">
        <v>6</v>
      </c>
      <c r="B89" s="2">
        <v>25</v>
      </c>
      <c r="E89" s="2">
        <v>69</v>
      </c>
      <c r="F89" s="2">
        <v>85</v>
      </c>
      <c r="G89" s="17">
        <f>SUM(Tabelle10[[#This Row],[1Bis]],Tabelle10[[#This Row],[2Bis]])-SUM(Tabelle10[[#This Row],[1Von]],Tabelle10[[#This Row],[2Von]])+IF(Tabelle10[[#This Row],[2Von]]&gt;0,1)+IF(Tabelle10[[#This Row],[1Von]]&gt;0,1)</f>
        <v>17</v>
      </c>
    </row>
    <row r="90" spans="1:9" ht="25.05" customHeight="1">
      <c r="A90" s="2">
        <v>6</v>
      </c>
      <c r="B90" s="2">
        <v>19</v>
      </c>
      <c r="E90" s="2">
        <v>71</v>
      </c>
      <c r="F90" s="2">
        <v>85</v>
      </c>
      <c r="G90" s="17">
        <f>SUM(Tabelle10[[#This Row],[1Bis]],Tabelle10[[#This Row],[2Bis]])-SUM(Tabelle10[[#This Row],[1Von]],Tabelle10[[#This Row],[2Von]])+IF(Tabelle10[[#This Row],[2Von]]&gt;0,1)+IF(Tabelle10[[#This Row],[1Von]]&gt;0,1)</f>
        <v>15</v>
      </c>
    </row>
    <row r="91" spans="1:9" ht="25.05" customHeight="1">
      <c r="A91" s="2">
        <v>6</v>
      </c>
      <c r="B91" s="2">
        <v>18</v>
      </c>
      <c r="E91" s="2">
        <v>75</v>
      </c>
      <c r="F91" s="2">
        <v>85</v>
      </c>
      <c r="G91" s="17">
        <f>SUM(Tabelle10[[#This Row],[1Bis]],Tabelle10[[#This Row],[2Bis]])-SUM(Tabelle10[[#This Row],[1Von]],Tabelle10[[#This Row],[2Von]])+IF(Tabelle10[[#This Row],[2Von]]&gt;0,1)+IF(Tabelle10[[#This Row],[1Von]]&gt;0,1)</f>
        <v>11</v>
      </c>
      <c r="I91" s="3"/>
    </row>
    <row r="92" spans="1:9" ht="25.05" customHeight="1">
      <c r="A92" s="2">
        <v>7</v>
      </c>
      <c r="B92" s="2">
        <v>1</v>
      </c>
      <c r="C92" s="2">
        <v>1</v>
      </c>
      <c r="D92" s="2">
        <v>41</v>
      </c>
      <c r="E92" s="2">
        <v>41</v>
      </c>
      <c r="F92" s="2">
        <v>85</v>
      </c>
      <c r="G9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3" spans="1:9" ht="25.05" customHeight="1">
      <c r="A93" s="2">
        <v>7</v>
      </c>
      <c r="B93" s="2">
        <v>4</v>
      </c>
      <c r="C93" s="2">
        <v>1</v>
      </c>
      <c r="D93" s="2">
        <v>41</v>
      </c>
      <c r="E93" s="2">
        <v>41</v>
      </c>
      <c r="F93" s="2">
        <v>85</v>
      </c>
      <c r="G9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4" spans="1:9" ht="25.05" customHeight="1">
      <c r="A94" s="2">
        <v>7</v>
      </c>
      <c r="B94" s="2">
        <v>20</v>
      </c>
      <c r="C94" s="2">
        <v>1</v>
      </c>
      <c r="D94" s="2">
        <v>41</v>
      </c>
      <c r="E94" s="2">
        <v>41</v>
      </c>
      <c r="F94" s="2">
        <v>85</v>
      </c>
      <c r="G9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5" spans="1:9" ht="25.05" customHeight="1">
      <c r="A95" s="2">
        <v>7</v>
      </c>
      <c r="B95" s="2">
        <v>16</v>
      </c>
      <c r="C95" s="2">
        <v>1</v>
      </c>
      <c r="D95" s="2">
        <v>41</v>
      </c>
      <c r="E95" s="2">
        <v>41</v>
      </c>
      <c r="F95" s="2">
        <v>85</v>
      </c>
      <c r="G95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6" spans="1:9" ht="25.05" customHeight="1">
      <c r="A96" s="2">
        <v>7</v>
      </c>
      <c r="B96" s="2">
        <v>23</v>
      </c>
      <c r="C96" s="2">
        <v>1</v>
      </c>
      <c r="D96" s="2">
        <v>41</v>
      </c>
      <c r="E96" s="2">
        <v>41</v>
      </c>
      <c r="F96" s="2">
        <v>85</v>
      </c>
      <c r="G9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7" spans="1:9" ht="25.05" customHeight="1">
      <c r="A97" s="2">
        <v>7</v>
      </c>
      <c r="B97" s="2">
        <v>26</v>
      </c>
      <c r="C97" s="2">
        <v>1</v>
      </c>
      <c r="D97" s="2">
        <v>41</v>
      </c>
      <c r="E97" s="2">
        <v>41</v>
      </c>
      <c r="F97" s="2">
        <v>69</v>
      </c>
      <c r="G97" s="17">
        <f>SUM(Tabelle10[[#This Row],[1Bis]],Tabelle10[[#This Row],[2Bis]])-SUM(Tabelle10[[#This Row],[1Von]],Tabelle10[[#This Row],[2Von]])+IF(Tabelle10[[#This Row],[2Von]]&gt;0,1)+IF(Tabelle10[[#This Row],[1Von]]&gt;0,1)</f>
        <v>70</v>
      </c>
    </row>
    <row r="98" spans="1:9" ht="25.05" customHeight="1">
      <c r="A98" s="2">
        <v>7</v>
      </c>
      <c r="B98" s="2">
        <v>19</v>
      </c>
      <c r="C98" s="2">
        <v>1</v>
      </c>
      <c r="D98" s="2">
        <v>41</v>
      </c>
      <c r="E98" s="2">
        <v>41</v>
      </c>
      <c r="F98" s="2">
        <v>47</v>
      </c>
      <c r="G98" s="17">
        <f>SUM(Tabelle10[[#This Row],[1Bis]],Tabelle10[[#This Row],[2Bis]])-SUM(Tabelle10[[#This Row],[1Von]],Tabelle10[[#This Row],[2Von]])+IF(Tabelle10[[#This Row],[2Von]]&gt;0,1)+IF(Tabelle10[[#This Row],[1Von]]&gt;0,1)</f>
        <v>48</v>
      </c>
    </row>
    <row r="99" spans="1:9" ht="25.05" customHeight="1">
      <c r="A99" s="2">
        <v>7</v>
      </c>
      <c r="B99" s="2">
        <v>27</v>
      </c>
      <c r="C99" s="2">
        <v>1</v>
      </c>
      <c r="D99" s="2">
        <v>41</v>
      </c>
      <c r="E99" s="2">
        <v>41</v>
      </c>
      <c r="F99" s="2">
        <v>69</v>
      </c>
      <c r="G99" s="17">
        <f>SUM(Tabelle10[[#This Row],[1Bis]],Tabelle10[[#This Row],[2Bis]])-SUM(Tabelle10[[#This Row],[1Von]],Tabelle10[[#This Row],[2Von]])+IF(Tabelle10[[#This Row],[2Von]]&gt;0,1)+IF(Tabelle10[[#This Row],[1Von]]&gt;0,1)</f>
        <v>70</v>
      </c>
    </row>
    <row r="100" spans="1:9" ht="25.05" customHeight="1">
      <c r="A100" s="2">
        <v>7</v>
      </c>
      <c r="B100" s="2">
        <v>8</v>
      </c>
      <c r="C100" s="2">
        <v>1</v>
      </c>
      <c r="D100" s="2">
        <v>41</v>
      </c>
      <c r="E100" s="2">
        <v>41</v>
      </c>
      <c r="F100" s="2">
        <v>85</v>
      </c>
      <c r="G100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1" spans="1:9" ht="25.05" customHeight="1">
      <c r="A101" s="2">
        <v>7</v>
      </c>
      <c r="B101" s="2">
        <v>10</v>
      </c>
      <c r="C101" s="2">
        <v>1</v>
      </c>
      <c r="D101" s="2">
        <v>41</v>
      </c>
      <c r="E101" s="2">
        <v>41</v>
      </c>
      <c r="F101" s="2">
        <v>81</v>
      </c>
      <c r="G101" s="17">
        <f>SUM(Tabelle10[[#This Row],[1Bis]],Tabelle10[[#This Row],[2Bis]])-SUM(Tabelle10[[#This Row],[1Von]],Tabelle10[[#This Row],[2Von]])+IF(Tabelle10[[#This Row],[2Von]]&gt;0,1)+IF(Tabelle10[[#This Row],[1Von]]&gt;0,1)</f>
        <v>82</v>
      </c>
    </row>
    <row r="102" spans="1:9" ht="25.05" customHeight="1">
      <c r="A102" s="2">
        <v>7</v>
      </c>
      <c r="B102" s="2">
        <v>7</v>
      </c>
      <c r="C102" s="2">
        <v>1</v>
      </c>
      <c r="D102" s="2">
        <v>41</v>
      </c>
      <c r="E102" s="2">
        <v>41</v>
      </c>
      <c r="F102" s="2">
        <v>85</v>
      </c>
      <c r="G10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3" spans="1:9" ht="25.05" customHeight="1">
      <c r="A103" s="2">
        <v>7</v>
      </c>
      <c r="B103" s="2">
        <v>6</v>
      </c>
      <c r="E103" s="2">
        <v>48</v>
      </c>
      <c r="F103" s="2">
        <v>85</v>
      </c>
      <c r="G103" s="17">
        <f>SUM(Tabelle10[[#This Row],[1Bis]],Tabelle10[[#This Row],[2Bis]])-SUM(Tabelle10[[#This Row],[1Von]],Tabelle10[[#This Row],[2Von]])+IF(Tabelle10[[#This Row],[2Von]]&gt;0,1)+IF(Tabelle10[[#This Row],[1Von]]&gt;0,1)</f>
        <v>38</v>
      </c>
    </row>
    <row r="104" spans="1:9" ht="25.05" customHeight="1">
      <c r="A104" s="2">
        <v>7</v>
      </c>
      <c r="B104" s="2">
        <v>18</v>
      </c>
      <c r="E104" s="2">
        <v>70</v>
      </c>
      <c r="F104" s="2">
        <v>85</v>
      </c>
      <c r="G104" s="17">
        <f>SUM(Tabelle10[[#This Row],[1Bis]],Tabelle10[[#This Row],[2Bis]])-SUM(Tabelle10[[#This Row],[1Von]],Tabelle10[[#This Row],[2Von]])+IF(Tabelle10[[#This Row],[2Von]]&gt;0,1)+IF(Tabelle10[[#This Row],[1Von]]&gt;0,1)</f>
        <v>16</v>
      </c>
    </row>
    <row r="105" spans="1:9" ht="25.05" customHeight="1">
      <c r="A105" s="2">
        <v>7</v>
      </c>
      <c r="B105" s="2">
        <v>5</v>
      </c>
      <c r="E105" s="2">
        <v>70</v>
      </c>
      <c r="F105" s="2">
        <v>85</v>
      </c>
      <c r="G105" s="17">
        <f>SUM(Tabelle10[[#This Row],[1Bis]],Tabelle10[[#This Row],[2Bis]])-SUM(Tabelle10[[#This Row],[1Von]],Tabelle10[[#This Row],[2Von]])+IF(Tabelle10[[#This Row],[2Von]]&gt;0,1)+IF(Tabelle10[[#This Row],[1Von]]&gt;0,1)</f>
        <v>16</v>
      </c>
    </row>
    <row r="106" spans="1:9" ht="25.05" customHeight="1">
      <c r="A106" s="2">
        <v>7</v>
      </c>
      <c r="B106" s="2">
        <v>25</v>
      </c>
      <c r="E106" s="2">
        <v>82</v>
      </c>
      <c r="F106" s="2">
        <v>85</v>
      </c>
      <c r="G106" s="17">
        <f>SUM(Tabelle10[[#This Row],[1Bis]],Tabelle10[[#This Row],[2Bis]])-SUM(Tabelle10[[#This Row],[1Von]],Tabelle10[[#This Row],[2Von]])+IF(Tabelle10[[#This Row],[2Von]]&gt;0,1)+IF(Tabelle10[[#This Row],[1Von]]&gt;0,1)</f>
        <v>4</v>
      </c>
      <c r="I106" s="3"/>
    </row>
    <row r="107" spans="1:9" ht="25.05" customHeight="1">
      <c r="A107" s="2">
        <v>8</v>
      </c>
      <c r="B107" s="2">
        <v>1</v>
      </c>
      <c r="C107" s="2">
        <v>1</v>
      </c>
      <c r="D107" s="2">
        <v>40</v>
      </c>
      <c r="E107" s="2">
        <v>41</v>
      </c>
      <c r="F107" s="2">
        <v>86</v>
      </c>
      <c r="G10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8" spans="1:9" ht="25.05" customHeight="1">
      <c r="A108" s="2">
        <v>8</v>
      </c>
      <c r="B108" s="2">
        <v>4</v>
      </c>
      <c r="C108" s="2">
        <v>1</v>
      </c>
      <c r="D108" s="2">
        <v>40</v>
      </c>
      <c r="E108" s="2">
        <v>41</v>
      </c>
      <c r="F108" s="2">
        <v>86</v>
      </c>
      <c r="G10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9" spans="1:9" ht="25.05" customHeight="1">
      <c r="A109" s="2">
        <v>8</v>
      </c>
      <c r="B109" s="2">
        <v>20</v>
      </c>
      <c r="C109" s="2">
        <v>1</v>
      </c>
      <c r="D109" s="2">
        <v>40</v>
      </c>
      <c r="E109" s="2">
        <v>41</v>
      </c>
      <c r="F109" s="2">
        <v>86</v>
      </c>
      <c r="G10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0" spans="1:9" ht="25.05" customHeight="1">
      <c r="A110" s="2">
        <v>8</v>
      </c>
      <c r="B110" s="2">
        <v>16</v>
      </c>
      <c r="C110" s="2">
        <v>1</v>
      </c>
      <c r="D110" s="2">
        <v>40</v>
      </c>
      <c r="E110" s="2">
        <v>41</v>
      </c>
      <c r="F110" s="2">
        <v>86</v>
      </c>
      <c r="G110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1" spans="1:9" ht="25.05" customHeight="1">
      <c r="A111" s="2">
        <v>8</v>
      </c>
      <c r="B111" s="2">
        <v>23</v>
      </c>
      <c r="C111" s="2">
        <v>1</v>
      </c>
      <c r="D111" s="2">
        <v>40</v>
      </c>
      <c r="E111" s="2">
        <v>41</v>
      </c>
      <c r="F111" s="2">
        <v>86</v>
      </c>
      <c r="G11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2" spans="1:9" ht="25.05" customHeight="1">
      <c r="A112" s="2">
        <v>8</v>
      </c>
      <c r="B112" s="2">
        <v>26</v>
      </c>
      <c r="C112" s="2">
        <v>1</v>
      </c>
      <c r="D112" s="2">
        <v>40</v>
      </c>
      <c r="E112" s="2">
        <v>41</v>
      </c>
      <c r="F112" s="2">
        <v>86</v>
      </c>
      <c r="G11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3" spans="1:9" ht="25.05" customHeight="1">
      <c r="A113" s="2">
        <v>8</v>
      </c>
      <c r="B113" s="2">
        <v>5</v>
      </c>
      <c r="C113" s="2">
        <v>1</v>
      </c>
      <c r="D113" s="2">
        <v>40</v>
      </c>
      <c r="E113" s="2">
        <v>41</v>
      </c>
      <c r="F113" s="2">
        <v>50</v>
      </c>
      <c r="G113" s="17">
        <f>SUM(Tabelle10[[#This Row],[1Bis]],Tabelle10[[#This Row],[2Bis]])-SUM(Tabelle10[[#This Row],[1Von]],Tabelle10[[#This Row],[2Von]])+IF(Tabelle10[[#This Row],[2Von]]&gt;0,1)+IF(Tabelle10[[#This Row],[1Von]]&gt;0,1)</f>
        <v>50</v>
      </c>
    </row>
    <row r="114" spans="1:9" ht="25.05" customHeight="1">
      <c r="A114" s="2">
        <v>8</v>
      </c>
      <c r="B114" s="2">
        <v>27</v>
      </c>
      <c r="C114" s="2">
        <v>1</v>
      </c>
      <c r="D114" s="2">
        <v>40</v>
      </c>
      <c r="E114" s="2">
        <v>41</v>
      </c>
      <c r="F114" s="2">
        <v>57</v>
      </c>
      <c r="G114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115" spans="1:9" ht="25.05" customHeight="1">
      <c r="A115" s="2">
        <v>8</v>
      </c>
      <c r="B115" s="2">
        <v>8</v>
      </c>
      <c r="C115" s="2">
        <v>1</v>
      </c>
      <c r="D115" s="2">
        <v>40</v>
      </c>
      <c r="E115" s="2">
        <v>41</v>
      </c>
      <c r="F115" s="2">
        <v>86</v>
      </c>
      <c r="G115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6" spans="1:9" ht="25.05" customHeight="1">
      <c r="A116" s="2">
        <v>8</v>
      </c>
      <c r="B116" s="2">
        <v>10</v>
      </c>
      <c r="C116" s="2">
        <v>1</v>
      </c>
      <c r="D116" s="2">
        <v>40</v>
      </c>
      <c r="E116" s="2">
        <v>41</v>
      </c>
      <c r="F116" s="2">
        <v>86</v>
      </c>
      <c r="G11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7" spans="1:9" ht="25.05" customHeight="1">
      <c r="A117" s="2">
        <v>8</v>
      </c>
      <c r="B117" s="2">
        <v>7</v>
      </c>
      <c r="C117" s="2">
        <v>1</v>
      </c>
      <c r="D117" s="2">
        <v>40</v>
      </c>
      <c r="E117" s="2">
        <v>41</v>
      </c>
      <c r="F117" s="2">
        <v>71</v>
      </c>
      <c r="G117" s="17">
        <f>SUM(Tabelle10[[#This Row],[1Bis]],Tabelle10[[#This Row],[2Bis]])-SUM(Tabelle10[[#This Row],[1Von]],Tabelle10[[#This Row],[2Von]])+IF(Tabelle10[[#This Row],[2Von]]&gt;0,1)+IF(Tabelle10[[#This Row],[1Von]]&gt;0,1)</f>
        <v>71</v>
      </c>
    </row>
    <row r="118" spans="1:9" ht="25.05" customHeight="1">
      <c r="A118" s="2">
        <v>8</v>
      </c>
      <c r="B118" s="2">
        <v>6</v>
      </c>
      <c r="E118" s="2">
        <v>51</v>
      </c>
      <c r="F118" s="2">
        <v>86</v>
      </c>
      <c r="G118" s="17">
        <f>SUM(Tabelle10[[#This Row],[1Bis]],Tabelle10[[#This Row],[2Bis]])-SUM(Tabelle10[[#This Row],[1Von]],Tabelle10[[#This Row],[2Von]])+IF(Tabelle10[[#This Row],[2Von]]&gt;0,1)+IF(Tabelle10[[#This Row],[1Von]]&gt;0,1)</f>
        <v>36</v>
      </c>
    </row>
    <row r="119" spans="1:9" ht="25.05" customHeight="1">
      <c r="A119" s="2">
        <v>8</v>
      </c>
      <c r="B119" s="2">
        <v>13</v>
      </c>
      <c r="E119" s="2">
        <v>58</v>
      </c>
      <c r="F119" s="2">
        <v>86</v>
      </c>
      <c r="G119" s="17">
        <f>SUM(Tabelle10[[#This Row],[1Bis]],Tabelle10[[#This Row],[2Bis]])-SUM(Tabelle10[[#This Row],[1Von]],Tabelle10[[#This Row],[2Von]])+IF(Tabelle10[[#This Row],[2Von]]&gt;0,1)+IF(Tabelle10[[#This Row],[1Von]]&gt;0,1)</f>
        <v>29</v>
      </c>
    </row>
    <row r="120" spans="1:9" ht="25.05" customHeight="1">
      <c r="A120" s="2">
        <v>8</v>
      </c>
      <c r="B120" s="2">
        <v>25</v>
      </c>
      <c r="E120" s="2">
        <v>72</v>
      </c>
      <c r="F120" s="2">
        <v>86</v>
      </c>
      <c r="G120" s="17">
        <f>SUM(Tabelle10[[#This Row],[1Bis]],Tabelle10[[#This Row],[2Bis]])-SUM(Tabelle10[[#This Row],[1Von]],Tabelle10[[#This Row],[2Von]])+IF(Tabelle10[[#This Row],[2Von]]&gt;0,1)+IF(Tabelle10[[#This Row],[1Von]]&gt;0,1)</f>
        <v>15</v>
      </c>
      <c r="I120" s="3"/>
    </row>
    <row r="121" spans="1:9" ht="25.05" customHeight="1">
      <c r="A121" s="2">
        <v>9</v>
      </c>
      <c r="B121" s="2">
        <v>21</v>
      </c>
      <c r="C121" s="2">
        <v>1</v>
      </c>
      <c r="D121" s="2">
        <v>42</v>
      </c>
      <c r="E121" s="2">
        <v>41</v>
      </c>
      <c r="F121" s="2">
        <v>84</v>
      </c>
      <c r="G12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2" spans="1:9" ht="25.05" customHeight="1">
      <c r="A122" s="2">
        <v>9</v>
      </c>
      <c r="B122" s="2">
        <v>13</v>
      </c>
      <c r="C122" s="2">
        <v>1</v>
      </c>
      <c r="D122" s="2">
        <v>42</v>
      </c>
      <c r="E122" s="2">
        <v>41</v>
      </c>
      <c r="F122" s="2">
        <v>84</v>
      </c>
      <c r="G12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3" spans="1:9" ht="25.05" customHeight="1">
      <c r="A123" s="2">
        <v>9</v>
      </c>
      <c r="B123" s="2">
        <v>20</v>
      </c>
      <c r="C123" s="2">
        <v>1</v>
      </c>
      <c r="D123" s="2">
        <v>42</v>
      </c>
      <c r="E123" s="2">
        <v>41</v>
      </c>
      <c r="F123" s="2">
        <v>84</v>
      </c>
      <c r="G12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4" spans="1:9" ht="25.05" customHeight="1">
      <c r="A124" s="2">
        <v>9</v>
      </c>
      <c r="B124" s="2">
        <v>16</v>
      </c>
      <c r="C124" s="2">
        <v>1</v>
      </c>
      <c r="D124" s="2">
        <v>42</v>
      </c>
      <c r="E124" s="2">
        <v>41</v>
      </c>
      <c r="F124" s="2">
        <v>84</v>
      </c>
      <c r="G12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5" spans="1:9" ht="25.05" customHeight="1">
      <c r="A125" s="2">
        <v>9</v>
      </c>
      <c r="B125" s="2">
        <v>4</v>
      </c>
      <c r="C125" s="2">
        <v>1</v>
      </c>
      <c r="D125" s="2">
        <v>42</v>
      </c>
      <c r="E125" s="2">
        <v>41</v>
      </c>
      <c r="F125" s="2">
        <v>59</v>
      </c>
      <c r="G125" s="17">
        <f>SUM(Tabelle10[[#This Row],[1Bis]],Tabelle10[[#This Row],[2Bis]])-SUM(Tabelle10[[#This Row],[1Von]],Tabelle10[[#This Row],[2Von]])+IF(Tabelle10[[#This Row],[2Von]]&gt;0,1)+IF(Tabelle10[[#This Row],[1Von]]&gt;0,1)</f>
        <v>61</v>
      </c>
    </row>
    <row r="126" spans="1:9" ht="25.05" customHeight="1">
      <c r="A126" s="2">
        <v>9</v>
      </c>
      <c r="B126" s="2">
        <v>5</v>
      </c>
      <c r="C126" s="2">
        <v>1</v>
      </c>
      <c r="D126" s="2">
        <v>42</v>
      </c>
      <c r="E126" s="2">
        <v>41</v>
      </c>
      <c r="F126" s="2">
        <v>76</v>
      </c>
      <c r="G126" s="17">
        <f>SUM(Tabelle10[[#This Row],[1Bis]],Tabelle10[[#This Row],[2Bis]])-SUM(Tabelle10[[#This Row],[1Von]],Tabelle10[[#This Row],[2Von]])+IF(Tabelle10[[#This Row],[2Von]]&gt;0,1)+IF(Tabelle10[[#This Row],[1Von]]&gt;0,1)</f>
        <v>78</v>
      </c>
    </row>
    <row r="127" spans="1:9" ht="25.05" customHeight="1">
      <c r="A127" s="2">
        <v>9</v>
      </c>
      <c r="B127" s="2">
        <v>26</v>
      </c>
      <c r="C127" s="2">
        <v>1</v>
      </c>
      <c r="D127" s="2">
        <v>42</v>
      </c>
      <c r="E127" s="2">
        <v>41</v>
      </c>
      <c r="F127" s="2">
        <v>81</v>
      </c>
      <c r="G127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128" spans="1:9" ht="25.05" customHeight="1">
      <c r="A128" s="2">
        <v>9</v>
      </c>
      <c r="B128" s="2">
        <v>7</v>
      </c>
      <c r="C128" s="2">
        <v>1</v>
      </c>
      <c r="D128" s="2">
        <v>42</v>
      </c>
      <c r="E128" s="2">
        <v>41</v>
      </c>
      <c r="F128" s="2">
        <v>67</v>
      </c>
      <c r="G128" s="17">
        <f>SUM(Tabelle10[[#This Row],[1Bis]],Tabelle10[[#This Row],[2Bis]])-SUM(Tabelle10[[#This Row],[1Von]],Tabelle10[[#This Row],[2Von]])+IF(Tabelle10[[#This Row],[2Von]]&gt;0,1)+IF(Tabelle10[[#This Row],[1Von]]&gt;0,1)</f>
        <v>69</v>
      </c>
    </row>
    <row r="129" spans="1:9" ht="25.05" customHeight="1">
      <c r="A129" s="2">
        <v>9</v>
      </c>
      <c r="B129" s="2">
        <v>10</v>
      </c>
      <c r="C129" s="2">
        <v>1</v>
      </c>
      <c r="D129" s="2">
        <v>42</v>
      </c>
      <c r="E129" s="2">
        <v>41</v>
      </c>
      <c r="F129" s="2">
        <v>84</v>
      </c>
      <c r="G12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30" spans="1:9" ht="25.05" customHeight="1">
      <c r="A130" s="2">
        <v>9</v>
      </c>
      <c r="B130" s="2">
        <v>27</v>
      </c>
      <c r="C130" s="2">
        <v>1</v>
      </c>
      <c r="D130" s="2">
        <v>40</v>
      </c>
      <c r="G130" s="17">
        <f>SUM(Tabelle10[[#This Row],[1Bis]],Tabelle10[[#This Row],[2Bis]])-SUM(Tabelle10[[#This Row],[1Von]],Tabelle10[[#This Row],[2Von]])+IF(Tabelle10[[#This Row],[2Von]]&gt;0,1)+IF(Tabelle10[[#This Row],[1Von]]&gt;0,1)</f>
        <v>40</v>
      </c>
    </row>
    <row r="131" spans="1:9" ht="25.05" customHeight="1">
      <c r="A131" s="2">
        <v>9</v>
      </c>
      <c r="B131" s="2">
        <v>9</v>
      </c>
      <c r="C131" s="2">
        <v>1</v>
      </c>
      <c r="D131" s="2">
        <v>42</v>
      </c>
      <c r="E131" s="2">
        <v>41</v>
      </c>
      <c r="F131" s="2">
        <v>48</v>
      </c>
      <c r="G131" s="17">
        <f>SUM(Tabelle10[[#This Row],[1Bis]],Tabelle10[[#This Row],[2Bis]])-SUM(Tabelle10[[#This Row],[1Von]],Tabelle10[[#This Row],[2Von]])+IF(Tabelle10[[#This Row],[2Von]]&gt;0,1)+IF(Tabelle10[[#This Row],[1Von]]&gt;0,1)</f>
        <v>50</v>
      </c>
    </row>
    <row r="132" spans="1:9" ht="25.05" customHeight="1">
      <c r="A132" s="2">
        <v>9</v>
      </c>
      <c r="B132" s="2">
        <v>8</v>
      </c>
      <c r="E132" s="2">
        <v>49</v>
      </c>
      <c r="F132" s="2">
        <v>84</v>
      </c>
      <c r="G132" s="17">
        <f>SUM(Tabelle10[[#This Row],[1Bis]],Tabelle10[[#This Row],[2Bis]])-SUM(Tabelle10[[#This Row],[1Von]],Tabelle10[[#This Row],[2Von]])+IF(Tabelle10[[#This Row],[2Von]]&gt;0,1)+IF(Tabelle10[[#This Row],[1Von]]&gt;0,1)</f>
        <v>36</v>
      </c>
    </row>
    <row r="133" spans="1:9" ht="25.05" customHeight="1">
      <c r="A133" s="2">
        <v>9</v>
      </c>
      <c r="B133" s="2">
        <v>23</v>
      </c>
      <c r="E133" s="2">
        <v>60</v>
      </c>
      <c r="F133" s="2">
        <v>84</v>
      </c>
      <c r="G133" s="17">
        <f>SUM(Tabelle10[[#This Row],[1Bis]],Tabelle10[[#This Row],[2Bis]])-SUM(Tabelle10[[#This Row],[1Von]],Tabelle10[[#This Row],[2Von]])+IF(Tabelle10[[#This Row],[2Von]]&gt;0,1)+IF(Tabelle10[[#This Row],[1Von]]&gt;0,1)</f>
        <v>25</v>
      </c>
    </row>
    <row r="134" spans="1:9" ht="25.05" customHeight="1">
      <c r="A134" s="2">
        <v>9</v>
      </c>
      <c r="B134" s="2">
        <v>25</v>
      </c>
      <c r="E134" s="2">
        <v>68</v>
      </c>
      <c r="F134" s="2">
        <v>84</v>
      </c>
      <c r="G134" s="17">
        <f>SUM(Tabelle10[[#This Row],[1Bis]],Tabelle10[[#This Row],[2Bis]])-SUM(Tabelle10[[#This Row],[1Von]],Tabelle10[[#This Row],[2Von]])+IF(Tabelle10[[#This Row],[2Von]]&gt;0,1)+IF(Tabelle10[[#This Row],[1Von]]&gt;0,1)</f>
        <v>17</v>
      </c>
    </row>
    <row r="135" spans="1:9" ht="25.05" customHeight="1">
      <c r="A135" s="2">
        <v>9</v>
      </c>
      <c r="B135" s="2">
        <v>11</v>
      </c>
      <c r="E135" s="2">
        <v>77</v>
      </c>
      <c r="F135" s="2">
        <v>84</v>
      </c>
      <c r="G135" s="17">
        <f>SUM(Tabelle10[[#This Row],[1Bis]],Tabelle10[[#This Row],[2Bis]])-SUM(Tabelle10[[#This Row],[1Von]],Tabelle10[[#This Row],[2Von]])+IF(Tabelle10[[#This Row],[2Von]]&gt;0,1)+IF(Tabelle10[[#This Row],[1Von]]&gt;0,1)</f>
        <v>8</v>
      </c>
    </row>
    <row r="136" spans="1:9" ht="25.05" customHeight="1">
      <c r="A136" s="2">
        <v>9</v>
      </c>
      <c r="B136" s="2">
        <v>6</v>
      </c>
      <c r="E136" s="2">
        <v>82</v>
      </c>
      <c r="F136" s="2">
        <v>84</v>
      </c>
      <c r="G136" s="17">
        <f>SUM(Tabelle10[[#This Row],[1Bis]],Tabelle10[[#This Row],[2Bis]])-SUM(Tabelle10[[#This Row],[1Von]],Tabelle10[[#This Row],[2Von]])+IF(Tabelle10[[#This Row],[2Von]]&gt;0,1)+IF(Tabelle10[[#This Row],[1Von]]&gt;0,1)</f>
        <v>3</v>
      </c>
      <c r="I136" s="3"/>
    </row>
    <row r="137" spans="1:9" ht="25.05" customHeight="1">
      <c r="A137" s="2">
        <v>10</v>
      </c>
      <c r="B137" s="2">
        <v>1</v>
      </c>
      <c r="C137" s="2">
        <v>1</v>
      </c>
      <c r="D137" s="2">
        <v>40</v>
      </c>
      <c r="E137" s="2">
        <v>41</v>
      </c>
      <c r="F137" s="2">
        <v>84</v>
      </c>
      <c r="G137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38" spans="1:9" ht="25.05" customHeight="1">
      <c r="A138" s="2">
        <v>10</v>
      </c>
      <c r="B138" s="2">
        <v>4</v>
      </c>
      <c r="C138" s="2">
        <v>1</v>
      </c>
      <c r="D138" s="2">
        <v>40</v>
      </c>
      <c r="G138" s="17">
        <f>SUM(Tabelle10[[#This Row],[1Bis]],Tabelle10[[#This Row],[2Bis]])-SUM(Tabelle10[[#This Row],[1Von]],Tabelle10[[#This Row],[2Von]])+IF(Tabelle10[[#This Row],[2Von]]&gt;0,1)+IF(Tabelle10[[#This Row],[1Von]]&gt;0,1)</f>
        <v>40</v>
      </c>
    </row>
    <row r="139" spans="1:9" ht="25.05" customHeight="1">
      <c r="A139" s="2">
        <v>10</v>
      </c>
      <c r="B139" s="2">
        <v>20</v>
      </c>
      <c r="C139" s="2">
        <v>1</v>
      </c>
      <c r="D139" s="2">
        <v>40</v>
      </c>
      <c r="E139" s="2">
        <v>41</v>
      </c>
      <c r="F139" s="2">
        <v>84</v>
      </c>
      <c r="G139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0" spans="1:9" ht="25.05" customHeight="1">
      <c r="A140" s="2">
        <v>10</v>
      </c>
      <c r="B140" s="2">
        <v>16</v>
      </c>
      <c r="C140" s="2">
        <v>1</v>
      </c>
      <c r="D140" s="2">
        <v>40</v>
      </c>
      <c r="E140" s="2">
        <v>41</v>
      </c>
      <c r="F140" s="2">
        <v>84</v>
      </c>
      <c r="G140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1" spans="1:9" ht="25.05" customHeight="1">
      <c r="A141" s="2">
        <v>10</v>
      </c>
      <c r="B141" s="2">
        <v>23</v>
      </c>
      <c r="C141" s="2">
        <v>1</v>
      </c>
      <c r="D141" s="2">
        <v>40</v>
      </c>
      <c r="E141" s="2">
        <v>41</v>
      </c>
      <c r="F141" s="2">
        <v>84</v>
      </c>
      <c r="G141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2" spans="1:9" ht="25.05" customHeight="1">
      <c r="A142" s="2">
        <v>10</v>
      </c>
      <c r="B142" s="2">
        <v>6</v>
      </c>
      <c r="C142" s="2">
        <v>1</v>
      </c>
      <c r="D142" s="2">
        <v>40</v>
      </c>
      <c r="E142" s="2">
        <v>41</v>
      </c>
      <c r="F142" s="2">
        <v>84</v>
      </c>
      <c r="G142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3" spans="1:9" ht="25.05" customHeight="1">
      <c r="A143" s="2">
        <v>10</v>
      </c>
      <c r="B143" s="2">
        <v>26</v>
      </c>
      <c r="C143" s="2">
        <v>1</v>
      </c>
      <c r="D143" s="2">
        <v>40</v>
      </c>
      <c r="E143" s="2">
        <v>41</v>
      </c>
      <c r="F143" s="2">
        <v>84</v>
      </c>
      <c r="G143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4" spans="1:9" ht="25.05" customHeight="1">
      <c r="A144" s="2">
        <v>10</v>
      </c>
      <c r="B144" s="2">
        <v>7</v>
      </c>
      <c r="C144" s="2">
        <v>1</v>
      </c>
      <c r="D144" s="2">
        <v>40</v>
      </c>
      <c r="E144" s="2">
        <v>41</v>
      </c>
      <c r="F144" s="2">
        <v>72</v>
      </c>
      <c r="G144" s="17">
        <f>SUM(Tabelle10[[#This Row],[1Bis]],Tabelle10[[#This Row],[2Bis]])-SUM(Tabelle10[[#This Row],[1Von]],Tabelle10[[#This Row],[2Von]])+IF(Tabelle10[[#This Row],[2Von]]&gt;0,1)+IF(Tabelle10[[#This Row],[1Von]]&gt;0,1)</f>
        <v>72</v>
      </c>
    </row>
    <row r="145" spans="1:9" ht="25.05" customHeight="1">
      <c r="A145" s="2">
        <v>10</v>
      </c>
      <c r="B145" s="2">
        <v>11</v>
      </c>
      <c r="C145" s="2">
        <v>1</v>
      </c>
      <c r="D145" s="2">
        <v>40</v>
      </c>
      <c r="E145" s="2">
        <v>41</v>
      </c>
      <c r="F145" s="2">
        <v>58</v>
      </c>
      <c r="G145" s="17">
        <f>SUM(Tabelle10[[#This Row],[1Bis]],Tabelle10[[#This Row],[2Bis]])-SUM(Tabelle10[[#This Row],[1Von]],Tabelle10[[#This Row],[2Von]])+IF(Tabelle10[[#This Row],[2Von]]&gt;0,1)+IF(Tabelle10[[#This Row],[1Von]]&gt;0,1)</f>
        <v>58</v>
      </c>
    </row>
    <row r="146" spans="1:9" ht="25.05" customHeight="1">
      <c r="A146" s="2">
        <v>10</v>
      </c>
      <c r="B146" s="2">
        <v>8</v>
      </c>
      <c r="C146" s="2">
        <v>1</v>
      </c>
      <c r="D146" s="2">
        <v>40</v>
      </c>
      <c r="E146" s="2">
        <v>41</v>
      </c>
      <c r="F146" s="2">
        <v>84</v>
      </c>
      <c r="G146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7" spans="1:9" ht="25.05" customHeight="1">
      <c r="A147" s="2">
        <v>10</v>
      </c>
      <c r="B147" s="2">
        <v>9</v>
      </c>
      <c r="C147" s="2">
        <v>1</v>
      </c>
      <c r="D147" s="2">
        <v>40</v>
      </c>
      <c r="E147" s="2">
        <v>41</v>
      </c>
      <c r="F147" s="2">
        <v>84</v>
      </c>
      <c r="G147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8" spans="1:9" ht="25.05" customHeight="1">
      <c r="A148" s="2">
        <v>10</v>
      </c>
      <c r="B148" s="2">
        <v>13</v>
      </c>
      <c r="E148" s="2">
        <v>41</v>
      </c>
      <c r="F148" s="2">
        <v>84</v>
      </c>
      <c r="G148" s="17">
        <f>SUM(Tabelle10[[#This Row],[1Bis]],Tabelle10[[#This Row],[2Bis]])-SUM(Tabelle10[[#This Row],[1Von]],Tabelle10[[#This Row],[2Von]])+IF(Tabelle10[[#This Row],[2Von]]&gt;0,1)+IF(Tabelle10[[#This Row],[1Von]]&gt;0,1)</f>
        <v>44</v>
      </c>
    </row>
    <row r="149" spans="1:9" ht="25.05" customHeight="1">
      <c r="A149" s="2">
        <v>10</v>
      </c>
      <c r="B149" s="2">
        <v>25</v>
      </c>
      <c r="E149" s="2">
        <v>59</v>
      </c>
      <c r="F149" s="2">
        <v>84</v>
      </c>
      <c r="G149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150" spans="1:9" ht="25.05" customHeight="1">
      <c r="A150" s="2">
        <v>10</v>
      </c>
      <c r="B150" s="2">
        <v>18</v>
      </c>
      <c r="E150" s="2">
        <v>73</v>
      </c>
      <c r="F150" s="2">
        <v>84</v>
      </c>
      <c r="G150" s="17">
        <f>SUM(Tabelle10[[#This Row],[1Bis]],Tabelle10[[#This Row],[2Bis]])-SUM(Tabelle10[[#This Row],[1Von]],Tabelle10[[#This Row],[2Von]])+IF(Tabelle10[[#This Row],[2Von]]&gt;0,1)+IF(Tabelle10[[#This Row],[1Von]]&gt;0,1)</f>
        <v>12</v>
      </c>
      <c r="I150" s="3"/>
    </row>
    <row r="151" spans="1:9" ht="25.05" customHeight="1">
      <c r="A151" s="2">
        <v>11</v>
      </c>
      <c r="B151" s="2">
        <v>21</v>
      </c>
      <c r="C151" s="2">
        <v>1</v>
      </c>
      <c r="D151" s="2">
        <v>40</v>
      </c>
      <c r="E151" s="2">
        <v>41</v>
      </c>
      <c r="F151" s="2">
        <v>86</v>
      </c>
      <c r="G15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2" spans="1:9" ht="25.05" customHeight="1">
      <c r="A152" s="2">
        <v>11</v>
      </c>
      <c r="B152" s="2">
        <v>4</v>
      </c>
      <c r="C152" s="2">
        <v>1</v>
      </c>
      <c r="D152" s="2">
        <v>40</v>
      </c>
      <c r="E152" s="2">
        <v>41</v>
      </c>
      <c r="F152" s="2">
        <v>86</v>
      </c>
      <c r="G15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3" spans="1:9" ht="25.05" customHeight="1">
      <c r="A153" s="2">
        <v>11</v>
      </c>
      <c r="B153" s="2">
        <v>20</v>
      </c>
      <c r="C153" s="2">
        <v>1</v>
      </c>
      <c r="D153" s="2">
        <v>40</v>
      </c>
      <c r="E153" s="2">
        <v>41</v>
      </c>
      <c r="F153" s="2">
        <v>86</v>
      </c>
      <c r="G15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4" spans="1:9" ht="25.05" customHeight="1">
      <c r="A154" s="2">
        <v>11</v>
      </c>
      <c r="B154" s="2">
        <v>16</v>
      </c>
      <c r="C154" s="2">
        <v>1</v>
      </c>
      <c r="D154" s="2">
        <v>40</v>
      </c>
      <c r="E154" s="2">
        <v>41</v>
      </c>
      <c r="F154" s="2">
        <v>86</v>
      </c>
      <c r="G15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5" spans="1:9" ht="25.05" customHeight="1">
      <c r="A155" s="2">
        <v>11</v>
      </c>
      <c r="B155" s="2">
        <v>23</v>
      </c>
      <c r="C155" s="2">
        <v>1</v>
      </c>
      <c r="D155" s="2">
        <v>40</v>
      </c>
      <c r="E155" s="2">
        <v>41</v>
      </c>
      <c r="F155" s="2">
        <v>86</v>
      </c>
      <c r="G155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6" spans="1:9" ht="25.05" customHeight="1">
      <c r="A156" s="2">
        <v>11</v>
      </c>
      <c r="B156" s="2">
        <v>5</v>
      </c>
      <c r="C156" s="2">
        <v>1</v>
      </c>
      <c r="D156" s="2">
        <v>40</v>
      </c>
      <c r="E156" s="2">
        <v>41</v>
      </c>
      <c r="F156" s="2">
        <v>53</v>
      </c>
      <c r="G156" s="17">
        <f>SUM(Tabelle10[[#This Row],[1Bis]],Tabelle10[[#This Row],[2Bis]])-SUM(Tabelle10[[#This Row],[1Von]],Tabelle10[[#This Row],[2Von]])+IF(Tabelle10[[#This Row],[2Von]]&gt;0,1)+IF(Tabelle10[[#This Row],[1Von]]&gt;0,1)</f>
        <v>53</v>
      </c>
    </row>
    <row r="157" spans="1:9" ht="25.05" customHeight="1">
      <c r="A157" s="2">
        <v>11</v>
      </c>
      <c r="B157" s="2">
        <v>6</v>
      </c>
      <c r="C157" s="2">
        <v>1</v>
      </c>
      <c r="D157" s="2">
        <v>40</v>
      </c>
      <c r="E157" s="2">
        <v>41</v>
      </c>
      <c r="F157" s="2">
        <v>86</v>
      </c>
      <c r="G15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8" spans="1:9" ht="25.05" customHeight="1">
      <c r="A158" s="2">
        <v>11</v>
      </c>
      <c r="B158" s="2">
        <v>13</v>
      </c>
      <c r="C158" s="2">
        <v>1</v>
      </c>
      <c r="D158" s="2">
        <v>40</v>
      </c>
      <c r="E158" s="2">
        <v>41</v>
      </c>
      <c r="F158" s="2">
        <v>53</v>
      </c>
      <c r="G158" s="17">
        <f>SUM(Tabelle10[[#This Row],[1Bis]],Tabelle10[[#This Row],[2Bis]])-SUM(Tabelle10[[#This Row],[1Von]],Tabelle10[[#This Row],[2Von]])+IF(Tabelle10[[#This Row],[2Von]]&gt;0,1)+IF(Tabelle10[[#This Row],[1Von]]&gt;0,1)</f>
        <v>53</v>
      </c>
    </row>
    <row r="159" spans="1:9" ht="25.05" customHeight="1">
      <c r="A159" s="2">
        <v>11</v>
      </c>
      <c r="B159" s="2">
        <v>8</v>
      </c>
      <c r="C159" s="2">
        <v>1</v>
      </c>
      <c r="D159" s="2">
        <v>40</v>
      </c>
      <c r="E159" s="2">
        <v>41</v>
      </c>
      <c r="F159" s="2">
        <v>86</v>
      </c>
      <c r="G15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0" spans="1:9" ht="25.05" customHeight="1">
      <c r="A160" s="2">
        <v>11</v>
      </c>
      <c r="B160" s="2">
        <v>7</v>
      </c>
      <c r="C160" s="2">
        <v>1</v>
      </c>
      <c r="D160" s="2">
        <v>40</v>
      </c>
      <c r="E160" s="2">
        <v>41</v>
      </c>
      <c r="F160" s="2">
        <v>86</v>
      </c>
      <c r="G160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1" spans="1:9" ht="25.05" customHeight="1">
      <c r="A161" s="2">
        <v>11</v>
      </c>
      <c r="B161" s="2">
        <v>9</v>
      </c>
      <c r="C161" s="2">
        <v>1</v>
      </c>
      <c r="D161" s="2">
        <v>40</v>
      </c>
      <c r="E161" s="2">
        <v>41</v>
      </c>
      <c r="F161" s="2">
        <v>86</v>
      </c>
      <c r="G16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2" spans="1:9" ht="25.05" customHeight="1">
      <c r="A162" s="2">
        <v>11</v>
      </c>
      <c r="B162" s="2">
        <v>11</v>
      </c>
      <c r="E162" s="2">
        <v>54</v>
      </c>
      <c r="F162" s="2">
        <v>86</v>
      </c>
      <c r="G162" s="17">
        <f>SUM(Tabelle10[[#This Row],[1Bis]],Tabelle10[[#This Row],[2Bis]])-SUM(Tabelle10[[#This Row],[1Von]],Tabelle10[[#This Row],[2Von]])+IF(Tabelle10[[#This Row],[2Von]]&gt;0,1)+IF(Tabelle10[[#This Row],[1Von]]&gt;0,1)</f>
        <v>33</v>
      </c>
    </row>
    <row r="163" spans="1:9" ht="25.05" customHeight="1">
      <c r="A163" s="2">
        <v>11</v>
      </c>
      <c r="B163" s="2">
        <v>25</v>
      </c>
      <c r="E163" s="2">
        <v>54</v>
      </c>
      <c r="F163" s="2">
        <v>86</v>
      </c>
      <c r="G163" s="17">
        <f>SUM(Tabelle10[[#This Row],[1Bis]],Tabelle10[[#This Row],[2Bis]])-SUM(Tabelle10[[#This Row],[1Von]],Tabelle10[[#This Row],[2Von]])+IF(Tabelle10[[#This Row],[2Von]]&gt;0,1)+IF(Tabelle10[[#This Row],[1Von]]&gt;0,1)</f>
        <v>33</v>
      </c>
      <c r="I163" s="13"/>
    </row>
    <row r="164" spans="1:9" ht="25.05" customHeight="1">
      <c r="A164" s="2">
        <v>12</v>
      </c>
      <c r="B164" s="2">
        <v>1</v>
      </c>
      <c r="C164" s="2">
        <v>1</v>
      </c>
      <c r="D164" s="2">
        <v>41</v>
      </c>
      <c r="E164" s="2">
        <v>41</v>
      </c>
      <c r="F164" s="2">
        <v>86</v>
      </c>
      <c r="G164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65" spans="1:9" ht="25.05" customHeight="1">
      <c r="A165" s="2">
        <v>12</v>
      </c>
      <c r="B165" s="2">
        <v>4</v>
      </c>
      <c r="C165" s="2">
        <v>1</v>
      </c>
      <c r="D165" s="2">
        <v>41</v>
      </c>
      <c r="E165" s="2">
        <v>41</v>
      </c>
      <c r="F165" s="2">
        <v>70</v>
      </c>
      <c r="G165" s="17">
        <f>SUM(Tabelle10[[#This Row],[1Bis]],Tabelle10[[#This Row],[2Bis]])-SUM(Tabelle10[[#This Row],[1Von]],Tabelle10[[#This Row],[2Von]])+IF(Tabelle10[[#This Row],[2Von]]&gt;0,1)+IF(Tabelle10[[#This Row],[1Von]]&gt;0,1)</f>
        <v>71</v>
      </c>
    </row>
    <row r="166" spans="1:9" ht="25.05" customHeight="1">
      <c r="A166" s="2">
        <v>12</v>
      </c>
      <c r="B166" s="2">
        <v>20</v>
      </c>
      <c r="C166" s="2">
        <v>1</v>
      </c>
      <c r="D166" s="2">
        <v>41</v>
      </c>
      <c r="E166" s="2">
        <v>41</v>
      </c>
      <c r="F166" s="2">
        <v>86</v>
      </c>
      <c r="G166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67" spans="1:9" ht="25.05" customHeight="1">
      <c r="A167" s="2">
        <v>12</v>
      </c>
      <c r="B167" s="2">
        <v>16</v>
      </c>
      <c r="C167" s="2">
        <v>1</v>
      </c>
      <c r="D167" s="2">
        <v>41</v>
      </c>
      <c r="E167" s="2">
        <v>41</v>
      </c>
      <c r="F167" s="2">
        <v>86</v>
      </c>
      <c r="G167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68" spans="1:9" ht="25.05" customHeight="1">
      <c r="A168" s="2">
        <v>12</v>
      </c>
      <c r="B168" s="2">
        <v>23</v>
      </c>
      <c r="C168" s="2">
        <v>1</v>
      </c>
      <c r="D168" s="2">
        <v>41</v>
      </c>
      <c r="E168" s="2">
        <v>41</v>
      </c>
      <c r="F168" s="2">
        <v>86</v>
      </c>
      <c r="G168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69" spans="1:9" ht="25.05" customHeight="1">
      <c r="A169" s="2">
        <v>12</v>
      </c>
      <c r="B169" s="2">
        <v>26</v>
      </c>
      <c r="C169" s="2">
        <v>1</v>
      </c>
      <c r="D169" s="2">
        <v>41</v>
      </c>
      <c r="E169" s="2">
        <v>41</v>
      </c>
      <c r="F169" s="2">
        <v>65</v>
      </c>
      <c r="G169" s="17">
        <f>SUM(Tabelle10[[#This Row],[1Bis]],Tabelle10[[#This Row],[2Bis]])-SUM(Tabelle10[[#This Row],[1Von]],Tabelle10[[#This Row],[2Von]])+IF(Tabelle10[[#This Row],[2Von]]&gt;0,1)+IF(Tabelle10[[#This Row],[1Von]]&gt;0,1)</f>
        <v>66</v>
      </c>
    </row>
    <row r="170" spans="1:9" ht="25.05" customHeight="1">
      <c r="A170" s="2">
        <v>12</v>
      </c>
      <c r="B170" s="2">
        <v>6</v>
      </c>
      <c r="C170" s="2">
        <v>1</v>
      </c>
      <c r="D170" s="2">
        <v>41</v>
      </c>
      <c r="E170" s="2">
        <v>41</v>
      </c>
      <c r="F170" s="2">
        <v>76</v>
      </c>
      <c r="G170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171" spans="1:9" ht="25.05" customHeight="1">
      <c r="A171" s="2">
        <v>12</v>
      </c>
      <c r="B171" s="2">
        <v>10</v>
      </c>
      <c r="C171" s="2">
        <v>1</v>
      </c>
      <c r="D171" s="2">
        <v>41</v>
      </c>
      <c r="E171" s="2">
        <v>41</v>
      </c>
      <c r="F171" s="2">
        <v>76</v>
      </c>
      <c r="G171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172" spans="1:9" ht="25.05" customHeight="1">
      <c r="A172" s="2">
        <v>12</v>
      </c>
      <c r="B172" s="2">
        <v>8</v>
      </c>
      <c r="C172" s="2">
        <v>1</v>
      </c>
      <c r="D172" s="2">
        <v>41</v>
      </c>
      <c r="E172" s="2">
        <v>41</v>
      </c>
      <c r="F172" s="2">
        <v>86</v>
      </c>
      <c r="G172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73" spans="1:9" ht="25.05" customHeight="1">
      <c r="A173" s="2">
        <v>12</v>
      </c>
      <c r="B173" s="2">
        <v>7</v>
      </c>
      <c r="C173" s="2">
        <v>1</v>
      </c>
      <c r="D173" s="2">
        <v>41</v>
      </c>
      <c r="E173" s="2">
        <v>41</v>
      </c>
      <c r="F173" s="2">
        <v>86</v>
      </c>
      <c r="G173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74" spans="1:9" ht="25.05" customHeight="1">
      <c r="A174" s="2">
        <v>12</v>
      </c>
      <c r="B174" s="2">
        <v>9</v>
      </c>
      <c r="C174" s="2">
        <v>1</v>
      </c>
      <c r="D174" s="2">
        <v>41</v>
      </c>
      <c r="E174" s="2">
        <v>41</v>
      </c>
      <c r="F174" s="2">
        <v>46</v>
      </c>
      <c r="G174" s="17">
        <f>SUM(Tabelle10[[#This Row],[1Bis]],Tabelle10[[#This Row],[2Bis]])-SUM(Tabelle10[[#This Row],[1Von]],Tabelle10[[#This Row],[2Von]])+IF(Tabelle10[[#This Row],[2Von]]&gt;0,1)+IF(Tabelle10[[#This Row],[1Von]]&gt;0,1)</f>
        <v>47</v>
      </c>
    </row>
    <row r="175" spans="1:9" ht="25.05" customHeight="1">
      <c r="A175" s="2">
        <v>12</v>
      </c>
      <c r="B175" s="2">
        <v>27</v>
      </c>
      <c r="E175" s="2">
        <v>47</v>
      </c>
      <c r="F175" s="2">
        <v>86</v>
      </c>
      <c r="G175" s="17">
        <f>SUM(Tabelle10[[#This Row],[1Bis]],Tabelle10[[#This Row],[2Bis]])-SUM(Tabelle10[[#This Row],[1Von]],Tabelle10[[#This Row],[2Von]])+IF(Tabelle10[[#This Row],[2Von]]&gt;0,1)+IF(Tabelle10[[#This Row],[1Von]]&gt;0,1)</f>
        <v>40</v>
      </c>
    </row>
    <row r="176" spans="1:9" ht="25.05" customHeight="1">
      <c r="A176" s="2">
        <v>12</v>
      </c>
      <c r="B176" s="2">
        <v>5</v>
      </c>
      <c r="E176" s="2">
        <v>66</v>
      </c>
      <c r="F176" s="2">
        <v>86</v>
      </c>
      <c r="G176" s="17">
        <f>SUM(Tabelle10[[#This Row],[1Bis]],Tabelle10[[#This Row],[2Bis]])-SUM(Tabelle10[[#This Row],[1Von]],Tabelle10[[#This Row],[2Von]])+IF(Tabelle10[[#This Row],[2Von]]&gt;0,1)+IF(Tabelle10[[#This Row],[1Von]]&gt;0,1)</f>
        <v>21</v>
      </c>
    </row>
    <row r="177" spans="1:9" ht="25.05" customHeight="1">
      <c r="A177" s="2">
        <v>12</v>
      </c>
      <c r="B177" s="2">
        <v>13</v>
      </c>
      <c r="E177" s="2">
        <v>71</v>
      </c>
      <c r="F177" s="2">
        <v>86</v>
      </c>
      <c r="G177" s="17">
        <f>SUM(Tabelle10[[#This Row],[1Bis]],Tabelle10[[#This Row],[2Bis]])-SUM(Tabelle10[[#This Row],[1Von]],Tabelle10[[#This Row],[2Von]])+IF(Tabelle10[[#This Row],[2Von]]&gt;0,1)+IF(Tabelle10[[#This Row],[1Von]]&gt;0,1)</f>
        <v>16</v>
      </c>
    </row>
    <row r="178" spans="1:9" ht="25.05" customHeight="1">
      <c r="A178" s="2">
        <v>12</v>
      </c>
      <c r="B178" s="2">
        <v>18</v>
      </c>
      <c r="E178" s="2">
        <v>77</v>
      </c>
      <c r="F178" s="2">
        <v>86</v>
      </c>
      <c r="G178" s="17">
        <f>SUM(Tabelle10[[#This Row],[1Bis]],Tabelle10[[#This Row],[2Bis]])-SUM(Tabelle10[[#This Row],[1Von]],Tabelle10[[#This Row],[2Von]])+IF(Tabelle10[[#This Row],[2Von]]&gt;0,1)+IF(Tabelle10[[#This Row],[1Von]]&gt;0,1)</f>
        <v>10</v>
      </c>
    </row>
    <row r="179" spans="1:9" ht="25.05" customHeight="1">
      <c r="A179" s="2">
        <v>12</v>
      </c>
      <c r="B179" s="2">
        <v>25</v>
      </c>
      <c r="E179" s="2">
        <v>77</v>
      </c>
      <c r="F179" s="2">
        <v>86</v>
      </c>
      <c r="G179" s="17">
        <f>SUM(Tabelle10[[#This Row],[1Bis]],Tabelle10[[#This Row],[2Bis]])-SUM(Tabelle10[[#This Row],[1Von]],Tabelle10[[#This Row],[2Von]])+IF(Tabelle10[[#This Row],[2Von]]&gt;0,1)+IF(Tabelle10[[#This Row],[1Von]]&gt;0,1)</f>
        <v>10</v>
      </c>
      <c r="I179" s="3"/>
    </row>
    <row r="180" spans="1:9" ht="25.05" customHeight="1">
      <c r="A180" s="2">
        <v>13</v>
      </c>
      <c r="B180" s="2">
        <v>21</v>
      </c>
      <c r="C180" s="2">
        <v>1</v>
      </c>
      <c r="D180" s="2">
        <v>41</v>
      </c>
      <c r="E180" s="2">
        <v>41</v>
      </c>
      <c r="F180" s="2">
        <v>84</v>
      </c>
      <c r="G180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1" spans="1:9" ht="25.05" customHeight="1">
      <c r="A181" s="2">
        <v>13</v>
      </c>
      <c r="B181" s="2">
        <v>4</v>
      </c>
      <c r="C181" s="2">
        <v>1</v>
      </c>
      <c r="D181" s="2">
        <v>41</v>
      </c>
      <c r="E181" s="2">
        <v>41</v>
      </c>
      <c r="F181" s="2">
        <v>84</v>
      </c>
      <c r="G181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2" spans="1:9" ht="25.05" customHeight="1">
      <c r="A182" s="2">
        <v>13</v>
      </c>
      <c r="B182" s="2">
        <v>20</v>
      </c>
      <c r="C182" s="2">
        <v>1</v>
      </c>
      <c r="D182" s="2">
        <v>41</v>
      </c>
      <c r="E182" s="2">
        <v>41</v>
      </c>
      <c r="F182" s="2">
        <v>84</v>
      </c>
      <c r="G182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3" spans="1:9" ht="25.05" customHeight="1">
      <c r="A183" s="2">
        <v>13</v>
      </c>
      <c r="B183" s="2">
        <v>16</v>
      </c>
      <c r="C183" s="2">
        <v>1</v>
      </c>
      <c r="D183" s="2">
        <v>41</v>
      </c>
      <c r="E183" s="2">
        <v>41</v>
      </c>
      <c r="F183" s="2">
        <v>84</v>
      </c>
      <c r="G183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4" spans="1:9" ht="25.05" customHeight="1">
      <c r="A184" s="2">
        <v>13</v>
      </c>
      <c r="B184" s="2">
        <v>23</v>
      </c>
      <c r="C184" s="2">
        <v>1</v>
      </c>
      <c r="D184" s="2">
        <v>41</v>
      </c>
      <c r="E184" s="2">
        <v>41</v>
      </c>
      <c r="F184" s="2">
        <v>84</v>
      </c>
      <c r="G184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5" spans="1:9" ht="25.05" customHeight="1">
      <c r="A185" s="2">
        <v>13</v>
      </c>
      <c r="B185" s="2">
        <v>26</v>
      </c>
      <c r="C185" s="2">
        <v>1</v>
      </c>
      <c r="D185" s="2">
        <v>41</v>
      </c>
      <c r="E185" s="2">
        <v>41</v>
      </c>
      <c r="F185" s="2">
        <v>64</v>
      </c>
      <c r="G185" s="17">
        <f>SUM(Tabelle10[[#This Row],[1Bis]],Tabelle10[[#This Row],[2Bis]])-SUM(Tabelle10[[#This Row],[1Von]],Tabelle10[[#This Row],[2Von]])+IF(Tabelle10[[#This Row],[2Von]]&gt;0,1)+IF(Tabelle10[[#This Row],[1Von]]&gt;0,1)</f>
        <v>65</v>
      </c>
    </row>
    <row r="186" spans="1:9" ht="25.05" customHeight="1">
      <c r="A186" s="2">
        <v>13</v>
      </c>
      <c r="B186" s="2">
        <v>6</v>
      </c>
      <c r="C186" s="2">
        <v>1</v>
      </c>
      <c r="D186" s="2">
        <v>41</v>
      </c>
      <c r="E186" s="2">
        <v>41</v>
      </c>
      <c r="F186" s="2">
        <v>84</v>
      </c>
      <c r="G186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7" spans="1:9" ht="25.05" customHeight="1">
      <c r="A187" s="2">
        <v>13</v>
      </c>
      <c r="B187" s="2">
        <v>13</v>
      </c>
      <c r="C187" s="2">
        <v>1</v>
      </c>
      <c r="D187" s="2">
        <v>41</v>
      </c>
      <c r="G187" s="17">
        <f>SUM(Tabelle10[[#This Row],[1Bis]],Tabelle10[[#This Row],[2Bis]])-SUM(Tabelle10[[#This Row],[1Von]],Tabelle10[[#This Row],[2Von]])+IF(Tabelle10[[#This Row],[2Von]]&gt;0,1)+IF(Tabelle10[[#This Row],[1Von]]&gt;0,1)</f>
        <v>41</v>
      </c>
    </row>
    <row r="188" spans="1:9" ht="25.05" customHeight="1">
      <c r="A188" s="2">
        <v>13</v>
      </c>
      <c r="B188" s="2">
        <v>8</v>
      </c>
      <c r="C188" s="2">
        <v>1</v>
      </c>
      <c r="D188" s="2">
        <v>41</v>
      </c>
      <c r="E188" s="2">
        <v>41</v>
      </c>
      <c r="F188" s="2">
        <v>84</v>
      </c>
      <c r="G188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9" spans="1:9" ht="25.05" customHeight="1">
      <c r="A189" s="2">
        <v>13</v>
      </c>
      <c r="B189" s="2">
        <v>7</v>
      </c>
      <c r="C189" s="2">
        <v>1</v>
      </c>
      <c r="D189" s="2">
        <v>41</v>
      </c>
      <c r="E189" s="2">
        <v>41</v>
      </c>
      <c r="F189" s="2">
        <v>84</v>
      </c>
      <c r="G189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90" spans="1:9" ht="25.05" customHeight="1">
      <c r="A190" s="2">
        <v>13</v>
      </c>
      <c r="B190" s="2">
        <v>9</v>
      </c>
      <c r="C190" s="2">
        <v>1</v>
      </c>
      <c r="D190" s="2">
        <v>41</v>
      </c>
      <c r="G190" s="17">
        <f>SUM(Tabelle10[[#This Row],[1Bis]],Tabelle10[[#This Row],[2Bis]])-SUM(Tabelle10[[#This Row],[1Von]],Tabelle10[[#This Row],[2Von]])+IF(Tabelle10[[#This Row],[2Von]]&gt;0,1)+IF(Tabelle10[[#This Row],[1Von]]&gt;0,1)</f>
        <v>41</v>
      </c>
    </row>
    <row r="191" spans="1:9" ht="25.05" customHeight="1">
      <c r="A191" s="2">
        <v>13</v>
      </c>
      <c r="B191" s="2">
        <v>10</v>
      </c>
      <c r="E191" s="2">
        <v>41</v>
      </c>
      <c r="F191" s="2">
        <v>84</v>
      </c>
      <c r="G191" s="17">
        <f>SUM(Tabelle10[[#This Row],[1Bis]],Tabelle10[[#This Row],[2Bis]])-SUM(Tabelle10[[#This Row],[1Von]],Tabelle10[[#This Row],[2Von]])+IF(Tabelle10[[#This Row],[2Von]]&gt;0,1)+IF(Tabelle10[[#This Row],[1Von]]&gt;0,1)</f>
        <v>44</v>
      </c>
    </row>
    <row r="192" spans="1:9" ht="25.05" customHeight="1">
      <c r="A192" s="2">
        <v>13</v>
      </c>
      <c r="B192" s="2">
        <v>18</v>
      </c>
      <c r="E192" s="2">
        <v>41</v>
      </c>
      <c r="F192" s="2">
        <v>84</v>
      </c>
      <c r="G192" s="17">
        <f>SUM(Tabelle10[[#This Row],[1Bis]],Tabelle10[[#This Row],[2Bis]])-SUM(Tabelle10[[#This Row],[1Von]],Tabelle10[[#This Row],[2Von]])+IF(Tabelle10[[#This Row],[2Von]]&gt;0,1)+IF(Tabelle10[[#This Row],[1Von]]&gt;0,1)</f>
        <v>44</v>
      </c>
    </row>
    <row r="193" spans="1:9" ht="25.05" customHeight="1">
      <c r="A193" s="2">
        <v>13</v>
      </c>
      <c r="B193" s="2">
        <v>5</v>
      </c>
      <c r="E193" s="2">
        <v>65</v>
      </c>
      <c r="F193" s="2">
        <v>84</v>
      </c>
      <c r="G193" s="17">
        <f>SUM(Tabelle10[[#This Row],[1Bis]],Tabelle10[[#This Row],[2Bis]])-SUM(Tabelle10[[#This Row],[1Von]],Tabelle10[[#This Row],[2Von]])+IF(Tabelle10[[#This Row],[2Von]]&gt;0,1)+IF(Tabelle10[[#This Row],[1Von]]&gt;0,1)</f>
        <v>20</v>
      </c>
      <c r="I193" s="3"/>
    </row>
    <row r="194" spans="1:9" ht="25.05" customHeight="1">
      <c r="A194" s="2">
        <v>14</v>
      </c>
      <c r="B194" s="2">
        <v>1</v>
      </c>
      <c r="C194" s="2">
        <v>1</v>
      </c>
      <c r="D194" s="2">
        <v>42</v>
      </c>
      <c r="E194" s="2">
        <v>41</v>
      </c>
      <c r="F194" s="2">
        <v>85</v>
      </c>
      <c r="G194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95" spans="1:9" ht="25.05" customHeight="1">
      <c r="A195" s="2">
        <v>14</v>
      </c>
      <c r="B195" s="2">
        <v>4</v>
      </c>
      <c r="C195" s="2">
        <v>1</v>
      </c>
      <c r="D195" s="2">
        <v>42</v>
      </c>
      <c r="E195" s="2">
        <v>41</v>
      </c>
      <c r="F195" s="2">
        <v>55</v>
      </c>
      <c r="G195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196" spans="1:9" ht="25.05" customHeight="1">
      <c r="A196" s="2">
        <v>14</v>
      </c>
      <c r="B196" s="2">
        <v>20</v>
      </c>
      <c r="C196" s="2">
        <v>1</v>
      </c>
      <c r="D196" s="2">
        <v>42</v>
      </c>
      <c r="E196" s="2">
        <v>41</v>
      </c>
      <c r="F196" s="2">
        <v>85</v>
      </c>
      <c r="G196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97" spans="1:9" ht="25.05" customHeight="1">
      <c r="A197" s="2">
        <v>14</v>
      </c>
      <c r="B197" s="2">
        <v>16</v>
      </c>
      <c r="C197" s="2">
        <v>1</v>
      </c>
      <c r="D197" s="2">
        <v>42</v>
      </c>
      <c r="E197" s="2">
        <v>41</v>
      </c>
      <c r="F197" s="2">
        <v>85</v>
      </c>
      <c r="G197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98" spans="1:9" ht="25.05" customHeight="1">
      <c r="A198" s="2">
        <v>14</v>
      </c>
      <c r="B198" s="2">
        <v>23</v>
      </c>
      <c r="C198" s="2">
        <v>1</v>
      </c>
      <c r="D198" s="2">
        <v>42</v>
      </c>
      <c r="E198" s="2">
        <v>41</v>
      </c>
      <c r="F198" s="2">
        <v>66</v>
      </c>
      <c r="G198" s="17">
        <f>SUM(Tabelle10[[#This Row],[1Bis]],Tabelle10[[#This Row],[2Bis]])-SUM(Tabelle10[[#This Row],[1Von]],Tabelle10[[#This Row],[2Von]])+IF(Tabelle10[[#This Row],[2Von]]&gt;0,1)+IF(Tabelle10[[#This Row],[1Von]]&gt;0,1)</f>
        <v>68</v>
      </c>
    </row>
    <row r="199" spans="1:9" ht="25.05" customHeight="1">
      <c r="A199" s="2">
        <v>14</v>
      </c>
      <c r="B199" s="2">
        <v>26</v>
      </c>
      <c r="C199" s="2">
        <v>1</v>
      </c>
      <c r="D199" s="2">
        <v>42</v>
      </c>
      <c r="E199" s="2">
        <v>41</v>
      </c>
      <c r="F199" s="2">
        <v>85</v>
      </c>
      <c r="G199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200" spans="1:9" ht="25.05" customHeight="1">
      <c r="A200" s="2">
        <v>14</v>
      </c>
      <c r="B200" s="2">
        <v>6</v>
      </c>
      <c r="C200" s="2">
        <v>1</v>
      </c>
      <c r="D200" s="2">
        <v>42</v>
      </c>
      <c r="E200" s="2">
        <v>41</v>
      </c>
      <c r="F200" s="2">
        <v>76</v>
      </c>
      <c r="G200" s="17">
        <f>SUM(Tabelle10[[#This Row],[1Bis]],Tabelle10[[#This Row],[2Bis]])-SUM(Tabelle10[[#This Row],[1Von]],Tabelle10[[#This Row],[2Von]])+IF(Tabelle10[[#This Row],[2Von]]&gt;0,1)+IF(Tabelle10[[#This Row],[1Von]]&gt;0,1)</f>
        <v>78</v>
      </c>
    </row>
    <row r="201" spans="1:9" ht="25.05" customHeight="1">
      <c r="A201" s="2">
        <v>14</v>
      </c>
      <c r="B201" s="2">
        <v>7</v>
      </c>
      <c r="C201" s="2">
        <v>1</v>
      </c>
      <c r="D201" s="2">
        <v>42</v>
      </c>
      <c r="E201" s="2">
        <v>41</v>
      </c>
      <c r="F201" s="2">
        <v>76</v>
      </c>
      <c r="G201" s="17">
        <f>SUM(Tabelle10[[#This Row],[1Bis]],Tabelle10[[#This Row],[2Bis]])-SUM(Tabelle10[[#This Row],[1Von]],Tabelle10[[#This Row],[2Von]])+IF(Tabelle10[[#This Row],[2Von]]&gt;0,1)+IF(Tabelle10[[#This Row],[1Von]]&gt;0,1)</f>
        <v>78</v>
      </c>
    </row>
    <row r="202" spans="1:9" ht="25.05" customHeight="1">
      <c r="A202" s="2">
        <v>14</v>
      </c>
      <c r="B202" s="2">
        <v>8</v>
      </c>
      <c r="C202" s="2">
        <v>1</v>
      </c>
      <c r="D202" s="2">
        <v>42</v>
      </c>
      <c r="E202" s="2">
        <v>41</v>
      </c>
      <c r="F202" s="2">
        <v>55</v>
      </c>
      <c r="G202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203" spans="1:9" ht="25.05" customHeight="1">
      <c r="A203" s="2">
        <v>14</v>
      </c>
      <c r="B203" s="2">
        <v>10</v>
      </c>
      <c r="C203" s="2">
        <v>1</v>
      </c>
      <c r="D203" s="2">
        <v>42</v>
      </c>
      <c r="E203" s="2">
        <v>41</v>
      </c>
      <c r="F203" s="2">
        <v>85</v>
      </c>
      <c r="G203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204" spans="1:9" ht="25.05" customHeight="1">
      <c r="A204" s="2">
        <v>14</v>
      </c>
      <c r="B204" s="2">
        <v>9</v>
      </c>
      <c r="C204" s="2">
        <v>1</v>
      </c>
      <c r="D204" s="2">
        <v>42</v>
      </c>
      <c r="E204" s="2">
        <v>41</v>
      </c>
      <c r="F204" s="2">
        <v>85</v>
      </c>
      <c r="G204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205" spans="1:9" ht="25.05" customHeight="1">
      <c r="A205" s="2">
        <v>14</v>
      </c>
      <c r="B205" s="2">
        <v>13</v>
      </c>
      <c r="E205" s="2">
        <v>56</v>
      </c>
      <c r="F205" s="2">
        <v>85</v>
      </c>
      <c r="G205" s="17">
        <f>SUM(Tabelle10[[#This Row],[1Bis]],Tabelle10[[#This Row],[2Bis]])-SUM(Tabelle10[[#This Row],[1Von]],Tabelle10[[#This Row],[2Von]])+IF(Tabelle10[[#This Row],[2Von]]&gt;0,1)+IF(Tabelle10[[#This Row],[1Von]]&gt;0,1)</f>
        <v>30</v>
      </c>
    </row>
    <row r="206" spans="1:9" ht="25.05" customHeight="1">
      <c r="A206" s="2">
        <v>14</v>
      </c>
      <c r="B206" s="2">
        <v>18</v>
      </c>
      <c r="E206" s="2">
        <v>56</v>
      </c>
      <c r="F206" s="2">
        <v>85</v>
      </c>
      <c r="G206" s="17">
        <f>SUM(Tabelle10[[#This Row],[1Bis]],Tabelle10[[#This Row],[2Bis]])-SUM(Tabelle10[[#This Row],[1Von]],Tabelle10[[#This Row],[2Von]])+IF(Tabelle10[[#This Row],[2Von]]&gt;0,1)+IF(Tabelle10[[#This Row],[1Von]]&gt;0,1)</f>
        <v>30</v>
      </c>
    </row>
    <row r="207" spans="1:9" ht="25.05" customHeight="1">
      <c r="A207" s="2">
        <v>14</v>
      </c>
      <c r="B207" s="2">
        <v>19</v>
      </c>
      <c r="E207" s="2">
        <v>67</v>
      </c>
      <c r="F207" s="2">
        <v>85</v>
      </c>
      <c r="G207" s="17">
        <f>SUM(Tabelle10[[#This Row],[1Bis]],Tabelle10[[#This Row],[2Bis]])-SUM(Tabelle10[[#This Row],[1Von]],Tabelle10[[#This Row],[2Von]])+IF(Tabelle10[[#This Row],[2Von]]&gt;0,1)+IF(Tabelle10[[#This Row],[1Von]]&gt;0,1)</f>
        <v>19</v>
      </c>
    </row>
    <row r="208" spans="1:9" ht="25.05" customHeight="1">
      <c r="A208" s="2">
        <v>14</v>
      </c>
      <c r="B208" s="2">
        <v>5</v>
      </c>
      <c r="E208" s="2">
        <v>77</v>
      </c>
      <c r="F208" s="2">
        <v>85</v>
      </c>
      <c r="G208" s="17">
        <f>SUM(Tabelle10[[#This Row],[1Bis]],Tabelle10[[#This Row],[2Bis]])-SUM(Tabelle10[[#This Row],[1Von]],Tabelle10[[#This Row],[2Von]])+IF(Tabelle10[[#This Row],[2Von]]&gt;0,1)+IF(Tabelle10[[#This Row],[1Von]]&gt;0,1)</f>
        <v>9</v>
      </c>
    </row>
    <row r="209" spans="1:9" ht="25.05" customHeight="1">
      <c r="A209" s="2">
        <v>14</v>
      </c>
      <c r="B209" s="2">
        <v>27</v>
      </c>
      <c r="E209" s="2">
        <v>77</v>
      </c>
      <c r="F209" s="2">
        <v>85</v>
      </c>
      <c r="G209" s="17">
        <f>SUM(Tabelle10[[#This Row],[1Bis]],Tabelle10[[#This Row],[2Bis]])-SUM(Tabelle10[[#This Row],[1Von]],Tabelle10[[#This Row],[2Von]])+IF(Tabelle10[[#This Row],[2Von]]&gt;0,1)+IF(Tabelle10[[#This Row],[1Von]]&gt;0,1)</f>
        <v>9</v>
      </c>
      <c r="I209" s="3"/>
    </row>
  </sheetData>
  <phoneticPr fontId="5" type="noConversion"/>
  <conditionalFormatting sqref="A2:G209">
    <cfRule type="expression" dxfId="42" priority="1">
      <formula>ISEVEN($A2)</formula>
    </cfRule>
  </conditionalFormatting>
  <pageMargins left="0.7" right="0.7" top="0.78740157499999996" bottom="0.78740157499999996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"/>
  <sheetViews>
    <sheetView zoomScale="70" zoomScaleNormal="70" workbookViewId="0">
      <pane ySplit="1" topLeftCell="A2" activePane="bottomLeft" state="frozen"/>
      <selection activeCell="B2" sqref="B2:O2"/>
      <selection pane="bottomLeft"/>
    </sheetView>
  </sheetViews>
  <sheetFormatPr baseColWidth="10" defaultColWidth="11.21875" defaultRowHeight="25.05" customHeight="1"/>
  <cols>
    <col min="1" max="3" width="5.6640625" style="3" customWidth="1"/>
    <col min="4" max="5" width="6.6640625" style="2" customWidth="1"/>
    <col min="6" max="6" width="3.6640625" style="2" customWidth="1"/>
    <col min="7" max="16384" width="11.21875" style="8"/>
  </cols>
  <sheetData>
    <row r="1" spans="1:6" ht="25.05" customHeight="1">
      <c r="A1" s="5" t="s">
        <v>25</v>
      </c>
      <c r="B1" s="9" t="s">
        <v>5</v>
      </c>
      <c r="C1" s="10" t="s">
        <v>2</v>
      </c>
      <c r="D1" s="4" t="s">
        <v>1</v>
      </c>
      <c r="E1" s="4" t="s">
        <v>179</v>
      </c>
      <c r="F1" s="1"/>
    </row>
    <row r="2" spans="1:6" ht="25.05" customHeight="1">
      <c r="A2" s="3">
        <v>3</v>
      </c>
      <c r="B2" s="11">
        <v>53</v>
      </c>
      <c r="C2" s="12">
        <v>2</v>
      </c>
      <c r="D2" s="2" t="s">
        <v>58</v>
      </c>
      <c r="F2" s="1"/>
    </row>
    <row r="3" spans="1:6" ht="25.05" customHeight="1">
      <c r="A3" s="3">
        <v>5</v>
      </c>
      <c r="B3" s="11">
        <v>26</v>
      </c>
      <c r="C3" s="12">
        <v>1</v>
      </c>
      <c r="D3" s="2" t="s">
        <v>62</v>
      </c>
      <c r="F3" s="1"/>
    </row>
    <row r="4" spans="1:6" ht="25.05" customHeight="1">
      <c r="A4" s="3">
        <v>9</v>
      </c>
      <c r="B4" s="11">
        <v>41</v>
      </c>
      <c r="C4" s="12">
        <v>1</v>
      </c>
      <c r="D4" s="2" t="s">
        <v>8</v>
      </c>
      <c r="E4" s="2">
        <v>27</v>
      </c>
      <c r="F4" s="1"/>
    </row>
  </sheetData>
  <conditionalFormatting sqref="E2:E4">
    <cfRule type="cellIs" dxfId="41" priority="1" operator="notEqual">
      <formula>""</formula>
    </cfRule>
    <cfRule type="expression" dxfId="40" priority="2">
      <formula>$D2="FCN"</formula>
    </cfRule>
  </conditionalFormatting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256"/>
  <sheetViews>
    <sheetView tabSelected="1" zoomScale="70" zoomScaleNormal="70" workbookViewId="0">
      <pane xSplit="7" ySplit="1" topLeftCell="H2" activePane="bottomRight" state="frozen"/>
      <selection activeCell="B2" sqref="B2:O2"/>
      <selection pane="topRight" activeCell="B2" sqref="B2:O2"/>
      <selection pane="bottomLeft" activeCell="B2" sqref="B2:O2"/>
      <selection pane="bottomRight"/>
    </sheetView>
  </sheetViews>
  <sheetFormatPr baseColWidth="10" defaultColWidth="11.21875" defaultRowHeight="25.05" customHeight="1"/>
  <cols>
    <col min="1" max="1" width="6.77734375" style="3" customWidth="1"/>
    <col min="2" max="2" width="6.77734375" style="2" customWidth="1"/>
    <col min="3" max="4" width="6.77734375" style="17" customWidth="1"/>
    <col min="5" max="5" width="6.77734375" style="18" customWidth="1"/>
    <col min="6" max="6" width="6.77734375" style="21" customWidth="1"/>
    <col min="7" max="8" width="6.77734375" style="18" customWidth="1"/>
    <col min="9" max="9" width="6.77734375" style="17" customWidth="1"/>
    <col min="10" max="10" width="6.77734375" style="18" customWidth="1"/>
    <col min="11" max="11" width="6.77734375" style="3" customWidth="1"/>
    <col min="12" max="12" width="6.77734375" style="17" customWidth="1"/>
    <col min="13" max="24" width="6.77734375" style="2" customWidth="1"/>
    <col min="25" max="25" width="6.77734375" style="17" customWidth="1"/>
    <col min="26" max="27" width="6.77734375" style="2" customWidth="1"/>
    <col min="28" max="28" width="6.77734375" style="19" customWidth="1"/>
    <col min="29" max="30" width="6.77734375" style="13" customWidth="1"/>
    <col min="31" max="32" width="6.77734375" style="19" customWidth="1"/>
    <col min="33" max="33" width="6.77734375" style="2" customWidth="1"/>
    <col min="34" max="35" width="6.77734375" style="13" customWidth="1"/>
    <col min="36" max="36" width="6.77734375" style="19" customWidth="1"/>
    <col min="37" max="41" width="6.77734375" style="3" customWidth="1"/>
    <col min="42" max="43" width="6.77734375" style="13" customWidth="1"/>
    <col min="44" max="44" width="6.77734375" style="19" customWidth="1"/>
    <col min="45" max="45" width="3.6640625" style="2" customWidth="1"/>
    <col min="46" max="16384" width="11.21875" style="2"/>
  </cols>
  <sheetData>
    <row r="1" spans="1:45" ht="25.05" customHeight="1">
      <c r="A1" s="5" t="s">
        <v>25</v>
      </c>
      <c r="B1" s="4" t="s">
        <v>26</v>
      </c>
      <c r="C1" s="7" t="s">
        <v>37</v>
      </c>
      <c r="D1" s="7" t="s">
        <v>27</v>
      </c>
      <c r="E1" s="10" t="s">
        <v>14</v>
      </c>
      <c r="F1" s="9" t="s">
        <v>5</v>
      </c>
      <c r="G1" s="10" t="s">
        <v>2</v>
      </c>
      <c r="H1" s="10" t="s">
        <v>22</v>
      </c>
      <c r="I1" s="7" t="s">
        <v>11</v>
      </c>
      <c r="J1" s="10" t="s">
        <v>21</v>
      </c>
      <c r="K1" s="5" t="s">
        <v>3</v>
      </c>
      <c r="L1" s="7" t="s">
        <v>6</v>
      </c>
      <c r="M1" s="4" t="s">
        <v>4</v>
      </c>
      <c r="N1" s="4" t="s">
        <v>30</v>
      </c>
      <c r="O1" s="4" t="s">
        <v>79</v>
      </c>
      <c r="P1" s="4" t="s">
        <v>80</v>
      </c>
      <c r="Q1" s="4" t="s">
        <v>81</v>
      </c>
      <c r="R1" s="4" t="s">
        <v>82</v>
      </c>
      <c r="S1" s="4" t="s">
        <v>83</v>
      </c>
      <c r="T1" s="4" t="s">
        <v>84</v>
      </c>
      <c r="U1" s="4" t="s">
        <v>85</v>
      </c>
      <c r="V1" s="4" t="s">
        <v>86</v>
      </c>
      <c r="W1" s="4" t="s">
        <v>87</v>
      </c>
      <c r="X1" s="4" t="s">
        <v>33</v>
      </c>
      <c r="Y1" s="7" t="s">
        <v>15</v>
      </c>
      <c r="Z1" s="4" t="s">
        <v>16</v>
      </c>
      <c r="AA1" s="4" t="s">
        <v>17</v>
      </c>
      <c r="AB1" s="15" t="s">
        <v>47</v>
      </c>
      <c r="AC1" s="16" t="s">
        <v>31</v>
      </c>
      <c r="AD1" s="16" t="s">
        <v>32</v>
      </c>
      <c r="AE1" s="15" t="s">
        <v>12</v>
      </c>
      <c r="AF1" s="15" t="s">
        <v>13</v>
      </c>
      <c r="AG1" s="4" t="s">
        <v>34</v>
      </c>
      <c r="AH1" s="16" t="s">
        <v>42</v>
      </c>
      <c r="AI1" s="16" t="s">
        <v>43</v>
      </c>
      <c r="AJ1" s="15" t="s">
        <v>28</v>
      </c>
      <c r="AK1" s="5" t="s">
        <v>35</v>
      </c>
      <c r="AL1" s="16" t="s">
        <v>48</v>
      </c>
      <c r="AM1" s="16" t="s">
        <v>49</v>
      </c>
      <c r="AN1" s="15" t="s">
        <v>50</v>
      </c>
      <c r="AO1" s="5" t="s">
        <v>36</v>
      </c>
      <c r="AP1" s="16" t="s">
        <v>44</v>
      </c>
      <c r="AQ1" s="16" t="s">
        <v>45</v>
      </c>
      <c r="AR1" s="15" t="s">
        <v>29</v>
      </c>
      <c r="AS1" s="1"/>
    </row>
    <row r="2" spans="1:45" ht="25.05" customHeight="1">
      <c r="A2" s="3">
        <v>1</v>
      </c>
      <c r="B2" s="2" t="s">
        <v>8</v>
      </c>
      <c r="C2" s="17" t="str">
        <f>IF($A2="","",IF(VLOOKUP($A2,Spiele!$A$2:$D$15,3,FALSE)=$B2,"H","G"))</f>
        <v>H</v>
      </c>
      <c r="D2" s="17" t="str">
        <f>IF($B2="","",IF(VLOOKUP($A2,Spiele!$A$2:$F$15,3,FALSE)=$B2,VLOOKUP($A2,Spiele!$A$2:$F$15,4,FALSE),VLOOKUP($A2,Spiele!$A$2:$F$15,3,FALSE)))</f>
        <v>GWD</v>
      </c>
      <c r="E2" s="18">
        <f>IF(Abschlüsse[[#This Row],[Ergeb]]="ET",0,COUNTIFS($A$2:$A2,$A2,$B$2:$B2,$B2,$L$2:$L2,"&lt;&gt;ET"))</f>
        <v>1</v>
      </c>
      <c r="F2" s="11">
        <v>3</v>
      </c>
      <c r="G2" s="12">
        <v>1</v>
      </c>
      <c r="H2" s="18">
        <f>COUNTIFS('Rote Karten'!$A$2:$A$4,$A2,'Rote Karten'!$D$2:$D$4,"&lt;&gt;"&amp;$B2,'Rote Karten'!$B$2:$B$4,"&lt;"&amp;$F2,'Rote Karten'!$C$2:$C$4,"&lt;="&amp;$G2)-COUNTIFS('Rote Karten'!$A$2:$A$4,$A2,'Rote Karten'!$D$2:$D$4,$B2,'Rote Karten'!$B$2:$B$4,"&lt;"&amp;$F2,'Rote Karten'!$C$2:$C$4,"&lt;="&amp;$G2)</f>
        <v>0</v>
      </c>
      <c r="I2" s="17" t="str">
        <f>IF(OR($L2="Tor",$L2="ET"),_xlfn.IFNA(IF(VLOOKUP($A2,Spiele!$A$2:$C$15,3,FALSE)=$B2,COUNTIFS($L$2:$L2,"Tor",$B$2:$B2,$B2,$A$2:$A2,$A2)+COUNTIFS($L$2:$L2,"ET",$B$2:$B2,$B2,$A$2:$A2,$A2)&amp;":"&amp;COUNTIFS($L$2:$L2,"Tor",$B$2:$B2,"&lt;&gt;"&amp;$B2,$A$2:$A2,$A2)+COUNTIFS($L$2:$L2,"ET",$B$2:$B2,"&lt;&gt;"&amp;$B2,$A$2:$A2,$A2),COUNTIFS($L$2:$L2,"Tor",$B$2:$B2,"&lt;&gt;"&amp;$B2,$A$2:$A2,$A2)+COUNTIFS($L$2:$L2,"ET",$B$2:$B2,"&lt;&gt;"&amp;$B2,$A$2:$A2,$A2)&amp;":"&amp;COUNTIFS($L$2:$L2,"Tor",$B$2:$B2,$B2,$A$2:$A2,$A2)+COUNTIFS($L$2:$L2,"ET",$B$2:$B2,$B2,$A$2:$A2,$A2)),""),"")</f>
        <v/>
      </c>
      <c r="J2" s="18">
        <f>_xlfn.IFNA(IF(VLOOKUP($A2,Spiele!$A$2:$D$15,3,FALSE)=$B2,(COUNTIFS($L$1:$L1,"Tor",$B$1:$B1,$B2,$A$1:$A1,$A2)+COUNTIFS($L$1:$L1,"ET",$B$1:$B1,$B2,$A$1:$A1,$A2))-(COUNTIFS($L$1:$L1,"Tor",$B$1:$B1,"&lt;&gt;"&amp;$B2,$A$1:$A1,$A2)+COUNTIFS($L$1:$L1,"ET",$B$1:$B1,"&lt;&gt;"&amp;$B2,$A$1:$A1,$A2)),(COUNTIFS($L$1:$L1,"Tor",$B$1:$B1,$B2,$A$1:$A1,$A2)+COUNTIFS($L$1:$L1,"ET",$B$1:$B1,$B2,$A$1:$A1,$A2))-(COUNTIFS($L$1:$L1,"Tor",$B$1:$B1,"&lt;&gt;"&amp;$B2,$A$1:$A1,$A2)+COUNTIFS($L$1:$L1,"ET",$B$1:$B1,"&lt;&gt;"&amp;$B2,$A$1:$A1,$A2))),"")</f>
        <v>0</v>
      </c>
      <c r="K2" s="3">
        <v>1</v>
      </c>
      <c r="L2" s="17" t="s">
        <v>20</v>
      </c>
      <c r="M2" s="2" t="s">
        <v>140</v>
      </c>
      <c r="N2" s="2" t="s">
        <v>3</v>
      </c>
      <c r="X2" s="2" t="s">
        <v>141</v>
      </c>
      <c r="Y2" s="17" t="s">
        <v>143</v>
      </c>
      <c r="Z2" s="14" t="s">
        <v>144</v>
      </c>
      <c r="AA2" s="14" t="s">
        <v>145</v>
      </c>
      <c r="AB2" s="18">
        <v>11</v>
      </c>
      <c r="AC2" s="13">
        <v>5</v>
      </c>
      <c r="AD2" s="13">
        <v>18.5</v>
      </c>
      <c r="AE2" s="19">
        <f t="shared" ref="AE2:AE67" si="0">IF($L2="ET","",IF($AC2&gt;3.66,SQRT($AD2^2+($AC2-(7.32/2))^2),IF($AC2&lt;-3.66,SQRT($AD2^2+($AC2+(7.32/2))^2),$AD2)))</f>
        <v>18.548466243870408</v>
      </c>
      <c r="AF2" s="19">
        <f t="shared" ref="AF2:AF67" si="1">IF($L2="ET","",IF(DEGREES(ATAN((7.32*$AD2)/($AD2^2+$AC2^2-(7.32/2)^2)))&lt;=0,180+DEGREES(ATAN((7.32*$AD2)/($AD2^2+$AC2^2-(7.32/2)^2))),DEGREES(ATAN((7.32*$AD2)/($AD2^2+$AC2^2-(7.32/2)^2)))))</f>
        <v>20.941837325172411</v>
      </c>
      <c r="AG2" s="2" t="s">
        <v>146</v>
      </c>
      <c r="AH2" s="13">
        <v>1</v>
      </c>
      <c r="AI2" s="13">
        <v>2</v>
      </c>
      <c r="AJ2" s="19">
        <f>IF(Abschlüsse[[#This Row],[Ergeb]]="ET","",SQRT(($AC2-$AH2)^2+($AD2-$AI2)^2))</f>
        <v>16.977926846349646</v>
      </c>
      <c r="AK2" s="3">
        <v>0</v>
      </c>
      <c r="AL2" s="13"/>
      <c r="AM2" s="13"/>
      <c r="AN2" s="19" t="str">
        <f t="shared" ref="AN2:AN67" si="2">IF(AK2=0,"",SQRT(($AC2-$AL2)^2+($AD2-$AM2)^2))</f>
        <v/>
      </c>
      <c r="AO2" s="3">
        <v>3</v>
      </c>
      <c r="AP2" s="13">
        <v>4.5</v>
      </c>
      <c r="AQ2" s="13">
        <v>17</v>
      </c>
      <c r="AR2" s="19">
        <f t="shared" ref="AR2:AR67" si="3">IF(AO2=0,"",SQRT(($AC2-$AP2)^2+($AD2-$AQ2)^2))</f>
        <v>1.5811388300841898</v>
      </c>
      <c r="AS2" s="1"/>
    </row>
    <row r="3" spans="1:45" ht="25.05" customHeight="1">
      <c r="A3" s="3">
        <v>1</v>
      </c>
      <c r="B3" s="2" t="s">
        <v>8</v>
      </c>
      <c r="C3" s="17" t="str">
        <f>IF($A3="","",IF(VLOOKUP($A3,Spiele!$A$2:$D$15,3,FALSE)=$B3,"H","G"))</f>
        <v>H</v>
      </c>
      <c r="D3" s="17" t="str">
        <f>IF($B3="","",IF(VLOOKUP($A3,Spiele!$A$2:$F$15,3,FALSE)=$B3,VLOOKUP($A3,Spiele!$A$2:$F$15,4,FALSE),VLOOKUP($A3,Spiele!$A$2:$F$15,3,FALSE)))</f>
        <v>GWD</v>
      </c>
      <c r="E3" s="18">
        <f>IF(Abschlüsse[[#This Row],[Ergeb]]="ET",0,COUNTIFS($A$2:$A3,$A3,$B$2:$B3,$B3,$L$2:$L3,"&lt;&gt;ET"))</f>
        <v>2</v>
      </c>
      <c r="F3" s="11">
        <v>6</v>
      </c>
      <c r="G3" s="12">
        <v>1</v>
      </c>
      <c r="H3" s="18">
        <f>COUNTIFS('Rote Karten'!$A$2:$A$4,$A3,'Rote Karten'!$D$2:$D$4,"&lt;&gt;"&amp;$B3,'Rote Karten'!$B$2:$B$4,"&lt;"&amp;$F3,'Rote Karten'!$C$2:$C$4,"&lt;="&amp;$G3)-COUNTIFS('Rote Karten'!$A$2:$A$4,$A3,'Rote Karten'!$D$2:$D$4,$B3,'Rote Karten'!$B$2:$B$4,"&lt;"&amp;$F3,'Rote Karten'!$C$2:$C$4,"&lt;="&amp;$G3)</f>
        <v>0</v>
      </c>
      <c r="I3" s="17" t="str">
        <f>IF(OR($L3="Tor",$L3="ET"),_xlfn.IFNA(IF(VLOOKUP($A3,Spiele!$A$2:$C$15,3,FALSE)=$B3,COUNTIFS($L$2:$L3,"Tor",$B$2:$B3,$B3,$A$2:$A3,$A3)+COUNTIFS($L$2:$L3,"ET",$B$2:$B3,$B3,$A$2:$A3,$A3)&amp;":"&amp;COUNTIFS($L$2:$L3,"Tor",$B$2:$B3,"&lt;&gt;"&amp;$B3,$A$2:$A3,$A3)+COUNTIFS($L$2:$L3,"ET",$B$2:$B3,"&lt;&gt;"&amp;$B3,$A$2:$A3,$A3),COUNTIFS($L$2:$L3,"Tor",$B$2:$B3,"&lt;&gt;"&amp;$B3,$A$2:$A3,$A3)+COUNTIFS($L$2:$L3,"ET",$B$2:$B3,"&lt;&gt;"&amp;$B3,$A$2:$A3,$A3)&amp;":"&amp;COUNTIFS($L$2:$L3,"Tor",$B$2:$B3,$B3,$A$2:$A3,$A3)+COUNTIFS($L$2:$L3,"ET",$B$2:$B3,$B3,$A$2:$A3,$A3)),""),"")</f>
        <v>1:0</v>
      </c>
      <c r="J3" s="18">
        <f>_xlfn.IFNA(IF(VLOOKUP($A3,Spiele!$A$2:$D$15,3,FALSE)=$B3,(COUNTIFS($L$1:$L2,"Tor",$B$1:$B2,$B3,$A$1:$A2,$A3)+COUNTIFS($L$1:$L2,"ET",$B$1:$B2,$B3,$A$1:$A2,$A3))-(COUNTIFS($L$1:$L2,"Tor",$B$1:$B2,"&lt;&gt;"&amp;$B3,$A$1:$A2,$A3)+COUNTIFS($L$1:$L2,"ET",$B$1:$B2,"&lt;&gt;"&amp;$B3,$A$1:$A2,$A3)),(COUNTIFS($L$1:$L2,"Tor",$B$1:$B2,$B3,$A$1:$A2,$A3)+COUNTIFS($L$1:$L2,"ET",$B$1:$B2,$B3,$A$1:$A2,$A3))-(COUNTIFS($L$1:$L2,"Tor",$B$1:$B2,"&lt;&gt;"&amp;$B3,$A$1:$A2,$A3)+COUNTIFS($L$1:$L2,"ET",$B$1:$B2,"&lt;&gt;"&amp;$B3,$A$1:$A2,$A3))),"")</f>
        <v>0</v>
      </c>
      <c r="K3" s="3">
        <v>2</v>
      </c>
      <c r="L3" s="17" t="s">
        <v>0</v>
      </c>
      <c r="M3" s="2" t="s">
        <v>147</v>
      </c>
      <c r="N3" s="2" t="s">
        <v>148</v>
      </c>
      <c r="O3" s="2">
        <v>20</v>
      </c>
      <c r="P3" s="2">
        <v>26</v>
      </c>
      <c r="Q3" s="2">
        <v>23</v>
      </c>
      <c r="X3" s="2" t="s">
        <v>142</v>
      </c>
      <c r="Y3" s="17" t="s">
        <v>149</v>
      </c>
      <c r="Z3" s="14" t="s">
        <v>150</v>
      </c>
      <c r="AA3" s="14" t="s">
        <v>145</v>
      </c>
      <c r="AB3" s="18">
        <v>9</v>
      </c>
      <c r="AC3" s="13">
        <v>-6.5</v>
      </c>
      <c r="AD3" s="13">
        <v>8.5</v>
      </c>
      <c r="AE3" s="19">
        <f t="shared" si="0"/>
        <v>8.9618971205878051</v>
      </c>
      <c r="AF3" s="19">
        <f t="shared" si="1"/>
        <v>31.60828637617816</v>
      </c>
      <c r="AG3" s="2" t="s">
        <v>146</v>
      </c>
      <c r="AH3" s="13">
        <v>-3.5</v>
      </c>
      <c r="AI3" s="13">
        <v>4.5</v>
      </c>
      <c r="AJ3" s="19">
        <f>IF(Abschlüsse[[#This Row],[Ergeb]]="ET","",SQRT(($AC3-$AH3)^2+($AD3-$AI3)^2))</f>
        <v>5</v>
      </c>
      <c r="AK3" s="3">
        <v>2</v>
      </c>
      <c r="AL3" s="13">
        <v>-6</v>
      </c>
      <c r="AM3" s="13">
        <v>8.5</v>
      </c>
      <c r="AN3" s="19">
        <f t="shared" si="2"/>
        <v>0.5</v>
      </c>
      <c r="AO3" s="3">
        <v>0</v>
      </c>
      <c r="AR3" s="19" t="str">
        <f t="shared" si="3"/>
        <v/>
      </c>
      <c r="AS3" s="1"/>
    </row>
    <row r="4" spans="1:45" ht="25.05" customHeight="1">
      <c r="A4" s="3">
        <v>1</v>
      </c>
      <c r="B4" s="2" t="s">
        <v>8</v>
      </c>
      <c r="C4" s="17" t="str">
        <f>IF($A4="","",IF(VLOOKUP($A4,Spiele!$A$2:$D$15,3,FALSE)=$B4,"H","G"))</f>
        <v>H</v>
      </c>
      <c r="D4" s="17" t="str">
        <f>IF($B4="","",IF(VLOOKUP($A4,Spiele!$A$2:$F$15,3,FALSE)=$B4,VLOOKUP($A4,Spiele!$A$2:$F$15,4,FALSE),VLOOKUP($A4,Spiele!$A$2:$F$15,3,FALSE)))</f>
        <v>GWD</v>
      </c>
      <c r="E4" s="18">
        <f>IF(Abschlüsse[[#This Row],[Ergeb]]="ET",0,COUNTIFS($A$2:$A4,$A4,$B$2:$B4,$B4,$L$2:$L4,"&lt;&gt;ET"))</f>
        <v>3</v>
      </c>
      <c r="F4" s="11">
        <v>8</v>
      </c>
      <c r="G4" s="12">
        <v>1</v>
      </c>
      <c r="H4" s="18">
        <f>COUNTIFS('Rote Karten'!$A$2:$A$4,$A4,'Rote Karten'!$D$2:$D$4,"&lt;&gt;"&amp;$B4,'Rote Karten'!$B$2:$B$4,"&lt;"&amp;$F4,'Rote Karten'!$C$2:$C$4,"&lt;="&amp;$G4)-COUNTIFS('Rote Karten'!$A$2:$A$4,$A4,'Rote Karten'!$D$2:$D$4,$B4,'Rote Karten'!$B$2:$B$4,"&lt;"&amp;$F4,'Rote Karten'!$C$2:$C$4,"&lt;="&amp;$G4)</f>
        <v>0</v>
      </c>
      <c r="I4" s="17" t="str">
        <f>IF(OR($L4="Tor",$L4="ET"),_xlfn.IFNA(IF(VLOOKUP($A4,Spiele!$A$2:$C$15,3,FALSE)=$B4,COUNTIFS($L$2:$L4,"Tor",$B$2:$B4,$B4,$A$2:$A4,$A4)+COUNTIFS($L$2:$L4,"ET",$B$2:$B4,$B4,$A$2:$A4,$A4)&amp;":"&amp;COUNTIFS($L$2:$L4,"Tor",$B$2:$B4,"&lt;&gt;"&amp;$B4,$A$2:$A4,$A4)+COUNTIFS($L$2:$L4,"ET",$B$2:$B4,"&lt;&gt;"&amp;$B4,$A$2:$A4,$A4),COUNTIFS($L$2:$L4,"Tor",$B$2:$B4,"&lt;&gt;"&amp;$B4,$A$2:$A4,$A4)+COUNTIFS($L$2:$L4,"ET",$B$2:$B4,"&lt;&gt;"&amp;$B4,$A$2:$A4,$A4)&amp;":"&amp;COUNTIFS($L$2:$L4,"Tor",$B$2:$B4,$B4,$A$2:$A4,$A4)+COUNTIFS($L$2:$L4,"ET",$B$2:$B4,$B4,$A$2:$A4,$A4)),""),"")</f>
        <v/>
      </c>
      <c r="J4" s="18">
        <f>_xlfn.IFNA(IF(VLOOKUP($A4,Spiele!$A$2:$D$15,3,FALSE)=$B4,(COUNTIFS($L$1:$L3,"Tor",$B$1:$B3,$B4,$A$1:$A3,$A4)+COUNTIFS($L$1:$L3,"ET",$B$1:$B3,$B4,$A$1:$A3,$A4))-(COUNTIFS($L$1:$L3,"Tor",$B$1:$B3,"&lt;&gt;"&amp;$B4,$A$1:$A3,$A4)+COUNTIFS($L$1:$L3,"ET",$B$1:$B3,"&lt;&gt;"&amp;$B4,$A$1:$A3,$A4)),(COUNTIFS($L$1:$L3,"Tor",$B$1:$B3,$B4,$A$1:$A3,$A4)+COUNTIFS($L$1:$L3,"ET",$B$1:$B3,$B4,$A$1:$A3,$A4))-(COUNTIFS($L$1:$L3,"Tor",$B$1:$B3,"&lt;&gt;"&amp;$B4,$A$1:$A3,$A4)+COUNTIFS($L$1:$L3,"ET",$B$1:$B3,"&lt;&gt;"&amp;$B4,$A$1:$A3,$A4))),"")</f>
        <v>1</v>
      </c>
      <c r="K4" s="3">
        <v>3</v>
      </c>
      <c r="L4" s="18" t="s">
        <v>20</v>
      </c>
      <c r="M4" s="3" t="s">
        <v>147</v>
      </c>
      <c r="N4" s="2" t="s">
        <v>158</v>
      </c>
      <c r="O4" s="2">
        <v>20</v>
      </c>
      <c r="P4" s="2">
        <v>26</v>
      </c>
      <c r="Q4" s="2">
        <v>6</v>
      </c>
      <c r="R4" s="2">
        <v>23</v>
      </c>
      <c r="S4" s="2">
        <v>8</v>
      </c>
      <c r="X4" s="22" t="s">
        <v>151</v>
      </c>
      <c r="Y4" s="18" t="s">
        <v>143</v>
      </c>
      <c r="Z4" s="14" t="s">
        <v>150</v>
      </c>
      <c r="AA4" s="14" t="s">
        <v>156</v>
      </c>
      <c r="AB4" s="18">
        <v>27</v>
      </c>
      <c r="AC4" s="13">
        <v>-17</v>
      </c>
      <c r="AD4" s="13">
        <v>18.5</v>
      </c>
      <c r="AE4" s="19">
        <f>IF($L4="ET","",IF($AC4&gt;3.66,SQRT($AD4^2+($AC4-(7.32/2))^2),IF($AC4&lt;-3.66,SQRT($AD4^2+($AC4+(7.32/2))^2),$AD4)))</f>
        <v>22.808016134683875</v>
      </c>
      <c r="AF4" s="19">
        <f>IF($L4="ET","",IF(DEGREES(ATAN((7.32*$AD4)/($AD4^2+$AC4^2-(7.32/2)^2)))&lt;=0,180+DEGREES(ATAN((7.32*$AD4)/($AD4^2+$AC4^2-(7.32/2)^2))),DEGREES(ATAN((7.32*$AD4)/($AD4^2+$AC4^2-(7.32/2)^2)))))</f>
        <v>12.362479809939884</v>
      </c>
      <c r="AG4" s="3" t="s">
        <v>146</v>
      </c>
      <c r="AH4" s="13">
        <v>-1.5</v>
      </c>
      <c r="AI4" s="13">
        <v>2.5</v>
      </c>
      <c r="AJ4" s="19">
        <f>IF(Abschlüsse[[#This Row],[Ergeb]]="ET","",SQRT(($AC4-$AH4)^2+($AD4-$AI4)^2))</f>
        <v>22.276669409945463</v>
      </c>
      <c r="AK4" s="3">
        <v>1</v>
      </c>
      <c r="AL4" s="13">
        <v>-18</v>
      </c>
      <c r="AM4" s="13">
        <v>20</v>
      </c>
      <c r="AN4" s="19">
        <f>IF(AK4=0,"",SQRT(($AC4-$AL4)^2+($AD4-$AM4)^2))</f>
        <v>1.8027756377319946</v>
      </c>
      <c r="AO4" s="3">
        <v>3</v>
      </c>
      <c r="AP4" s="13">
        <v>-15</v>
      </c>
      <c r="AQ4" s="13">
        <v>16.5</v>
      </c>
      <c r="AR4" s="19">
        <f>IF(AO4=0,"",SQRT(($AC4-$AP4)^2+($AD4-$AQ4)^2))</f>
        <v>2.8284271247461903</v>
      </c>
      <c r="AS4" s="1"/>
    </row>
    <row r="5" spans="1:45" ht="25.05" customHeight="1">
      <c r="A5" s="3">
        <v>1</v>
      </c>
      <c r="B5" s="2" t="s">
        <v>54</v>
      </c>
      <c r="C5" s="17" t="str">
        <f>IF($A5="","",IF(VLOOKUP($A5,Spiele!$A$2:$D$15,3,FALSE)=$B5,"H","G"))</f>
        <v>G</v>
      </c>
      <c r="D5" s="17" t="str">
        <f>IF($B5="","",IF(VLOOKUP($A5,Spiele!$A$2:$F$15,3,FALSE)=$B5,VLOOKUP($A5,Spiele!$A$2:$F$15,4,FALSE),VLOOKUP($A5,Spiele!$A$2:$F$15,3,FALSE)))</f>
        <v>FCN</v>
      </c>
      <c r="E5" s="18">
        <f>IF(Abschlüsse[[#This Row],[Ergeb]]="ET",0,COUNTIFS($A$2:$A5,$A5,$B$2:$B5,$B5,$L$2:$L5,"&lt;&gt;ET"))</f>
        <v>1</v>
      </c>
      <c r="F5" s="11">
        <v>11</v>
      </c>
      <c r="G5" s="12">
        <v>1</v>
      </c>
      <c r="H5" s="18">
        <f>COUNTIFS('Rote Karten'!$A$2:$A$4,$A5,'Rote Karten'!$D$2:$D$4,"&lt;&gt;"&amp;$B5,'Rote Karten'!$B$2:$B$4,"&lt;"&amp;$F5,'Rote Karten'!$C$2:$C$4,"&lt;="&amp;$G5)-COUNTIFS('Rote Karten'!$A$2:$A$4,$A5,'Rote Karten'!$D$2:$D$4,$B5,'Rote Karten'!$B$2:$B$4,"&lt;"&amp;$F5,'Rote Karten'!$C$2:$C$4,"&lt;="&amp;$G5)</f>
        <v>0</v>
      </c>
      <c r="I5" s="17" t="str">
        <f>IF(OR($L5="Tor",$L5="ET"),_xlfn.IFNA(IF(VLOOKUP($A5,Spiele!$A$2:$C$15,3,FALSE)=$B5,COUNTIFS($L$2:$L5,"Tor",$B$2:$B5,$B5,$A$2:$A5,$A5)+COUNTIFS($L$2:$L5,"ET",$B$2:$B5,$B5,$A$2:$A5,$A5)&amp;":"&amp;COUNTIFS($L$2:$L5,"Tor",$B$2:$B5,"&lt;&gt;"&amp;$B5,$A$2:$A5,$A5)+COUNTIFS($L$2:$L5,"ET",$B$2:$B5,"&lt;&gt;"&amp;$B5,$A$2:$A5,$A5),COUNTIFS($L$2:$L5,"Tor",$B$2:$B5,"&lt;&gt;"&amp;$B5,$A$2:$A5,$A5)+COUNTIFS($L$2:$L5,"ET",$B$2:$B5,"&lt;&gt;"&amp;$B5,$A$2:$A5,$A5)&amp;":"&amp;COUNTIFS($L$2:$L5,"Tor",$B$2:$B5,$B5,$A$2:$A5,$A5)+COUNTIFS($L$2:$L5,"ET",$B$2:$B5,$B5,$A$2:$A5,$A5)),""),"")</f>
        <v/>
      </c>
      <c r="J5" s="18">
        <f>_xlfn.IFNA(IF(VLOOKUP($A5,Spiele!$A$2:$D$15,3,FALSE)=$B5,(COUNTIFS($L$1:$L4,"Tor",$B$1:$B4,$B5,$A$1:$A4,$A5)+COUNTIFS($L$1:$L4,"ET",$B$1:$B4,$B5,$A$1:$A4,$A5))-(COUNTIFS($L$1:$L4,"Tor",$B$1:$B4,"&lt;&gt;"&amp;$B5,$A$1:$A4,$A5)+COUNTIFS($L$1:$L4,"ET",$B$1:$B4,"&lt;&gt;"&amp;$B5,$A$1:$A4,$A5)),(COUNTIFS($L$1:$L4,"Tor",$B$1:$B4,$B5,$A$1:$A4,$A5)+COUNTIFS($L$1:$L4,"ET",$B$1:$B4,$B5,$A$1:$A4,$A5))-(COUNTIFS($L$1:$L4,"Tor",$B$1:$B4,"&lt;&gt;"&amp;$B5,$A$1:$A4,$A5)+COUNTIFS($L$1:$L4,"ET",$B$1:$B4,"&lt;&gt;"&amp;$B5,$A$1:$A4,$A5))),"")</f>
        <v>-1</v>
      </c>
      <c r="K5" s="3">
        <v>4</v>
      </c>
      <c r="L5" s="17" t="s">
        <v>19</v>
      </c>
      <c r="M5" s="2" t="s">
        <v>140</v>
      </c>
      <c r="N5" s="2" t="s">
        <v>3</v>
      </c>
      <c r="X5" s="2" t="s">
        <v>151</v>
      </c>
      <c r="Y5" s="17" t="s">
        <v>143</v>
      </c>
      <c r="Z5" s="14" t="s">
        <v>144</v>
      </c>
      <c r="AA5" s="14" t="s">
        <v>145</v>
      </c>
      <c r="AB5" s="18"/>
      <c r="AC5" s="13">
        <v>2</v>
      </c>
      <c r="AD5" s="13">
        <v>26</v>
      </c>
      <c r="AE5" s="19">
        <f t="shared" si="0"/>
        <v>26</v>
      </c>
      <c r="AF5" s="19">
        <f t="shared" si="1"/>
        <v>15.934397372783307</v>
      </c>
      <c r="AG5" s="2" t="s">
        <v>146</v>
      </c>
      <c r="AH5" s="13">
        <v>2</v>
      </c>
      <c r="AI5" s="13">
        <v>5</v>
      </c>
      <c r="AJ5" s="19">
        <f>IF(Abschlüsse[[#This Row],[Ergeb]]="ET","",SQRT(($AC5-$AH5)^2+($AD5-$AI5)^2))</f>
        <v>21</v>
      </c>
      <c r="AK5" s="3">
        <v>0</v>
      </c>
      <c r="AL5" s="13"/>
      <c r="AM5" s="13"/>
      <c r="AN5" s="19" t="str">
        <f t="shared" si="2"/>
        <v/>
      </c>
      <c r="AO5" s="3">
        <v>2</v>
      </c>
      <c r="AP5" s="13">
        <v>1.5</v>
      </c>
      <c r="AQ5" s="13">
        <v>16</v>
      </c>
      <c r="AR5" s="19">
        <f t="shared" si="3"/>
        <v>10.012492197250394</v>
      </c>
      <c r="AS5" s="1"/>
    </row>
    <row r="6" spans="1:45" ht="25.05" customHeight="1">
      <c r="A6" s="3">
        <v>1</v>
      </c>
      <c r="B6" s="2" t="s">
        <v>8</v>
      </c>
      <c r="C6" s="17" t="str">
        <f>IF($A6="","",IF(VLOOKUP($A6,Spiele!$A$2:$D$15,3,FALSE)=$B6,"H","G"))</f>
        <v>H</v>
      </c>
      <c r="D6" s="17" t="str">
        <f>IF($B6="","",IF(VLOOKUP($A6,Spiele!$A$2:$F$15,3,FALSE)=$B6,VLOOKUP($A6,Spiele!$A$2:$F$15,4,FALSE),VLOOKUP($A6,Spiele!$A$2:$F$15,3,FALSE)))</f>
        <v>GWD</v>
      </c>
      <c r="E6" s="18">
        <f>IF(Abschlüsse[[#This Row],[Ergeb]]="ET",0,COUNTIFS($A$2:$A6,$A6,$B$2:$B6,$B6,$L$2:$L6,"&lt;&gt;ET"))</f>
        <v>4</v>
      </c>
      <c r="F6" s="11">
        <v>14</v>
      </c>
      <c r="G6" s="12">
        <v>1</v>
      </c>
      <c r="H6" s="18">
        <f>COUNTIFS('Rote Karten'!$A$2:$A$4,$A6,'Rote Karten'!$D$2:$D$4,"&lt;&gt;"&amp;$B6,'Rote Karten'!$B$2:$B$4,"&lt;"&amp;$F6,'Rote Karten'!$C$2:$C$4,"&lt;="&amp;$G6)-COUNTIFS('Rote Karten'!$A$2:$A$4,$A6,'Rote Karten'!$D$2:$D$4,$B6,'Rote Karten'!$B$2:$B$4,"&lt;"&amp;$F6,'Rote Karten'!$C$2:$C$4,"&lt;="&amp;$G6)</f>
        <v>0</v>
      </c>
      <c r="I6" s="17" t="str">
        <f>IF(OR($L6="Tor",$L6="ET"),_xlfn.IFNA(IF(VLOOKUP($A6,Spiele!$A$2:$C$15,3,FALSE)=$B6,COUNTIFS($L$2:$L6,"Tor",$B$2:$B6,$B6,$A$2:$A6,$A6)+COUNTIFS($L$2:$L6,"ET",$B$2:$B6,$B6,$A$2:$A6,$A6)&amp;":"&amp;COUNTIFS($L$2:$L6,"Tor",$B$2:$B6,"&lt;&gt;"&amp;$B6,$A$2:$A6,$A6)+COUNTIFS($L$2:$L6,"ET",$B$2:$B6,"&lt;&gt;"&amp;$B6,$A$2:$A6,$A6),COUNTIFS($L$2:$L6,"Tor",$B$2:$B6,"&lt;&gt;"&amp;$B6,$A$2:$A6,$A6)+COUNTIFS($L$2:$L6,"ET",$B$2:$B6,"&lt;&gt;"&amp;$B6,$A$2:$A6,$A6)&amp;":"&amp;COUNTIFS($L$2:$L6,"Tor",$B$2:$B6,$B6,$A$2:$A6,$A6)+COUNTIFS($L$2:$L6,"ET",$B$2:$B6,$B6,$A$2:$A6,$A6)),""),"")</f>
        <v/>
      </c>
      <c r="J6" s="18">
        <f>_xlfn.IFNA(IF(VLOOKUP($A6,Spiele!$A$2:$D$15,3,FALSE)=$B6,(COUNTIFS($L$1:$L5,"Tor",$B$1:$B5,$B6,$A$1:$A5,$A6)+COUNTIFS($L$1:$L5,"ET",$B$1:$B5,$B6,$A$1:$A5,$A6))-(COUNTIFS($L$1:$L5,"Tor",$B$1:$B5,"&lt;&gt;"&amp;$B6,$A$1:$A5,$A6)+COUNTIFS($L$1:$L5,"ET",$B$1:$B5,"&lt;&gt;"&amp;$B6,$A$1:$A5,$A6)),(COUNTIFS($L$1:$L5,"Tor",$B$1:$B5,$B6,$A$1:$A5,$A6)+COUNTIFS($L$1:$L5,"ET",$B$1:$B5,$B6,$A$1:$A5,$A6))-(COUNTIFS($L$1:$L5,"Tor",$B$1:$B5,"&lt;&gt;"&amp;$B6,$A$1:$A5,$A6)+COUNTIFS($L$1:$L5,"ET",$B$1:$B5,"&lt;&gt;"&amp;$B6,$A$1:$A5,$A6))),"")</f>
        <v>1</v>
      </c>
      <c r="K6" s="3">
        <v>5</v>
      </c>
      <c r="L6" s="17" t="s">
        <v>18</v>
      </c>
      <c r="M6" s="2" t="s">
        <v>147</v>
      </c>
      <c r="N6" s="2" t="s">
        <v>152</v>
      </c>
      <c r="O6" s="2">
        <v>8</v>
      </c>
      <c r="P6" s="2">
        <v>20</v>
      </c>
      <c r="Q6" s="2">
        <v>1</v>
      </c>
      <c r="R6" s="2">
        <v>26</v>
      </c>
      <c r="S6" s="2">
        <v>23</v>
      </c>
      <c r="T6" s="2">
        <v>6</v>
      </c>
      <c r="X6" s="2" t="s">
        <v>151</v>
      </c>
      <c r="Y6" s="17" t="s">
        <v>143</v>
      </c>
      <c r="Z6" s="14" t="s">
        <v>150</v>
      </c>
      <c r="AA6" s="14" t="s">
        <v>145</v>
      </c>
      <c r="AB6" s="18">
        <v>9</v>
      </c>
      <c r="AC6" s="13">
        <v>-1</v>
      </c>
      <c r="AD6" s="13">
        <v>15</v>
      </c>
      <c r="AE6" s="19">
        <f t="shared" si="0"/>
        <v>15</v>
      </c>
      <c r="AF6" s="19">
        <f t="shared" si="1"/>
        <v>27.314189349079449</v>
      </c>
      <c r="AG6" s="2" t="s">
        <v>146</v>
      </c>
      <c r="AH6" s="13">
        <v>-0.5</v>
      </c>
      <c r="AI6" s="13">
        <v>7</v>
      </c>
      <c r="AJ6" s="19">
        <f>IF(Abschlüsse[[#This Row],[Ergeb]]="ET","",SQRT(($AC6-$AH6)^2+($AD6-$AI6)^2))</f>
        <v>8.0156097709406993</v>
      </c>
      <c r="AK6" s="3">
        <v>1</v>
      </c>
      <c r="AL6" s="13">
        <v>-4</v>
      </c>
      <c r="AM6" s="13">
        <v>14.5</v>
      </c>
      <c r="AN6" s="19">
        <f t="shared" si="2"/>
        <v>3.0413812651491097</v>
      </c>
      <c r="AO6" s="3">
        <v>0</v>
      </c>
      <c r="AR6" s="19" t="str">
        <f t="shared" si="3"/>
        <v/>
      </c>
      <c r="AS6" s="1"/>
    </row>
    <row r="7" spans="1:45" ht="25.05" customHeight="1">
      <c r="A7" s="3">
        <v>1</v>
      </c>
      <c r="B7" s="2" t="s">
        <v>8</v>
      </c>
      <c r="C7" s="17" t="str">
        <f>IF($A7="","",IF(VLOOKUP($A7,Spiele!$A$2:$D$15,3,FALSE)=$B7,"H","G"))</f>
        <v>H</v>
      </c>
      <c r="D7" s="17" t="str">
        <f>IF($B7="","",IF(VLOOKUP($A7,Spiele!$A$2:$F$15,3,FALSE)=$B7,VLOOKUP($A7,Spiele!$A$2:$F$15,4,FALSE),VLOOKUP($A7,Spiele!$A$2:$F$15,3,FALSE)))</f>
        <v>GWD</v>
      </c>
      <c r="E7" s="18">
        <f>IF(Abschlüsse[[#This Row],[Ergeb]]="ET",0,COUNTIFS($A$2:$A7,$A7,$B$2:$B7,$B7,$L$2:$L7,"&lt;&gt;ET"))</f>
        <v>5</v>
      </c>
      <c r="F7" s="11">
        <v>16</v>
      </c>
      <c r="G7" s="12">
        <v>1</v>
      </c>
      <c r="H7" s="18">
        <f>COUNTIFS('Rote Karten'!$A$2:$A$4,$A7,'Rote Karten'!$D$2:$D$4,"&lt;&gt;"&amp;$B7,'Rote Karten'!$B$2:$B$4,"&lt;"&amp;$F7,'Rote Karten'!$C$2:$C$4,"&lt;="&amp;$G7)-COUNTIFS('Rote Karten'!$A$2:$A$4,$A7,'Rote Karten'!$D$2:$D$4,$B7,'Rote Karten'!$B$2:$B$4,"&lt;"&amp;$F7,'Rote Karten'!$C$2:$C$4,"&lt;="&amp;$G7)</f>
        <v>0</v>
      </c>
      <c r="I7" s="17" t="str">
        <f>IF(OR($L7="Tor",$L7="ET"),_xlfn.IFNA(IF(VLOOKUP($A7,Spiele!$A$2:$C$15,3,FALSE)=$B7,COUNTIFS($L$2:$L7,"Tor",$B$2:$B7,$B7,$A$2:$A7,$A7)+COUNTIFS($L$2:$L7,"ET",$B$2:$B7,$B7,$A$2:$A7,$A7)&amp;":"&amp;COUNTIFS($L$2:$L7,"Tor",$B$2:$B7,"&lt;&gt;"&amp;$B7,$A$2:$A7,$A7)+COUNTIFS($L$2:$L7,"ET",$B$2:$B7,"&lt;&gt;"&amp;$B7,$A$2:$A7,$A7),COUNTIFS($L$2:$L7,"Tor",$B$2:$B7,"&lt;&gt;"&amp;$B7,$A$2:$A7,$A7)+COUNTIFS($L$2:$L7,"ET",$B$2:$B7,"&lt;&gt;"&amp;$B7,$A$2:$A7,$A7)&amp;":"&amp;COUNTIFS($L$2:$L7,"Tor",$B$2:$B7,$B7,$A$2:$A7,$A7)+COUNTIFS($L$2:$L7,"ET",$B$2:$B7,$B7,$A$2:$A7,$A7)),""),"")</f>
        <v>2:0</v>
      </c>
      <c r="J7" s="18">
        <f>_xlfn.IFNA(IF(VLOOKUP($A7,Spiele!$A$2:$D$15,3,FALSE)=$B7,(COUNTIFS($L$1:$L6,"Tor",$B$1:$B6,$B7,$A$1:$A6,$A7)+COUNTIFS($L$1:$L6,"ET",$B$1:$B6,$B7,$A$1:$A6,$A7))-(COUNTIFS($L$1:$L6,"Tor",$B$1:$B6,"&lt;&gt;"&amp;$B7,$A$1:$A6,$A7)+COUNTIFS($L$1:$L6,"ET",$B$1:$B6,"&lt;&gt;"&amp;$B7,$A$1:$A6,$A7)),(COUNTIFS($L$1:$L6,"Tor",$B$1:$B6,$B7,$A$1:$A6,$A7)+COUNTIFS($L$1:$L6,"ET",$B$1:$B6,$B7,$A$1:$A6,$A7))-(COUNTIFS($L$1:$L6,"Tor",$B$1:$B6,"&lt;&gt;"&amp;$B7,$A$1:$A6,$A7)+COUNTIFS($L$1:$L6,"ET",$B$1:$B6,"&lt;&gt;"&amp;$B7,$A$1:$A6,$A7))),"")</f>
        <v>1</v>
      </c>
      <c r="K7" s="3">
        <v>6</v>
      </c>
      <c r="L7" s="17" t="s">
        <v>0</v>
      </c>
      <c r="M7" s="2" t="s">
        <v>147</v>
      </c>
      <c r="N7" s="2" t="s">
        <v>153</v>
      </c>
      <c r="O7" s="2">
        <v>8</v>
      </c>
      <c r="P7" s="2">
        <v>26</v>
      </c>
      <c r="Q7" s="2">
        <v>23</v>
      </c>
      <c r="R7" s="2">
        <v>6</v>
      </c>
      <c r="S7" s="2">
        <v>20</v>
      </c>
      <c r="T7" s="2">
        <v>13</v>
      </c>
      <c r="X7" s="2" t="s">
        <v>154</v>
      </c>
      <c r="Y7" s="17" t="s">
        <v>143</v>
      </c>
      <c r="Z7" s="14" t="s">
        <v>144</v>
      </c>
      <c r="AA7" s="14" t="s">
        <v>145</v>
      </c>
      <c r="AB7" s="18">
        <v>7</v>
      </c>
      <c r="AC7" s="13">
        <v>0.5</v>
      </c>
      <c r="AD7" s="13">
        <v>6.5</v>
      </c>
      <c r="AE7" s="19">
        <f t="shared" si="0"/>
        <v>6.5</v>
      </c>
      <c r="AF7" s="19">
        <f t="shared" si="1"/>
        <v>58.546125075791529</v>
      </c>
      <c r="AG7" s="2" t="s">
        <v>146</v>
      </c>
      <c r="AH7" s="13">
        <v>0</v>
      </c>
      <c r="AI7" s="13">
        <v>2</v>
      </c>
      <c r="AJ7" s="19">
        <f>IF(Abschlüsse[[#This Row],[Ergeb]]="ET","",SQRT(($AC7-$AH7)^2+($AD7-$AI7)^2))</f>
        <v>4.5276925690687087</v>
      </c>
      <c r="AK7" s="3">
        <v>0</v>
      </c>
      <c r="AL7" s="13"/>
      <c r="AM7" s="13"/>
      <c r="AN7" s="19" t="str">
        <f t="shared" si="2"/>
        <v/>
      </c>
      <c r="AO7" s="3">
        <v>0</v>
      </c>
      <c r="AR7" s="19" t="str">
        <f t="shared" si="3"/>
        <v/>
      </c>
      <c r="AS7" s="1"/>
    </row>
    <row r="8" spans="1:45" ht="25.05" customHeight="1">
      <c r="A8" s="3">
        <v>1</v>
      </c>
      <c r="B8" s="2" t="s">
        <v>54</v>
      </c>
      <c r="C8" s="17" t="str">
        <f>IF($A8="","",IF(VLOOKUP($A8,Spiele!$A$2:$D$15,3,FALSE)=$B8,"H","G"))</f>
        <v>G</v>
      </c>
      <c r="D8" s="17" t="str">
        <f>IF($B8="","",IF(VLOOKUP($A8,Spiele!$A$2:$F$15,3,FALSE)=$B8,VLOOKUP($A8,Spiele!$A$2:$F$15,4,FALSE),VLOOKUP($A8,Spiele!$A$2:$F$15,3,FALSE)))</f>
        <v>FCN</v>
      </c>
      <c r="E8" s="18">
        <f>IF(Abschlüsse[[#This Row],[Ergeb]]="ET",0,COUNTIFS($A$2:$A8,$A8,$B$2:$B8,$B8,$L$2:$L8,"&lt;&gt;ET"))</f>
        <v>2</v>
      </c>
      <c r="F8" s="11">
        <v>18</v>
      </c>
      <c r="G8" s="12">
        <v>1</v>
      </c>
      <c r="H8" s="18">
        <f>COUNTIFS('Rote Karten'!$A$2:$A$4,$A8,'Rote Karten'!$D$2:$D$4,"&lt;&gt;"&amp;$B8,'Rote Karten'!$B$2:$B$4,"&lt;"&amp;$F8,'Rote Karten'!$C$2:$C$4,"&lt;="&amp;$G8)-COUNTIFS('Rote Karten'!$A$2:$A$4,$A8,'Rote Karten'!$D$2:$D$4,$B8,'Rote Karten'!$B$2:$B$4,"&lt;"&amp;$F8,'Rote Karten'!$C$2:$C$4,"&lt;="&amp;$G8)</f>
        <v>0</v>
      </c>
      <c r="I8" s="17" t="str">
        <f>IF(OR($L8="Tor",$L8="ET"),_xlfn.IFNA(IF(VLOOKUP($A8,Spiele!$A$2:$C$15,3,FALSE)=$B8,COUNTIFS($L$2:$L8,"Tor",$B$2:$B8,$B8,$A$2:$A8,$A8)+COUNTIFS($L$2:$L8,"ET",$B$2:$B8,$B8,$A$2:$A8,$A8)&amp;":"&amp;COUNTIFS($L$2:$L8,"Tor",$B$2:$B8,"&lt;&gt;"&amp;$B8,$A$2:$A8,$A8)+COUNTIFS($L$2:$L8,"ET",$B$2:$B8,"&lt;&gt;"&amp;$B8,$A$2:$A8,$A8),COUNTIFS($L$2:$L8,"Tor",$B$2:$B8,"&lt;&gt;"&amp;$B8,$A$2:$A8,$A8)+COUNTIFS($L$2:$L8,"ET",$B$2:$B8,"&lt;&gt;"&amp;$B8,$A$2:$A8,$A8)&amp;":"&amp;COUNTIFS($L$2:$L8,"Tor",$B$2:$B8,$B8,$A$2:$A8,$A8)+COUNTIFS($L$2:$L8,"ET",$B$2:$B8,$B8,$A$2:$A8,$A8)),""),"")</f>
        <v/>
      </c>
      <c r="J8" s="18">
        <f>_xlfn.IFNA(IF(VLOOKUP($A8,Spiele!$A$2:$D$15,3,FALSE)=$B8,(COUNTIFS($L$1:$L7,"Tor",$B$1:$B7,$B8,$A$1:$A7,$A8)+COUNTIFS($L$1:$L7,"ET",$B$1:$B7,$B8,$A$1:$A7,$A8))-(COUNTIFS($L$1:$L7,"Tor",$B$1:$B7,"&lt;&gt;"&amp;$B8,$A$1:$A7,$A8)+COUNTIFS($L$1:$L7,"ET",$B$1:$B7,"&lt;&gt;"&amp;$B8,$A$1:$A7,$A8)),(COUNTIFS($L$1:$L7,"Tor",$B$1:$B7,$B8,$A$1:$A7,$A8)+COUNTIFS($L$1:$L7,"ET",$B$1:$B7,$B8,$A$1:$A7,$A8))-(COUNTIFS($L$1:$L7,"Tor",$B$1:$B7,"&lt;&gt;"&amp;$B8,$A$1:$A7,$A8)+COUNTIFS($L$1:$L7,"ET",$B$1:$B7,"&lt;&gt;"&amp;$B8,$A$1:$A7,$A8))),"")</f>
        <v>-2</v>
      </c>
      <c r="K8" s="3">
        <v>7</v>
      </c>
      <c r="L8" s="17" t="s">
        <v>19</v>
      </c>
      <c r="M8" s="2" t="s">
        <v>140</v>
      </c>
      <c r="N8" s="2" t="s">
        <v>155</v>
      </c>
      <c r="X8" s="2" t="s">
        <v>151</v>
      </c>
      <c r="Y8" s="17" t="s">
        <v>149</v>
      </c>
      <c r="Z8" s="14" t="s">
        <v>150</v>
      </c>
      <c r="AA8" s="14" t="s">
        <v>145</v>
      </c>
      <c r="AB8" s="18"/>
      <c r="AC8" s="13">
        <v>-14.5</v>
      </c>
      <c r="AD8" s="13">
        <v>23.5</v>
      </c>
      <c r="AE8" s="19">
        <f t="shared" si="0"/>
        <v>25.879636782613467</v>
      </c>
      <c r="AF8" s="19">
        <f t="shared" si="1"/>
        <v>12.932857897920591</v>
      </c>
      <c r="AG8" s="2" t="s">
        <v>146</v>
      </c>
      <c r="AH8" s="13">
        <v>-1.5</v>
      </c>
      <c r="AI8" s="13">
        <v>1.5</v>
      </c>
      <c r="AJ8" s="19">
        <f>IF(Abschlüsse[[#This Row],[Ergeb]]="ET","",SQRT(($AC8-$AH8)^2+($AD8-$AI8)^2))</f>
        <v>25.553864678361276</v>
      </c>
      <c r="AK8" s="3">
        <v>0</v>
      </c>
      <c r="AL8" s="13"/>
      <c r="AM8" s="13"/>
      <c r="AN8" s="19" t="str">
        <f t="shared" si="2"/>
        <v/>
      </c>
      <c r="AO8" s="3">
        <v>1</v>
      </c>
      <c r="AP8" s="13">
        <v>-10</v>
      </c>
      <c r="AQ8" s="13">
        <v>17.5</v>
      </c>
      <c r="AR8" s="19">
        <f t="shared" si="3"/>
        <v>7.5</v>
      </c>
      <c r="AS8" s="1"/>
    </row>
    <row r="9" spans="1:45" ht="25.05" customHeight="1">
      <c r="A9" s="3">
        <v>1</v>
      </c>
      <c r="B9" s="2" t="s">
        <v>54</v>
      </c>
      <c r="C9" s="17" t="str">
        <f>IF($A9="","",IF(VLOOKUP($A9,Spiele!$A$2:$D$15,3,FALSE)=$B9,"H","G"))</f>
        <v>G</v>
      </c>
      <c r="D9" s="17" t="str">
        <f>IF($B9="","",IF(VLOOKUP($A9,Spiele!$A$2:$F$15,3,FALSE)=$B9,VLOOKUP($A9,Spiele!$A$2:$F$15,4,FALSE),VLOOKUP($A9,Spiele!$A$2:$F$15,3,FALSE)))</f>
        <v>FCN</v>
      </c>
      <c r="E9" s="18">
        <f>IF(Abschlüsse[[#This Row],[Ergeb]]="ET",0,COUNTIFS($A$2:$A9,$A9,$B$2:$B9,$B9,$L$2:$L9,"&lt;&gt;ET"))</f>
        <v>3</v>
      </c>
      <c r="F9" s="11">
        <v>20</v>
      </c>
      <c r="G9" s="12">
        <v>1</v>
      </c>
      <c r="H9" s="18">
        <f>COUNTIFS('Rote Karten'!$A$2:$A$4,$A9,'Rote Karten'!$D$2:$D$4,"&lt;&gt;"&amp;$B9,'Rote Karten'!$B$2:$B$4,"&lt;"&amp;$F9,'Rote Karten'!$C$2:$C$4,"&lt;="&amp;$G9)-COUNTIFS('Rote Karten'!$A$2:$A$4,$A9,'Rote Karten'!$D$2:$D$4,$B9,'Rote Karten'!$B$2:$B$4,"&lt;"&amp;$F9,'Rote Karten'!$C$2:$C$4,"&lt;="&amp;$G9)</f>
        <v>0</v>
      </c>
      <c r="I9" s="17" t="str">
        <f>IF(OR($L9="Tor",$L9="ET"),_xlfn.IFNA(IF(VLOOKUP($A9,Spiele!$A$2:$C$15,3,FALSE)=$B9,COUNTIFS($L$2:$L9,"Tor",$B$2:$B9,$B9,$A$2:$A9,$A9)+COUNTIFS($L$2:$L9,"ET",$B$2:$B9,$B9,$A$2:$A9,$A9)&amp;":"&amp;COUNTIFS($L$2:$L9,"Tor",$B$2:$B9,"&lt;&gt;"&amp;$B9,$A$2:$A9,$A9)+COUNTIFS($L$2:$L9,"ET",$B$2:$B9,"&lt;&gt;"&amp;$B9,$A$2:$A9,$A9),COUNTIFS($L$2:$L9,"Tor",$B$2:$B9,"&lt;&gt;"&amp;$B9,$A$2:$A9,$A9)+COUNTIFS($L$2:$L9,"ET",$B$2:$B9,"&lt;&gt;"&amp;$B9,$A$2:$A9,$A9)&amp;":"&amp;COUNTIFS($L$2:$L9,"Tor",$B$2:$B9,$B9,$A$2:$A9,$A9)+COUNTIFS($L$2:$L9,"ET",$B$2:$B9,$B9,$A$2:$A9,$A9)),""),"")</f>
        <v/>
      </c>
      <c r="J9" s="18">
        <f>_xlfn.IFNA(IF(VLOOKUP($A9,Spiele!$A$2:$D$15,3,FALSE)=$B9,(COUNTIFS($L$1:$L8,"Tor",$B$1:$B8,$B9,$A$1:$A8,$A9)+COUNTIFS($L$1:$L8,"ET",$B$1:$B8,$B9,$A$1:$A8,$A9))-(COUNTIFS($L$1:$L8,"Tor",$B$1:$B8,"&lt;&gt;"&amp;$B9,$A$1:$A8,$A9)+COUNTIFS($L$1:$L8,"ET",$B$1:$B8,"&lt;&gt;"&amp;$B9,$A$1:$A8,$A9)),(COUNTIFS($L$1:$L8,"Tor",$B$1:$B8,$B9,$A$1:$A8,$A9)+COUNTIFS($L$1:$L8,"ET",$B$1:$B8,$B9,$A$1:$A8,$A9))-(COUNTIFS($L$1:$L8,"Tor",$B$1:$B8,"&lt;&gt;"&amp;$B9,$A$1:$A8,$A9)+COUNTIFS($L$1:$L8,"ET",$B$1:$B8,"&lt;&gt;"&amp;$B9,$A$1:$A8,$A9))),"")</f>
        <v>-2</v>
      </c>
      <c r="K9" s="3">
        <v>8</v>
      </c>
      <c r="L9" s="17" t="s">
        <v>19</v>
      </c>
      <c r="M9" s="2" t="s">
        <v>157</v>
      </c>
      <c r="N9" s="2" t="s">
        <v>158</v>
      </c>
      <c r="X9" s="2" t="s">
        <v>151</v>
      </c>
      <c r="Y9" s="17" t="s">
        <v>143</v>
      </c>
      <c r="Z9" s="14" t="s">
        <v>150</v>
      </c>
      <c r="AA9" s="14" t="s">
        <v>145</v>
      </c>
      <c r="AB9" s="18"/>
      <c r="AC9" s="13">
        <v>7.5</v>
      </c>
      <c r="AD9" s="13">
        <v>26</v>
      </c>
      <c r="AE9" s="19">
        <f t="shared" si="0"/>
        <v>26.282039494681534</v>
      </c>
      <c r="AF9" s="19">
        <f t="shared" si="1"/>
        <v>14.829087796289604</v>
      </c>
      <c r="AG9" s="2" t="s">
        <v>146</v>
      </c>
      <c r="AH9" s="13">
        <v>1.5</v>
      </c>
      <c r="AI9" s="13">
        <v>1.5</v>
      </c>
      <c r="AJ9" s="19">
        <f>IF(Abschlüsse[[#This Row],[Ergeb]]="ET","",SQRT(($AC9-$AH9)^2+($AD9-$AI9)^2))</f>
        <v>25.223996511258878</v>
      </c>
      <c r="AK9" s="3">
        <v>0</v>
      </c>
      <c r="AL9" s="13"/>
      <c r="AM9" s="13"/>
      <c r="AN9" s="19" t="str">
        <f t="shared" si="2"/>
        <v/>
      </c>
      <c r="AO9" s="3">
        <v>1</v>
      </c>
      <c r="AP9" s="13">
        <v>4.5</v>
      </c>
      <c r="AQ9" s="13">
        <v>18</v>
      </c>
      <c r="AR9" s="19">
        <f t="shared" si="3"/>
        <v>8.5440037453175304</v>
      </c>
      <c r="AS9" s="1"/>
    </row>
    <row r="10" spans="1:45" ht="25.05" customHeight="1">
      <c r="A10" s="3">
        <v>1</v>
      </c>
      <c r="B10" s="2" t="s">
        <v>8</v>
      </c>
      <c r="C10" s="17" t="str">
        <f>IF($A10="","",IF(VLOOKUP($A10,Spiele!$A$2:$D$15,3,FALSE)=$B10,"H","G"))</f>
        <v>H</v>
      </c>
      <c r="D10" s="17" t="str">
        <f>IF($B10="","",IF(VLOOKUP($A10,Spiele!$A$2:$F$15,3,FALSE)=$B10,VLOOKUP($A10,Spiele!$A$2:$F$15,4,FALSE),VLOOKUP($A10,Spiele!$A$2:$F$15,3,FALSE)))</f>
        <v>GWD</v>
      </c>
      <c r="E10" s="18">
        <f>IF(Abschlüsse[[#This Row],[Ergeb]]="ET",0,COUNTIFS($A$2:$A10,$A10,$B$2:$B10,$B10,$L$2:$L10,"&lt;&gt;ET"))</f>
        <v>6</v>
      </c>
      <c r="F10" s="11">
        <v>21</v>
      </c>
      <c r="G10" s="12">
        <v>1</v>
      </c>
      <c r="H10" s="18">
        <f>COUNTIFS('Rote Karten'!$A$2:$A$4,$A10,'Rote Karten'!$D$2:$D$4,"&lt;&gt;"&amp;$B10,'Rote Karten'!$B$2:$B$4,"&lt;"&amp;$F10,'Rote Karten'!$C$2:$C$4,"&lt;="&amp;$G10)-COUNTIFS('Rote Karten'!$A$2:$A$4,$A10,'Rote Karten'!$D$2:$D$4,$B10,'Rote Karten'!$B$2:$B$4,"&lt;"&amp;$F10,'Rote Karten'!$C$2:$C$4,"&lt;="&amp;$G10)</f>
        <v>0</v>
      </c>
      <c r="I10" s="17" t="str">
        <f>IF(OR($L10="Tor",$L10="ET"),_xlfn.IFNA(IF(VLOOKUP($A10,Spiele!$A$2:$C$15,3,FALSE)=$B10,COUNTIFS($L$2:$L10,"Tor",$B$2:$B10,$B10,$A$2:$A10,$A10)+COUNTIFS($L$2:$L10,"ET",$B$2:$B10,$B10,$A$2:$A10,$A10)&amp;":"&amp;COUNTIFS($L$2:$L10,"Tor",$B$2:$B10,"&lt;&gt;"&amp;$B10,$A$2:$A10,$A10)+COUNTIFS($L$2:$L10,"ET",$B$2:$B10,"&lt;&gt;"&amp;$B10,$A$2:$A10,$A10),COUNTIFS($L$2:$L10,"Tor",$B$2:$B10,"&lt;&gt;"&amp;$B10,$A$2:$A10,$A10)+COUNTIFS($L$2:$L10,"ET",$B$2:$B10,"&lt;&gt;"&amp;$B10,$A$2:$A10,$A10)&amp;":"&amp;COUNTIFS($L$2:$L10,"Tor",$B$2:$B10,$B10,$A$2:$A10,$A10)+COUNTIFS($L$2:$L10,"ET",$B$2:$B10,$B10,$A$2:$A10,$A10)),""),"")</f>
        <v/>
      </c>
      <c r="J10" s="18">
        <f>_xlfn.IFNA(IF(VLOOKUP($A10,Spiele!$A$2:$D$15,3,FALSE)=$B10,(COUNTIFS($L$1:$L9,"Tor",$B$1:$B9,$B10,$A$1:$A9,$A10)+COUNTIFS($L$1:$L9,"ET",$B$1:$B9,$B10,$A$1:$A9,$A10))-(COUNTIFS($L$1:$L9,"Tor",$B$1:$B9,"&lt;&gt;"&amp;$B10,$A$1:$A9,$A10)+COUNTIFS($L$1:$L9,"ET",$B$1:$B9,"&lt;&gt;"&amp;$B10,$A$1:$A9,$A10)),(COUNTIFS($L$1:$L9,"Tor",$B$1:$B9,$B10,$A$1:$A9,$A10)+COUNTIFS($L$1:$L9,"ET",$B$1:$B9,$B10,$A$1:$A9,$A10))-(COUNTIFS($L$1:$L9,"Tor",$B$1:$B9,"&lt;&gt;"&amp;$B10,$A$1:$A9,$A10)+COUNTIFS($L$1:$L9,"ET",$B$1:$B9,"&lt;&gt;"&amp;$B10,$A$1:$A9,$A10))),"")</f>
        <v>2</v>
      </c>
      <c r="K10" s="3">
        <v>9</v>
      </c>
      <c r="L10" s="17" t="s">
        <v>18</v>
      </c>
      <c r="M10" s="2" t="s">
        <v>159</v>
      </c>
      <c r="N10" s="2" t="s">
        <v>159</v>
      </c>
      <c r="O10" s="2">
        <v>13</v>
      </c>
      <c r="X10" s="2" t="s">
        <v>154</v>
      </c>
      <c r="Y10" s="17" t="s">
        <v>160</v>
      </c>
      <c r="Z10" s="14" t="s">
        <v>161</v>
      </c>
      <c r="AA10" s="14" t="s">
        <v>162</v>
      </c>
      <c r="AB10" s="18">
        <v>9</v>
      </c>
      <c r="AC10" s="13">
        <v>-17</v>
      </c>
      <c r="AD10" s="13">
        <v>6.5</v>
      </c>
      <c r="AE10" s="19">
        <f t="shared" si="0"/>
        <v>14.839326130252681</v>
      </c>
      <c r="AF10" s="19">
        <f t="shared" si="1"/>
        <v>8.5134600641829881</v>
      </c>
      <c r="AG10" s="2" t="s">
        <v>146</v>
      </c>
      <c r="AH10" s="13">
        <v>-3</v>
      </c>
      <c r="AI10" s="13">
        <v>1</v>
      </c>
      <c r="AJ10" s="19">
        <f>IF(Abschlüsse[[#This Row],[Ergeb]]="ET","",SQRT(($AC10-$AH10)^2+($AD10-$AI10)^2))</f>
        <v>15.041608956491324</v>
      </c>
      <c r="AK10" s="3">
        <v>2</v>
      </c>
      <c r="AL10" s="13">
        <v>-18</v>
      </c>
      <c r="AM10" s="13">
        <v>7.5</v>
      </c>
      <c r="AN10" s="19">
        <f t="shared" si="2"/>
        <v>1.4142135623730951</v>
      </c>
      <c r="AO10" s="3">
        <v>0</v>
      </c>
      <c r="AR10" s="19" t="str">
        <f t="shared" si="3"/>
        <v/>
      </c>
      <c r="AS10" s="1"/>
    </row>
    <row r="11" spans="1:45" ht="25.05" customHeight="1">
      <c r="A11" s="3">
        <v>1</v>
      </c>
      <c r="B11" s="2" t="s">
        <v>54</v>
      </c>
      <c r="C11" s="17" t="str">
        <f>IF($A11="","",IF(VLOOKUP($A11,Spiele!$A$2:$D$15,3,FALSE)=$B11,"H","G"))</f>
        <v>G</v>
      </c>
      <c r="D11" s="17" t="str">
        <f>IF($B11="","",IF(VLOOKUP($A11,Spiele!$A$2:$F$15,3,FALSE)=$B11,VLOOKUP($A11,Spiele!$A$2:$F$15,4,FALSE),VLOOKUP($A11,Spiele!$A$2:$F$15,3,FALSE)))</f>
        <v>FCN</v>
      </c>
      <c r="E11" s="18">
        <f>IF(Abschlüsse[[#This Row],[Ergeb]]="ET",0,COUNTIFS($A$2:$A11,$A11,$B$2:$B11,$B11,$L$2:$L11,"&lt;&gt;ET"))</f>
        <v>4</v>
      </c>
      <c r="F11" s="11">
        <v>24</v>
      </c>
      <c r="G11" s="12">
        <v>1</v>
      </c>
      <c r="H11" s="18">
        <f>COUNTIFS('Rote Karten'!$A$2:$A$4,$A11,'Rote Karten'!$D$2:$D$4,"&lt;&gt;"&amp;$B11,'Rote Karten'!$B$2:$B$4,"&lt;"&amp;$F11,'Rote Karten'!$C$2:$C$4,"&lt;="&amp;$G11)-COUNTIFS('Rote Karten'!$A$2:$A$4,$A11,'Rote Karten'!$D$2:$D$4,$B11,'Rote Karten'!$B$2:$B$4,"&lt;"&amp;$F11,'Rote Karten'!$C$2:$C$4,"&lt;="&amp;$G11)</f>
        <v>0</v>
      </c>
      <c r="I11" s="17" t="str">
        <f>IF(OR($L11="Tor",$L11="ET"),_xlfn.IFNA(IF(VLOOKUP($A11,Spiele!$A$2:$C$15,3,FALSE)=$B11,COUNTIFS($L$2:$L11,"Tor",$B$2:$B11,$B11,$A$2:$A11,$A11)+COUNTIFS($L$2:$L11,"ET",$B$2:$B11,$B11,$A$2:$A11,$A11)&amp;":"&amp;COUNTIFS($L$2:$L11,"Tor",$B$2:$B11,"&lt;&gt;"&amp;$B11,$A$2:$A11,$A11)+COUNTIFS($L$2:$L11,"ET",$B$2:$B11,"&lt;&gt;"&amp;$B11,$A$2:$A11,$A11),COUNTIFS($L$2:$L11,"Tor",$B$2:$B11,"&lt;&gt;"&amp;$B11,$A$2:$A11,$A11)+COUNTIFS($L$2:$L11,"ET",$B$2:$B11,"&lt;&gt;"&amp;$B11,$A$2:$A11,$A11)&amp;":"&amp;COUNTIFS($L$2:$L11,"Tor",$B$2:$B11,$B11,$A$2:$A11,$A11)+COUNTIFS($L$2:$L11,"ET",$B$2:$B11,$B11,$A$2:$A11,$A11)),""),"")</f>
        <v/>
      </c>
      <c r="J11" s="18">
        <f>_xlfn.IFNA(IF(VLOOKUP($A11,Spiele!$A$2:$D$15,3,FALSE)=$B11,(COUNTIFS($L$1:$L10,"Tor",$B$1:$B10,$B11,$A$1:$A10,$A11)+COUNTIFS($L$1:$L10,"ET",$B$1:$B10,$B11,$A$1:$A10,$A11))-(COUNTIFS($L$1:$L10,"Tor",$B$1:$B10,"&lt;&gt;"&amp;$B11,$A$1:$A10,$A11)+COUNTIFS($L$1:$L10,"ET",$B$1:$B10,"&lt;&gt;"&amp;$B11,$A$1:$A10,$A11)),(COUNTIFS($L$1:$L10,"Tor",$B$1:$B10,$B11,$A$1:$A10,$A11)+COUNTIFS($L$1:$L10,"ET",$B$1:$B10,$B11,$A$1:$A10,$A11))-(COUNTIFS($L$1:$L10,"Tor",$B$1:$B10,"&lt;&gt;"&amp;$B11,$A$1:$A10,$A11)+COUNTIFS($L$1:$L10,"ET",$B$1:$B10,"&lt;&gt;"&amp;$B11,$A$1:$A10,$A11))),"")</f>
        <v>-2</v>
      </c>
      <c r="K11" s="3">
        <v>10</v>
      </c>
      <c r="L11" s="17" t="s">
        <v>18</v>
      </c>
      <c r="M11" s="2" t="s">
        <v>163</v>
      </c>
      <c r="N11" s="2" t="s">
        <v>164</v>
      </c>
      <c r="X11" s="2" t="s">
        <v>151</v>
      </c>
      <c r="Y11" s="17" t="s">
        <v>149</v>
      </c>
      <c r="Z11" s="14" t="s">
        <v>150</v>
      </c>
      <c r="AA11" s="14" t="s">
        <v>145</v>
      </c>
      <c r="AB11" s="18"/>
      <c r="AC11" s="13">
        <v>-5.5</v>
      </c>
      <c r="AD11" s="13">
        <v>15.5</v>
      </c>
      <c r="AE11" s="19">
        <f t="shared" si="0"/>
        <v>15.608830833858121</v>
      </c>
      <c r="AF11" s="19">
        <f t="shared" si="1"/>
        <v>23.81183579249906</v>
      </c>
      <c r="AG11" s="2" t="s">
        <v>146</v>
      </c>
      <c r="AH11" s="13">
        <v>-3.5</v>
      </c>
      <c r="AI11" s="13">
        <v>8</v>
      </c>
      <c r="AJ11" s="19">
        <f>IF(Abschlüsse[[#This Row],[Ergeb]]="ET","",SQRT(($AC11-$AH11)^2+($AD11-$AI11)^2))</f>
        <v>7.7620873481300121</v>
      </c>
      <c r="AK11" s="3">
        <v>2</v>
      </c>
      <c r="AL11" s="13">
        <v>-4.5</v>
      </c>
      <c r="AM11" s="13">
        <v>17.5</v>
      </c>
      <c r="AN11" s="19">
        <f t="shared" si="2"/>
        <v>2.2360679774997898</v>
      </c>
      <c r="AO11" s="3">
        <v>0</v>
      </c>
      <c r="AR11" s="19" t="str">
        <f t="shared" si="3"/>
        <v/>
      </c>
      <c r="AS11" s="1"/>
    </row>
    <row r="12" spans="1:45" ht="25.05" customHeight="1">
      <c r="A12" s="3">
        <v>1</v>
      </c>
      <c r="B12" s="2" t="s">
        <v>54</v>
      </c>
      <c r="C12" s="17" t="str">
        <f>IF($A12="","",IF(VLOOKUP($A12,Spiele!$A$2:$D$15,3,FALSE)=$B12,"H","G"))</f>
        <v>G</v>
      </c>
      <c r="D12" s="17" t="str">
        <f>IF($B12="","",IF(VLOOKUP($A12,Spiele!$A$2:$F$15,3,FALSE)=$B12,VLOOKUP($A12,Spiele!$A$2:$F$15,4,FALSE),VLOOKUP($A12,Spiele!$A$2:$F$15,3,FALSE)))</f>
        <v>FCN</v>
      </c>
      <c r="E12" s="18">
        <f>IF(Abschlüsse[[#This Row],[Ergeb]]="ET",0,COUNTIFS($A$2:$A12,$A12,$B$2:$B12,$B12,$L$2:$L12,"&lt;&gt;ET"))</f>
        <v>5</v>
      </c>
      <c r="F12" s="11">
        <v>24</v>
      </c>
      <c r="G12" s="12">
        <v>1</v>
      </c>
      <c r="H12" s="18">
        <f>COUNTIFS('Rote Karten'!$A$2:$A$4,$A12,'Rote Karten'!$D$2:$D$4,"&lt;&gt;"&amp;$B12,'Rote Karten'!$B$2:$B$4,"&lt;"&amp;$F12,'Rote Karten'!$C$2:$C$4,"&lt;="&amp;$G12)-COUNTIFS('Rote Karten'!$A$2:$A$4,$A12,'Rote Karten'!$D$2:$D$4,$B12,'Rote Karten'!$B$2:$B$4,"&lt;"&amp;$F12,'Rote Karten'!$C$2:$C$4,"&lt;="&amp;$G12)</f>
        <v>0</v>
      </c>
      <c r="I12" s="17" t="str">
        <f>IF(OR($L12="Tor",$L12="ET"),_xlfn.IFNA(IF(VLOOKUP($A12,Spiele!$A$2:$C$15,3,FALSE)=$B12,COUNTIFS($L$2:$L12,"Tor",$B$2:$B12,$B12,$A$2:$A12,$A12)+COUNTIFS($L$2:$L12,"ET",$B$2:$B12,$B12,$A$2:$A12,$A12)&amp;":"&amp;COUNTIFS($L$2:$L12,"Tor",$B$2:$B12,"&lt;&gt;"&amp;$B12,$A$2:$A12,$A12)+COUNTIFS($L$2:$L12,"ET",$B$2:$B12,"&lt;&gt;"&amp;$B12,$A$2:$A12,$A12),COUNTIFS($L$2:$L12,"Tor",$B$2:$B12,"&lt;&gt;"&amp;$B12,$A$2:$A12,$A12)+COUNTIFS($L$2:$L12,"ET",$B$2:$B12,"&lt;&gt;"&amp;$B12,$A$2:$A12,$A12)&amp;":"&amp;COUNTIFS($L$2:$L12,"Tor",$B$2:$B12,$B12,$A$2:$A12,$A12)+COUNTIFS($L$2:$L12,"ET",$B$2:$B12,$B12,$A$2:$A12,$A12)),""),"")</f>
        <v/>
      </c>
      <c r="J12" s="18">
        <f>_xlfn.IFNA(IF(VLOOKUP($A12,Spiele!$A$2:$D$15,3,FALSE)=$B12,(COUNTIFS($L$1:$L11,"Tor",$B$1:$B11,$B12,$A$1:$A11,$A12)+COUNTIFS($L$1:$L11,"ET",$B$1:$B11,$B12,$A$1:$A11,$A12))-(COUNTIFS($L$1:$L11,"Tor",$B$1:$B11,"&lt;&gt;"&amp;$B12,$A$1:$A11,$A12)+COUNTIFS($L$1:$L11,"ET",$B$1:$B11,"&lt;&gt;"&amp;$B12,$A$1:$A11,$A12)),(COUNTIFS($L$1:$L11,"Tor",$B$1:$B11,$B12,$A$1:$A11,$A12)+COUNTIFS($L$1:$L11,"ET",$B$1:$B11,$B12,$A$1:$A11,$A12))-(COUNTIFS($L$1:$L11,"Tor",$B$1:$B11,"&lt;&gt;"&amp;$B12,$A$1:$A11,$A12)+COUNTIFS($L$1:$L11,"ET",$B$1:$B11,"&lt;&gt;"&amp;$B12,$A$1:$A11,$A12))),"")</f>
        <v>-2</v>
      </c>
      <c r="K12" s="3">
        <v>10</v>
      </c>
      <c r="L12" s="17" t="s">
        <v>46</v>
      </c>
      <c r="M12" s="2" t="s">
        <v>163</v>
      </c>
      <c r="N12" s="2" t="s">
        <v>165</v>
      </c>
      <c r="X12" s="2" t="s">
        <v>141</v>
      </c>
      <c r="Y12" s="17" t="s">
        <v>143</v>
      </c>
      <c r="Z12" s="14" t="s">
        <v>150</v>
      </c>
      <c r="AA12" s="14" t="s">
        <v>156</v>
      </c>
      <c r="AB12" s="18"/>
      <c r="AC12" s="13">
        <v>6.5</v>
      </c>
      <c r="AD12" s="13">
        <v>12</v>
      </c>
      <c r="AE12" s="19">
        <f t="shared" si="0"/>
        <v>12.331488150259887</v>
      </c>
      <c r="AF12" s="19">
        <f t="shared" si="1"/>
        <v>26.938463956503323</v>
      </c>
      <c r="AG12" s="2" t="s">
        <v>166</v>
      </c>
      <c r="AJ12" s="19">
        <f>IF(Abschlüsse[[#This Row],[Ergeb]]="ET","",SQRT(($AC12-$AH12)^2+($AD12-$AI12)^2))</f>
        <v>13.647344063956181</v>
      </c>
      <c r="AK12" s="3">
        <v>1</v>
      </c>
      <c r="AL12" s="13">
        <v>4</v>
      </c>
      <c r="AM12" s="13">
        <v>11.5</v>
      </c>
      <c r="AN12" s="19">
        <f t="shared" si="2"/>
        <v>2.5495097567963922</v>
      </c>
      <c r="AO12" s="3">
        <v>1</v>
      </c>
      <c r="AP12" s="13">
        <v>0</v>
      </c>
      <c r="AQ12" s="13">
        <v>7</v>
      </c>
      <c r="AR12" s="19">
        <f t="shared" si="3"/>
        <v>8.2006097334283634</v>
      </c>
      <c r="AS12" s="1"/>
    </row>
    <row r="13" spans="1:45" ht="25.05" customHeight="1">
      <c r="A13" s="3">
        <v>1</v>
      </c>
      <c r="B13" s="2" t="s">
        <v>54</v>
      </c>
      <c r="C13" s="17" t="str">
        <f>IF($A13="","",IF(VLOOKUP($A13,Spiele!$A$2:$D$15,3,FALSE)=$B13,"H","G"))</f>
        <v>G</v>
      </c>
      <c r="D13" s="17" t="str">
        <f>IF($B13="","",IF(VLOOKUP($A13,Spiele!$A$2:$F$15,3,FALSE)=$B13,VLOOKUP($A13,Spiele!$A$2:$F$15,4,FALSE),VLOOKUP($A13,Spiele!$A$2:$F$15,3,FALSE)))</f>
        <v>FCN</v>
      </c>
      <c r="E13" s="18">
        <f>IF(Abschlüsse[[#This Row],[Ergeb]]="ET",0,COUNTIFS($A$2:$A13,$A13,$B$2:$B13,$B13,$L$2:$L13,"&lt;&gt;ET"))</f>
        <v>6</v>
      </c>
      <c r="F13" s="11">
        <v>27</v>
      </c>
      <c r="G13" s="12">
        <v>1</v>
      </c>
      <c r="H13" s="18">
        <f>COUNTIFS('Rote Karten'!$A$2:$A$4,$A13,'Rote Karten'!$D$2:$D$4,"&lt;&gt;"&amp;$B13,'Rote Karten'!$B$2:$B$4,"&lt;"&amp;$F13,'Rote Karten'!$C$2:$C$4,"&lt;="&amp;$G13)-COUNTIFS('Rote Karten'!$A$2:$A$4,$A13,'Rote Karten'!$D$2:$D$4,$B13,'Rote Karten'!$B$2:$B$4,"&lt;"&amp;$F13,'Rote Karten'!$C$2:$C$4,"&lt;="&amp;$G13)</f>
        <v>0</v>
      </c>
      <c r="I13" s="17" t="str">
        <f>IF(OR($L13="Tor",$L13="ET"),_xlfn.IFNA(IF(VLOOKUP($A13,Spiele!$A$2:$C$15,3,FALSE)=$B13,COUNTIFS($L$2:$L13,"Tor",$B$2:$B13,$B13,$A$2:$A13,$A13)+COUNTIFS($L$2:$L13,"ET",$B$2:$B13,$B13,$A$2:$A13,$A13)&amp;":"&amp;COUNTIFS($L$2:$L13,"Tor",$B$2:$B13,"&lt;&gt;"&amp;$B13,$A$2:$A13,$A13)+COUNTIFS($L$2:$L13,"ET",$B$2:$B13,"&lt;&gt;"&amp;$B13,$A$2:$A13,$A13),COUNTIFS($L$2:$L13,"Tor",$B$2:$B13,"&lt;&gt;"&amp;$B13,$A$2:$A13,$A13)+COUNTIFS($L$2:$L13,"ET",$B$2:$B13,"&lt;&gt;"&amp;$B13,$A$2:$A13,$A13)&amp;":"&amp;COUNTIFS($L$2:$L13,"Tor",$B$2:$B13,$B13,$A$2:$A13,$A13)+COUNTIFS($L$2:$L13,"ET",$B$2:$B13,$B13,$A$2:$A13,$A13)),""),"")</f>
        <v/>
      </c>
      <c r="J13" s="18">
        <f>_xlfn.IFNA(IF(VLOOKUP($A13,Spiele!$A$2:$D$15,3,FALSE)=$B13,(COUNTIFS($L$1:$L12,"Tor",$B$1:$B12,$B13,$A$1:$A12,$A13)+COUNTIFS($L$1:$L12,"ET",$B$1:$B12,$B13,$A$1:$A12,$A13))-(COUNTIFS($L$1:$L12,"Tor",$B$1:$B12,"&lt;&gt;"&amp;$B13,$A$1:$A12,$A13)+COUNTIFS($L$1:$L12,"ET",$B$1:$B12,"&lt;&gt;"&amp;$B13,$A$1:$A12,$A13)),(COUNTIFS($L$1:$L12,"Tor",$B$1:$B12,$B13,$A$1:$A12,$A13)+COUNTIFS($L$1:$L12,"ET",$B$1:$B12,$B13,$A$1:$A12,$A13))-(COUNTIFS($L$1:$L12,"Tor",$B$1:$B12,"&lt;&gt;"&amp;$B13,$A$1:$A12,$A13)+COUNTIFS($L$1:$L12,"ET",$B$1:$B12,"&lt;&gt;"&amp;$B13,$A$1:$A12,$A13))),"")</f>
        <v>-2</v>
      </c>
      <c r="K13" s="3">
        <v>11</v>
      </c>
      <c r="L13" s="17" t="s">
        <v>19</v>
      </c>
      <c r="M13" s="2" t="s">
        <v>140</v>
      </c>
      <c r="N13" s="2" t="s">
        <v>3</v>
      </c>
      <c r="X13" s="2" t="s">
        <v>151</v>
      </c>
      <c r="Y13" s="17" t="s">
        <v>149</v>
      </c>
      <c r="Z13" s="14" t="s">
        <v>150</v>
      </c>
      <c r="AA13" s="14" t="s">
        <v>156</v>
      </c>
      <c r="AB13" s="18"/>
      <c r="AC13" s="13">
        <v>4</v>
      </c>
      <c r="AD13" s="13">
        <v>33</v>
      </c>
      <c r="AE13" s="19">
        <f t="shared" si="0"/>
        <v>33.001751468672083</v>
      </c>
      <c r="AF13" s="19">
        <f t="shared" si="1"/>
        <v>12.477841871937917</v>
      </c>
      <c r="AG13" s="2" t="s">
        <v>146</v>
      </c>
      <c r="AH13" s="13">
        <v>0.5</v>
      </c>
      <c r="AI13" s="13">
        <v>2</v>
      </c>
      <c r="AJ13" s="19">
        <f>IF(Abschlüsse[[#This Row],[Ergeb]]="ET","",SQRT(($AC13-$AH13)^2+($AD13-$AI13)^2))</f>
        <v>31.196954979612993</v>
      </c>
      <c r="AK13" s="3">
        <v>1</v>
      </c>
      <c r="AL13" s="13">
        <v>6.5</v>
      </c>
      <c r="AM13" s="13">
        <v>32.5</v>
      </c>
      <c r="AN13" s="19">
        <f t="shared" si="2"/>
        <v>2.5495097567963922</v>
      </c>
      <c r="AO13" s="3">
        <v>3</v>
      </c>
      <c r="AP13" s="13">
        <v>3.5</v>
      </c>
      <c r="AQ13" s="13">
        <v>23</v>
      </c>
      <c r="AR13" s="19">
        <f t="shared" si="3"/>
        <v>10.012492197250394</v>
      </c>
      <c r="AS13" s="1"/>
    </row>
    <row r="14" spans="1:45" ht="25.05" customHeight="1">
      <c r="A14" s="3">
        <v>1</v>
      </c>
      <c r="B14" s="2" t="s">
        <v>8</v>
      </c>
      <c r="C14" s="17" t="str">
        <f>IF($A14="","",IF(VLOOKUP($A14,Spiele!$A$2:$D$15,3,FALSE)=$B14,"H","G"))</f>
        <v>H</v>
      </c>
      <c r="D14" s="17" t="str">
        <f>IF($B14="","",IF(VLOOKUP($A14,Spiele!$A$2:$F$15,3,FALSE)=$B14,VLOOKUP($A14,Spiele!$A$2:$F$15,4,FALSE),VLOOKUP($A14,Spiele!$A$2:$F$15,3,FALSE)))</f>
        <v>GWD</v>
      </c>
      <c r="E14" s="18">
        <f>IF(Abschlüsse[[#This Row],[Ergeb]]="ET",0,COUNTIFS($A$2:$A14,$A14,$B$2:$B14,$B14,$L$2:$L14,"&lt;&gt;ET"))</f>
        <v>7</v>
      </c>
      <c r="F14" s="11">
        <v>40</v>
      </c>
      <c r="G14" s="12">
        <v>1</v>
      </c>
      <c r="H14" s="18">
        <f>COUNTIFS('Rote Karten'!$A$2:$A$4,$A14,'Rote Karten'!$D$2:$D$4,"&lt;&gt;"&amp;$B14,'Rote Karten'!$B$2:$B$4,"&lt;"&amp;$F14,'Rote Karten'!$C$2:$C$4,"&lt;="&amp;$G14)-COUNTIFS('Rote Karten'!$A$2:$A$4,$A14,'Rote Karten'!$D$2:$D$4,$B14,'Rote Karten'!$B$2:$B$4,"&lt;"&amp;$F14,'Rote Karten'!$C$2:$C$4,"&lt;="&amp;$G14)</f>
        <v>0</v>
      </c>
      <c r="I14" s="17" t="str">
        <f>IF(OR($L14="Tor",$L14="ET"),_xlfn.IFNA(IF(VLOOKUP($A14,Spiele!$A$2:$C$15,3,FALSE)=$B14,COUNTIFS($L$2:$L14,"Tor",$B$2:$B14,$B14,$A$2:$A14,$A14)+COUNTIFS($L$2:$L14,"ET",$B$2:$B14,$B14,$A$2:$A14,$A14)&amp;":"&amp;COUNTIFS($L$2:$L14,"Tor",$B$2:$B14,"&lt;&gt;"&amp;$B14,$A$2:$A14,$A14)+COUNTIFS($L$2:$L14,"ET",$B$2:$B14,"&lt;&gt;"&amp;$B14,$A$2:$A14,$A14),COUNTIFS($L$2:$L14,"Tor",$B$2:$B14,"&lt;&gt;"&amp;$B14,$A$2:$A14,$A14)+COUNTIFS($L$2:$L14,"ET",$B$2:$B14,"&lt;&gt;"&amp;$B14,$A$2:$A14,$A14)&amp;":"&amp;COUNTIFS($L$2:$L14,"Tor",$B$2:$B14,$B14,$A$2:$A14,$A14)+COUNTIFS($L$2:$L14,"ET",$B$2:$B14,$B14,$A$2:$A14,$A14)),""),"")</f>
        <v/>
      </c>
      <c r="J14" s="18">
        <f>_xlfn.IFNA(IF(VLOOKUP($A14,Spiele!$A$2:$D$15,3,FALSE)=$B14,(COUNTIFS($L$1:$L13,"Tor",$B$1:$B13,$B14,$A$1:$A13,$A14)+COUNTIFS($L$1:$L13,"ET",$B$1:$B13,$B14,$A$1:$A13,$A14))-(COUNTIFS($L$1:$L13,"Tor",$B$1:$B13,"&lt;&gt;"&amp;$B14,$A$1:$A13,$A14)+COUNTIFS($L$1:$L13,"ET",$B$1:$B13,"&lt;&gt;"&amp;$B14,$A$1:$A13,$A14)),(COUNTIFS($L$1:$L13,"Tor",$B$1:$B13,$B14,$A$1:$A13,$A14)+COUNTIFS($L$1:$L13,"ET",$B$1:$B13,$B14,$A$1:$A13,$A14))-(COUNTIFS($L$1:$L13,"Tor",$B$1:$B13,"&lt;&gt;"&amp;$B14,$A$1:$A13,$A14)+COUNTIFS($L$1:$L13,"ET",$B$1:$B13,"&lt;&gt;"&amp;$B14,$A$1:$A13,$A14))),"")</f>
        <v>2</v>
      </c>
      <c r="K14" s="3">
        <v>12</v>
      </c>
      <c r="L14" s="17" t="s">
        <v>18</v>
      </c>
      <c r="M14" s="2" t="s">
        <v>147</v>
      </c>
      <c r="N14" s="2" t="s">
        <v>148</v>
      </c>
      <c r="O14" s="2">
        <v>26</v>
      </c>
      <c r="P14" s="2">
        <v>23</v>
      </c>
      <c r="X14" s="2" t="s">
        <v>151</v>
      </c>
      <c r="Y14" s="17" t="s">
        <v>149</v>
      </c>
      <c r="Z14" s="14" t="s">
        <v>150</v>
      </c>
      <c r="AA14" s="14" t="s">
        <v>145</v>
      </c>
      <c r="AB14" s="18">
        <v>13</v>
      </c>
      <c r="AC14" s="13">
        <v>-21.5</v>
      </c>
      <c r="AD14" s="13">
        <v>11.5</v>
      </c>
      <c r="AE14" s="19">
        <f t="shared" si="0"/>
        <v>21.225352765030784</v>
      </c>
      <c r="AF14" s="19">
        <f t="shared" si="1"/>
        <v>8.2426483313961914</v>
      </c>
      <c r="AG14" s="2" t="s">
        <v>146</v>
      </c>
      <c r="AH14" s="13">
        <v>-2</v>
      </c>
      <c r="AI14" s="13">
        <v>2</v>
      </c>
      <c r="AJ14" s="19">
        <f>IF(Abschlüsse[[#This Row],[Ergeb]]="ET","",SQRT(($AC14-$AH14)^2+($AD14-$AI14)^2))</f>
        <v>21.691011963483863</v>
      </c>
      <c r="AK14" s="3">
        <v>1</v>
      </c>
      <c r="AL14" s="13">
        <v>-20.5</v>
      </c>
      <c r="AM14" s="13">
        <v>12.5</v>
      </c>
      <c r="AN14" s="19">
        <f t="shared" si="2"/>
        <v>1.4142135623730951</v>
      </c>
      <c r="AO14" s="3">
        <v>0</v>
      </c>
      <c r="AR14" s="19" t="str">
        <f t="shared" si="3"/>
        <v/>
      </c>
      <c r="AS14" s="1"/>
    </row>
    <row r="15" spans="1:45" ht="25.05" customHeight="1">
      <c r="A15" s="3">
        <v>1</v>
      </c>
      <c r="B15" s="2" t="s">
        <v>8</v>
      </c>
      <c r="C15" s="17" t="str">
        <f>IF($A15="","",IF(VLOOKUP($A15,Spiele!$A$2:$D$15,3,FALSE)=$B15,"H","G"))</f>
        <v>H</v>
      </c>
      <c r="D15" s="17" t="str">
        <f>IF($B15="","",IF(VLOOKUP($A15,Spiele!$A$2:$F$15,3,FALSE)=$B15,VLOOKUP($A15,Spiele!$A$2:$F$15,4,FALSE),VLOOKUP($A15,Spiele!$A$2:$F$15,3,FALSE)))</f>
        <v>GWD</v>
      </c>
      <c r="E15" s="18">
        <f>IF(Abschlüsse[[#This Row],[Ergeb]]="ET",0,COUNTIFS($A$2:$A15,$A15,$B$2:$B15,$B15,$L$2:$L15,"&lt;&gt;ET"))</f>
        <v>8</v>
      </c>
      <c r="F15" s="11">
        <v>40</v>
      </c>
      <c r="G15" s="12">
        <v>1</v>
      </c>
      <c r="H15" s="18">
        <f>COUNTIFS('Rote Karten'!$A$2:$A$4,$A15,'Rote Karten'!$D$2:$D$4,"&lt;&gt;"&amp;$B15,'Rote Karten'!$B$2:$B$4,"&lt;"&amp;$F15,'Rote Karten'!$C$2:$C$4,"&lt;="&amp;$G15)-COUNTIFS('Rote Karten'!$A$2:$A$4,$A15,'Rote Karten'!$D$2:$D$4,$B15,'Rote Karten'!$B$2:$B$4,"&lt;"&amp;$F15,'Rote Karten'!$C$2:$C$4,"&lt;="&amp;$G15)</f>
        <v>0</v>
      </c>
      <c r="I15" s="17" t="str">
        <f>IF(OR($L15="Tor",$L15="ET"),_xlfn.IFNA(IF(VLOOKUP($A15,Spiele!$A$2:$C$15,3,FALSE)=$B15,COUNTIFS($L$2:$L15,"Tor",$B$2:$B15,$B15,$A$2:$A15,$A15)+COUNTIFS($L$2:$L15,"ET",$B$2:$B15,$B15,$A$2:$A15,$A15)&amp;":"&amp;COUNTIFS($L$2:$L15,"Tor",$B$2:$B15,"&lt;&gt;"&amp;$B15,$A$2:$A15,$A15)+COUNTIFS($L$2:$L15,"ET",$B$2:$B15,"&lt;&gt;"&amp;$B15,$A$2:$A15,$A15),COUNTIFS($L$2:$L15,"Tor",$B$2:$B15,"&lt;&gt;"&amp;$B15,$A$2:$A15,$A15)+COUNTIFS($L$2:$L15,"ET",$B$2:$B15,"&lt;&gt;"&amp;$B15,$A$2:$A15,$A15)&amp;":"&amp;COUNTIFS($L$2:$L15,"Tor",$B$2:$B15,$B15,$A$2:$A15,$A15)+COUNTIFS($L$2:$L15,"ET",$B$2:$B15,$B15,$A$2:$A15,$A15)),""),"")</f>
        <v/>
      </c>
      <c r="J15" s="18">
        <f>_xlfn.IFNA(IF(VLOOKUP($A15,Spiele!$A$2:$D$15,3,FALSE)=$B15,(COUNTIFS($L$1:$L14,"Tor",$B$1:$B14,$B15,$A$1:$A14,$A15)+COUNTIFS($L$1:$L14,"ET",$B$1:$B14,$B15,$A$1:$A14,$A15))-(COUNTIFS($L$1:$L14,"Tor",$B$1:$B14,"&lt;&gt;"&amp;$B15,$A$1:$A14,$A15)+COUNTIFS($L$1:$L14,"ET",$B$1:$B14,"&lt;&gt;"&amp;$B15,$A$1:$A14,$A15)),(COUNTIFS($L$1:$L14,"Tor",$B$1:$B14,$B15,$A$1:$A14,$A15)+COUNTIFS($L$1:$L14,"ET",$B$1:$B14,$B15,$A$1:$A14,$A15))-(COUNTIFS($L$1:$L14,"Tor",$B$1:$B14,"&lt;&gt;"&amp;$B15,$A$1:$A14,$A15)+COUNTIFS($L$1:$L14,"ET",$B$1:$B14,"&lt;&gt;"&amp;$B15,$A$1:$A14,$A15))),"")</f>
        <v>2</v>
      </c>
      <c r="K15" s="3">
        <v>12</v>
      </c>
      <c r="L15" s="17" t="s">
        <v>20</v>
      </c>
      <c r="M15" s="2" t="s">
        <v>147</v>
      </c>
      <c r="N15" s="2" t="s">
        <v>165</v>
      </c>
      <c r="X15" s="2" t="s">
        <v>141</v>
      </c>
      <c r="Y15" s="17" t="s">
        <v>143</v>
      </c>
      <c r="Z15" s="14" t="s">
        <v>150</v>
      </c>
      <c r="AA15" s="14" t="s">
        <v>145</v>
      </c>
      <c r="AB15" s="18">
        <v>11</v>
      </c>
      <c r="AC15" s="13">
        <v>11</v>
      </c>
      <c r="AD15" s="13">
        <v>10</v>
      </c>
      <c r="AE15" s="19">
        <f t="shared" si="0"/>
        <v>12.404660414537755</v>
      </c>
      <c r="AF15" s="19">
        <f t="shared" si="1"/>
        <v>19.422328393009231</v>
      </c>
      <c r="AG15" s="2" t="s">
        <v>146</v>
      </c>
      <c r="AH15" s="13">
        <v>1.5</v>
      </c>
      <c r="AI15" s="13">
        <v>2.5</v>
      </c>
      <c r="AJ15" s="19">
        <f>IF(Abschlüsse[[#This Row],[Ergeb]]="ET","",SQRT(($AC15-$AH15)^2+($AD15-$AI15)^2))</f>
        <v>12.103718436910205</v>
      </c>
      <c r="AK15" s="3">
        <v>0</v>
      </c>
      <c r="AL15" s="13"/>
      <c r="AM15" s="13"/>
      <c r="AN15" s="19" t="str">
        <f t="shared" si="2"/>
        <v/>
      </c>
      <c r="AO15" s="3">
        <v>2</v>
      </c>
      <c r="AP15" s="13">
        <v>8</v>
      </c>
      <c r="AQ15" s="13">
        <v>6.5</v>
      </c>
      <c r="AR15" s="19">
        <f t="shared" si="3"/>
        <v>4.6097722286464435</v>
      </c>
      <c r="AS15" s="1"/>
    </row>
    <row r="16" spans="1:45" ht="25.05" customHeight="1">
      <c r="A16" s="3">
        <v>1</v>
      </c>
      <c r="B16" s="2" t="s">
        <v>8</v>
      </c>
      <c r="C16" s="17" t="str">
        <f>IF($A16="","",IF(VLOOKUP($A16,Spiele!$A$2:$D$15,3,FALSE)=$B16,"H","G"))</f>
        <v>H</v>
      </c>
      <c r="D16" s="17" t="str">
        <f>IF($B16="","",IF(VLOOKUP($A16,Spiele!$A$2:$F$15,3,FALSE)=$B16,VLOOKUP($A16,Spiele!$A$2:$F$15,4,FALSE),VLOOKUP($A16,Spiele!$A$2:$F$15,3,FALSE)))</f>
        <v>GWD</v>
      </c>
      <c r="E16" s="18">
        <f>IF(Abschlüsse[[#This Row],[Ergeb]]="ET",0,COUNTIFS($A$2:$A16,$A16,$B$2:$B16,$B16,$L$2:$L16,"&lt;&gt;ET"))</f>
        <v>9</v>
      </c>
      <c r="F16" s="11">
        <v>41</v>
      </c>
      <c r="G16" s="12">
        <v>2</v>
      </c>
      <c r="H16" s="18">
        <f>COUNTIFS('Rote Karten'!$A$2:$A$4,$A16,'Rote Karten'!$D$2:$D$4,"&lt;&gt;"&amp;$B16,'Rote Karten'!$B$2:$B$4,"&lt;"&amp;$F16,'Rote Karten'!$C$2:$C$4,"&lt;="&amp;$G16)-COUNTIFS('Rote Karten'!$A$2:$A$4,$A16,'Rote Karten'!$D$2:$D$4,$B16,'Rote Karten'!$B$2:$B$4,"&lt;"&amp;$F16,'Rote Karten'!$C$2:$C$4,"&lt;="&amp;$G16)</f>
        <v>0</v>
      </c>
      <c r="I16" s="17" t="str">
        <f>IF(OR($L16="Tor",$L16="ET"),_xlfn.IFNA(IF(VLOOKUP($A16,Spiele!$A$2:$C$15,3,FALSE)=$B16,COUNTIFS($L$2:$L16,"Tor",$B$2:$B16,$B16,$A$2:$A16,$A16)+COUNTIFS($L$2:$L16,"ET",$B$2:$B16,$B16,$A$2:$A16,$A16)&amp;":"&amp;COUNTIFS($L$2:$L16,"Tor",$B$2:$B16,"&lt;&gt;"&amp;$B16,$A$2:$A16,$A16)+COUNTIFS($L$2:$L16,"ET",$B$2:$B16,"&lt;&gt;"&amp;$B16,$A$2:$A16,$A16),COUNTIFS($L$2:$L16,"Tor",$B$2:$B16,"&lt;&gt;"&amp;$B16,$A$2:$A16,$A16)+COUNTIFS($L$2:$L16,"ET",$B$2:$B16,"&lt;&gt;"&amp;$B16,$A$2:$A16,$A16)&amp;":"&amp;COUNTIFS($L$2:$L16,"Tor",$B$2:$B16,$B16,$A$2:$A16,$A16)+COUNTIFS($L$2:$L16,"ET",$B$2:$B16,$B16,$A$2:$A16,$A16)),""),"")</f>
        <v/>
      </c>
      <c r="J16" s="18">
        <f>_xlfn.IFNA(IF(VLOOKUP($A16,Spiele!$A$2:$D$15,3,FALSE)=$B16,(COUNTIFS($L$1:$L15,"Tor",$B$1:$B15,$B16,$A$1:$A15,$A16)+COUNTIFS($L$1:$L15,"ET",$B$1:$B15,$B16,$A$1:$A15,$A16))-(COUNTIFS($L$1:$L15,"Tor",$B$1:$B15,"&lt;&gt;"&amp;$B16,$A$1:$A15,$A16)+COUNTIFS($L$1:$L15,"ET",$B$1:$B15,"&lt;&gt;"&amp;$B16,$A$1:$A15,$A16)),(COUNTIFS($L$1:$L15,"Tor",$B$1:$B15,$B16,$A$1:$A15,$A16)+COUNTIFS($L$1:$L15,"ET",$B$1:$B15,$B16,$A$1:$A15,$A16))-(COUNTIFS($L$1:$L15,"Tor",$B$1:$B15,"&lt;&gt;"&amp;$B16,$A$1:$A15,$A16)+COUNTIFS($L$1:$L15,"ET",$B$1:$B15,"&lt;&gt;"&amp;$B16,$A$1:$A15,$A16))),"")</f>
        <v>2</v>
      </c>
      <c r="K16" s="3">
        <v>13</v>
      </c>
      <c r="L16" s="17" t="s">
        <v>20</v>
      </c>
      <c r="M16" s="2" t="s">
        <v>163</v>
      </c>
      <c r="N16" s="2" t="s">
        <v>158</v>
      </c>
      <c r="O16" s="2">
        <v>27</v>
      </c>
      <c r="P16" s="2">
        <v>9</v>
      </c>
      <c r="Q16" s="2">
        <v>6</v>
      </c>
      <c r="X16" s="2" t="s">
        <v>151</v>
      </c>
      <c r="Y16" s="17" t="s">
        <v>149</v>
      </c>
      <c r="Z16" s="14" t="s">
        <v>150</v>
      </c>
      <c r="AA16" s="14" t="s">
        <v>156</v>
      </c>
      <c r="AB16" s="18">
        <v>9</v>
      </c>
      <c r="AC16" s="13">
        <v>-7.5</v>
      </c>
      <c r="AD16" s="13">
        <v>18</v>
      </c>
      <c r="AE16" s="19">
        <f t="shared" si="0"/>
        <v>18.405042787236329</v>
      </c>
      <c r="AF16" s="19">
        <f t="shared" si="1"/>
        <v>19.756337681409438</v>
      </c>
      <c r="AG16" s="2" t="s">
        <v>146</v>
      </c>
      <c r="AH16" s="13">
        <v>-2</v>
      </c>
      <c r="AI16" s="13">
        <v>2</v>
      </c>
      <c r="AJ16" s="19">
        <f>IF(Abschlüsse[[#This Row],[Ergeb]]="ET","",SQRT(($AC16-$AH16)^2+($AD16-$AI16)^2))</f>
        <v>16.918924315688631</v>
      </c>
      <c r="AK16" s="3">
        <v>0</v>
      </c>
      <c r="AL16" s="13"/>
      <c r="AM16" s="13"/>
      <c r="AN16" s="19" t="str">
        <f t="shared" si="2"/>
        <v/>
      </c>
      <c r="AO16" s="3">
        <v>1</v>
      </c>
      <c r="AP16" s="13">
        <v>-6.5</v>
      </c>
      <c r="AQ16" s="13">
        <v>16</v>
      </c>
      <c r="AR16" s="19">
        <f t="shared" si="3"/>
        <v>2.2360679774997898</v>
      </c>
      <c r="AS16" s="1"/>
    </row>
    <row r="17" spans="1:45" ht="25.05" customHeight="1">
      <c r="A17" s="3">
        <v>1</v>
      </c>
      <c r="B17" s="2" t="s">
        <v>8</v>
      </c>
      <c r="C17" s="17" t="str">
        <f>IF($A17="","",IF(VLOOKUP($A17,Spiele!$A$2:$D$15,3,FALSE)=$B17,"H","G"))</f>
        <v>H</v>
      </c>
      <c r="D17" s="17" t="str">
        <f>IF($B17="","",IF(VLOOKUP($A17,Spiele!$A$2:$F$15,3,FALSE)=$B17,VLOOKUP($A17,Spiele!$A$2:$F$15,4,FALSE),VLOOKUP($A17,Spiele!$A$2:$F$15,3,FALSE)))</f>
        <v>GWD</v>
      </c>
      <c r="E17" s="18">
        <f>IF(Abschlüsse[[#This Row],[Ergeb]]="ET",0,COUNTIFS($A$2:$A17,$A17,$B$2:$B17,$B17,$L$2:$L17,"&lt;&gt;ET"))</f>
        <v>10</v>
      </c>
      <c r="F17" s="11">
        <v>42</v>
      </c>
      <c r="G17" s="12">
        <v>2</v>
      </c>
      <c r="H17" s="18">
        <f>COUNTIFS('Rote Karten'!$A$2:$A$4,$A17,'Rote Karten'!$D$2:$D$4,"&lt;&gt;"&amp;$B17,'Rote Karten'!$B$2:$B$4,"&lt;"&amp;$F17,'Rote Karten'!$C$2:$C$4,"&lt;="&amp;$G17)-COUNTIFS('Rote Karten'!$A$2:$A$4,$A17,'Rote Karten'!$D$2:$D$4,$B17,'Rote Karten'!$B$2:$B$4,"&lt;"&amp;$F17,'Rote Karten'!$C$2:$C$4,"&lt;="&amp;$G17)</f>
        <v>0</v>
      </c>
      <c r="I17" s="17" t="str">
        <f>IF(OR($L17="Tor",$L17="ET"),_xlfn.IFNA(IF(VLOOKUP($A17,Spiele!$A$2:$C$15,3,FALSE)=$B17,COUNTIFS($L$2:$L17,"Tor",$B$2:$B17,$B17,$A$2:$A17,$A17)+COUNTIFS($L$2:$L17,"ET",$B$2:$B17,$B17,$A$2:$A17,$A17)&amp;":"&amp;COUNTIFS($L$2:$L17,"Tor",$B$2:$B17,"&lt;&gt;"&amp;$B17,$A$2:$A17,$A17)+COUNTIFS($L$2:$L17,"ET",$B$2:$B17,"&lt;&gt;"&amp;$B17,$A$2:$A17,$A17),COUNTIFS($L$2:$L17,"Tor",$B$2:$B17,"&lt;&gt;"&amp;$B17,$A$2:$A17,$A17)+COUNTIFS($L$2:$L17,"ET",$B$2:$B17,"&lt;&gt;"&amp;$B17,$A$2:$A17,$A17)&amp;":"&amp;COUNTIFS($L$2:$L17,"Tor",$B$2:$B17,$B17,$A$2:$A17,$A17)+COUNTIFS($L$2:$L17,"ET",$B$2:$B17,$B17,$A$2:$A17,$A17)),""),"")</f>
        <v/>
      </c>
      <c r="J17" s="18">
        <f>_xlfn.IFNA(IF(VLOOKUP($A17,Spiele!$A$2:$D$15,3,FALSE)=$B17,(COUNTIFS($L$1:$L16,"Tor",$B$1:$B16,$B17,$A$1:$A16,$A17)+COUNTIFS($L$1:$L16,"ET",$B$1:$B16,$B17,$A$1:$A16,$A17))-(COUNTIFS($L$1:$L16,"Tor",$B$1:$B16,"&lt;&gt;"&amp;$B17,$A$1:$A16,$A17)+COUNTIFS($L$1:$L16,"ET",$B$1:$B16,"&lt;&gt;"&amp;$B17,$A$1:$A16,$A17)),(COUNTIFS($L$1:$L16,"Tor",$B$1:$B16,$B17,$A$1:$A16,$A17)+COUNTIFS($L$1:$L16,"ET",$B$1:$B16,$B17,$A$1:$A16,$A17))-(COUNTIFS($L$1:$L16,"Tor",$B$1:$B16,"&lt;&gt;"&amp;$B17,$A$1:$A16,$A17)+COUNTIFS($L$1:$L16,"ET",$B$1:$B16,"&lt;&gt;"&amp;$B17,$A$1:$A16,$A17))),"")</f>
        <v>2</v>
      </c>
      <c r="K17" s="3">
        <v>14</v>
      </c>
      <c r="L17" s="17" t="s">
        <v>19</v>
      </c>
      <c r="M17" s="2" t="s">
        <v>147</v>
      </c>
      <c r="N17" s="2" t="s">
        <v>148</v>
      </c>
      <c r="O17" s="2">
        <v>6</v>
      </c>
      <c r="P17" s="2">
        <v>1</v>
      </c>
      <c r="X17" s="2" t="s">
        <v>151</v>
      </c>
      <c r="Y17" s="17" t="s">
        <v>143</v>
      </c>
      <c r="Z17" s="14" t="s">
        <v>150</v>
      </c>
      <c r="AA17" s="14" t="s">
        <v>156</v>
      </c>
      <c r="AB17" s="18">
        <v>8</v>
      </c>
      <c r="AC17" s="13">
        <v>-7.5</v>
      </c>
      <c r="AD17" s="13">
        <v>19</v>
      </c>
      <c r="AE17" s="19">
        <f t="shared" si="0"/>
        <v>19.38415848057377</v>
      </c>
      <c r="AF17" s="19">
        <f t="shared" si="1"/>
        <v>19.002762201382087</v>
      </c>
      <c r="AG17" s="2" t="s">
        <v>146</v>
      </c>
      <c r="AH17" s="13">
        <v>-1</v>
      </c>
      <c r="AI17" s="13">
        <v>2</v>
      </c>
      <c r="AJ17" s="19">
        <f>IF(Abschlüsse[[#This Row],[Ergeb]]="ET","",SQRT(($AC17-$AH17)^2+($AD17-$AI17)^2))</f>
        <v>18.200274723201296</v>
      </c>
      <c r="AK17" s="3">
        <v>1</v>
      </c>
      <c r="AL17" s="13">
        <v>-9</v>
      </c>
      <c r="AM17" s="13">
        <v>18</v>
      </c>
      <c r="AN17" s="19">
        <f t="shared" si="2"/>
        <v>1.8027756377319946</v>
      </c>
      <c r="AO17" s="3">
        <v>1</v>
      </c>
      <c r="AP17" s="13">
        <v>-6</v>
      </c>
      <c r="AQ17" s="13">
        <v>13.5</v>
      </c>
      <c r="AR17" s="19">
        <f t="shared" si="3"/>
        <v>5.7008771254956896</v>
      </c>
      <c r="AS17" s="1"/>
    </row>
    <row r="18" spans="1:45" ht="25.05" customHeight="1">
      <c r="A18" s="3">
        <v>1</v>
      </c>
      <c r="B18" s="2" t="s">
        <v>54</v>
      </c>
      <c r="C18" s="17" t="str">
        <f>IF($A18="","",IF(VLOOKUP($A18,Spiele!$A$2:$D$15,3,FALSE)=$B18,"H","G"))</f>
        <v>G</v>
      </c>
      <c r="D18" s="17" t="str">
        <f>IF($B18="","",IF(VLOOKUP($A18,Spiele!$A$2:$F$15,3,FALSE)=$B18,VLOOKUP($A18,Spiele!$A$2:$F$15,4,FALSE),VLOOKUP($A18,Spiele!$A$2:$F$15,3,FALSE)))</f>
        <v>FCN</v>
      </c>
      <c r="E18" s="18">
        <f>IF(Abschlüsse[[#This Row],[Ergeb]]="ET",0,COUNTIFS($A$2:$A18,$A18,$B$2:$B18,$B18,$L$2:$L18,"&lt;&gt;ET"))</f>
        <v>7</v>
      </c>
      <c r="F18" s="11">
        <v>43</v>
      </c>
      <c r="G18" s="12">
        <v>2</v>
      </c>
      <c r="H18" s="18">
        <f>COUNTIFS('Rote Karten'!$A$2:$A$4,$A18,'Rote Karten'!$D$2:$D$4,"&lt;&gt;"&amp;$B18,'Rote Karten'!$B$2:$B$4,"&lt;"&amp;$F18,'Rote Karten'!$C$2:$C$4,"&lt;="&amp;$G18)-COUNTIFS('Rote Karten'!$A$2:$A$4,$A18,'Rote Karten'!$D$2:$D$4,$B18,'Rote Karten'!$B$2:$B$4,"&lt;"&amp;$F18,'Rote Karten'!$C$2:$C$4,"&lt;="&amp;$G18)</f>
        <v>0</v>
      </c>
      <c r="I18" s="17" t="str">
        <f>IF(OR($L18="Tor",$L18="ET"),_xlfn.IFNA(IF(VLOOKUP($A18,Spiele!$A$2:$C$15,3,FALSE)=$B18,COUNTIFS($L$2:$L18,"Tor",$B$2:$B18,$B18,$A$2:$A18,$A18)+COUNTIFS($L$2:$L18,"ET",$B$2:$B18,$B18,$A$2:$A18,$A18)&amp;":"&amp;COUNTIFS($L$2:$L18,"Tor",$B$2:$B18,"&lt;&gt;"&amp;$B18,$A$2:$A18,$A18)+COUNTIFS($L$2:$L18,"ET",$B$2:$B18,"&lt;&gt;"&amp;$B18,$A$2:$A18,$A18),COUNTIFS($L$2:$L18,"Tor",$B$2:$B18,"&lt;&gt;"&amp;$B18,$A$2:$A18,$A18)+COUNTIFS($L$2:$L18,"ET",$B$2:$B18,"&lt;&gt;"&amp;$B18,$A$2:$A18,$A18)&amp;":"&amp;COUNTIFS($L$2:$L18,"Tor",$B$2:$B18,$B18,$A$2:$A18,$A18)+COUNTIFS($L$2:$L18,"ET",$B$2:$B18,$B18,$A$2:$A18,$A18)),""),"")</f>
        <v/>
      </c>
      <c r="J18" s="18">
        <f>_xlfn.IFNA(IF(VLOOKUP($A18,Spiele!$A$2:$D$15,3,FALSE)=$B18,(COUNTIFS($L$1:$L17,"Tor",$B$1:$B17,$B18,$A$1:$A17,$A18)+COUNTIFS($L$1:$L17,"ET",$B$1:$B17,$B18,$A$1:$A17,$A18))-(COUNTIFS($L$1:$L17,"Tor",$B$1:$B17,"&lt;&gt;"&amp;$B18,$A$1:$A17,$A18)+COUNTIFS($L$1:$L17,"ET",$B$1:$B17,"&lt;&gt;"&amp;$B18,$A$1:$A17,$A18)),(COUNTIFS($L$1:$L17,"Tor",$B$1:$B17,$B18,$A$1:$A17,$A18)+COUNTIFS($L$1:$L17,"ET",$B$1:$B17,$B18,$A$1:$A17,$A18))-(COUNTIFS($L$1:$L17,"Tor",$B$1:$B17,"&lt;&gt;"&amp;$B18,$A$1:$A17,$A18)+COUNTIFS($L$1:$L17,"ET",$B$1:$B17,"&lt;&gt;"&amp;$B18,$A$1:$A17,$A18))),"")</f>
        <v>-2</v>
      </c>
      <c r="K18" s="3">
        <v>15</v>
      </c>
      <c r="L18" s="17" t="s">
        <v>18</v>
      </c>
      <c r="M18" s="2" t="s">
        <v>140</v>
      </c>
      <c r="N18" s="2" t="s">
        <v>158</v>
      </c>
      <c r="X18" s="2" t="s">
        <v>142</v>
      </c>
      <c r="Y18" s="17" t="s">
        <v>143</v>
      </c>
      <c r="Z18" s="14" t="s">
        <v>150</v>
      </c>
      <c r="AA18" s="14" t="s">
        <v>156</v>
      </c>
      <c r="AB18" s="18"/>
      <c r="AC18" s="13">
        <v>14.5</v>
      </c>
      <c r="AD18" s="13">
        <v>8.5</v>
      </c>
      <c r="AE18" s="19">
        <f t="shared" si="0"/>
        <v>13.775180579578622</v>
      </c>
      <c r="AF18" s="19">
        <f t="shared" si="1"/>
        <v>13.018666912102047</v>
      </c>
      <c r="AG18" s="2" t="s">
        <v>146</v>
      </c>
      <c r="AH18" s="13">
        <v>4</v>
      </c>
      <c r="AI18" s="13">
        <v>0.5</v>
      </c>
      <c r="AJ18" s="19">
        <f>IF(Abschlüsse[[#This Row],[Ergeb]]="ET","",SQRT(($AC18-$AH18)^2+($AD18-$AI18)^2))</f>
        <v>13.200378782444085</v>
      </c>
      <c r="AK18" s="3">
        <v>0</v>
      </c>
      <c r="AL18" s="13"/>
      <c r="AM18" s="13"/>
      <c r="AN18" s="19" t="str">
        <f t="shared" si="2"/>
        <v/>
      </c>
      <c r="AO18" s="3">
        <v>1</v>
      </c>
      <c r="AP18" s="13">
        <v>12</v>
      </c>
      <c r="AQ18" s="13">
        <v>8</v>
      </c>
      <c r="AR18" s="19">
        <f t="shared" si="3"/>
        <v>2.5495097567963922</v>
      </c>
      <c r="AS18" s="1"/>
    </row>
    <row r="19" spans="1:45" ht="25.05" customHeight="1">
      <c r="A19" s="3">
        <v>1</v>
      </c>
      <c r="B19" s="2" t="s">
        <v>8</v>
      </c>
      <c r="C19" s="17" t="str">
        <f>IF($A19="","",IF(VLOOKUP($A19,Spiele!$A$2:$D$15,3,FALSE)=$B19,"H","G"))</f>
        <v>H</v>
      </c>
      <c r="D19" s="17" t="str">
        <f>IF($B19="","",IF(VLOOKUP($A19,Spiele!$A$2:$F$15,3,FALSE)=$B19,VLOOKUP($A19,Spiele!$A$2:$F$15,4,FALSE),VLOOKUP($A19,Spiele!$A$2:$F$15,3,FALSE)))</f>
        <v>GWD</v>
      </c>
      <c r="E19" s="18">
        <f>IF(Abschlüsse[[#This Row],[Ergeb]]="ET",0,COUNTIFS($A$2:$A19,$A19,$B$2:$B19,$B19,$L$2:$L19,"&lt;&gt;ET"))</f>
        <v>11</v>
      </c>
      <c r="F19" s="11">
        <v>45</v>
      </c>
      <c r="G19" s="12">
        <v>2</v>
      </c>
      <c r="H19" s="18">
        <f>COUNTIFS('Rote Karten'!$A$2:$A$4,$A19,'Rote Karten'!$D$2:$D$4,"&lt;&gt;"&amp;$B19,'Rote Karten'!$B$2:$B$4,"&lt;"&amp;$F19,'Rote Karten'!$C$2:$C$4,"&lt;="&amp;$G19)-COUNTIFS('Rote Karten'!$A$2:$A$4,$A19,'Rote Karten'!$D$2:$D$4,$B19,'Rote Karten'!$B$2:$B$4,"&lt;"&amp;$F19,'Rote Karten'!$C$2:$C$4,"&lt;="&amp;$G19)</f>
        <v>0</v>
      </c>
      <c r="I19" s="17" t="str">
        <f>IF(OR($L19="Tor",$L19="ET"),_xlfn.IFNA(IF(VLOOKUP($A19,Spiele!$A$2:$C$15,3,FALSE)=$B19,COUNTIFS($L$2:$L19,"Tor",$B$2:$B19,$B19,$A$2:$A19,$A19)+COUNTIFS($L$2:$L19,"ET",$B$2:$B19,$B19,$A$2:$A19,$A19)&amp;":"&amp;COUNTIFS($L$2:$L19,"Tor",$B$2:$B19,"&lt;&gt;"&amp;$B19,$A$2:$A19,$A19)+COUNTIFS($L$2:$L19,"ET",$B$2:$B19,"&lt;&gt;"&amp;$B19,$A$2:$A19,$A19),COUNTIFS($L$2:$L19,"Tor",$B$2:$B19,"&lt;&gt;"&amp;$B19,$A$2:$A19,$A19)+COUNTIFS($L$2:$L19,"ET",$B$2:$B19,"&lt;&gt;"&amp;$B19,$A$2:$A19,$A19)&amp;":"&amp;COUNTIFS($L$2:$L19,"Tor",$B$2:$B19,$B19,$A$2:$A19,$A19)+COUNTIFS($L$2:$L19,"ET",$B$2:$B19,$B19,$A$2:$A19,$A19)),""),"")</f>
        <v/>
      </c>
      <c r="J19" s="18">
        <f>_xlfn.IFNA(IF(VLOOKUP($A19,Spiele!$A$2:$D$15,3,FALSE)=$B19,(COUNTIFS($L$1:$L18,"Tor",$B$1:$B18,$B19,$A$1:$A18,$A19)+COUNTIFS($L$1:$L18,"ET",$B$1:$B18,$B19,$A$1:$A18,$A19))-(COUNTIFS($L$1:$L18,"Tor",$B$1:$B18,"&lt;&gt;"&amp;$B19,$A$1:$A18,$A19)+COUNTIFS($L$1:$L18,"ET",$B$1:$B18,"&lt;&gt;"&amp;$B19,$A$1:$A18,$A19)),(COUNTIFS($L$1:$L18,"Tor",$B$1:$B18,$B19,$A$1:$A18,$A19)+COUNTIFS($L$1:$L18,"ET",$B$1:$B18,$B19,$A$1:$A18,$A19))-(COUNTIFS($L$1:$L18,"Tor",$B$1:$B18,"&lt;&gt;"&amp;$B19,$A$1:$A18,$A19)+COUNTIFS($L$1:$L18,"ET",$B$1:$B18,"&lt;&gt;"&amp;$B19,$A$1:$A18,$A19))),"")</f>
        <v>2</v>
      </c>
      <c r="K19" s="3">
        <v>16</v>
      </c>
      <c r="L19" s="17" t="s">
        <v>19</v>
      </c>
      <c r="M19" s="2" t="s">
        <v>163</v>
      </c>
      <c r="N19" s="2" t="s">
        <v>167</v>
      </c>
      <c r="X19" s="2" t="s">
        <v>151</v>
      </c>
      <c r="Y19" s="17" t="s">
        <v>143</v>
      </c>
      <c r="Z19" s="14" t="s">
        <v>150</v>
      </c>
      <c r="AA19" s="14" t="s">
        <v>145</v>
      </c>
      <c r="AB19" s="18">
        <v>6</v>
      </c>
      <c r="AC19" s="13">
        <v>5.5</v>
      </c>
      <c r="AD19" s="13">
        <v>28</v>
      </c>
      <c r="AE19" s="19">
        <f t="shared" si="0"/>
        <v>28.060392014367867</v>
      </c>
      <c r="AF19" s="19">
        <f t="shared" si="1"/>
        <v>14.355393406316038</v>
      </c>
      <c r="AG19" s="2" t="s">
        <v>146</v>
      </c>
      <c r="AH19" s="13">
        <v>0.5</v>
      </c>
      <c r="AI19" s="13">
        <v>2.5</v>
      </c>
      <c r="AJ19" s="19">
        <f>IF(Abschlüsse[[#This Row],[Ergeb]]="ET","",SQRT(($AC19-$AH19)^2+($AD19-$AI19)^2))</f>
        <v>25.985572920372565</v>
      </c>
      <c r="AK19" s="3">
        <v>1</v>
      </c>
      <c r="AL19" s="13">
        <v>7</v>
      </c>
      <c r="AM19" s="13">
        <v>24.5</v>
      </c>
      <c r="AN19" s="19">
        <f t="shared" si="2"/>
        <v>3.8078865529319543</v>
      </c>
      <c r="AO19" s="3">
        <v>1</v>
      </c>
      <c r="AP19" s="13">
        <v>3.5</v>
      </c>
      <c r="AQ19" s="13">
        <v>17.5</v>
      </c>
      <c r="AR19" s="19">
        <f t="shared" si="3"/>
        <v>10.688779163215974</v>
      </c>
      <c r="AS19" s="1"/>
    </row>
    <row r="20" spans="1:45" ht="25.05" customHeight="1">
      <c r="A20" s="3">
        <v>1</v>
      </c>
      <c r="B20" s="2" t="s">
        <v>54</v>
      </c>
      <c r="C20" s="17" t="str">
        <f>IF($A20="","",IF(VLOOKUP($A20,Spiele!$A$2:$D$15,3,FALSE)=$B20,"H","G"))</f>
        <v>G</v>
      </c>
      <c r="D20" s="17" t="str">
        <f>IF($B20="","",IF(VLOOKUP($A20,Spiele!$A$2:$F$15,3,FALSE)=$B20,VLOOKUP($A20,Spiele!$A$2:$F$15,4,FALSE),VLOOKUP($A20,Spiele!$A$2:$F$15,3,FALSE)))</f>
        <v>FCN</v>
      </c>
      <c r="E20" s="18">
        <f>IF(Abschlüsse[[#This Row],[Ergeb]]="ET",0,COUNTIFS($A$2:$A20,$A20,$B$2:$B20,$B20,$L$2:$L20,"&lt;&gt;ET"))</f>
        <v>8</v>
      </c>
      <c r="F20" s="11">
        <v>46</v>
      </c>
      <c r="G20" s="12">
        <v>2</v>
      </c>
      <c r="H20" s="18">
        <f>COUNTIFS('Rote Karten'!$A$2:$A$4,$A20,'Rote Karten'!$D$2:$D$4,"&lt;&gt;"&amp;$B20,'Rote Karten'!$B$2:$B$4,"&lt;"&amp;$F20,'Rote Karten'!$C$2:$C$4,"&lt;="&amp;$G20)-COUNTIFS('Rote Karten'!$A$2:$A$4,$A20,'Rote Karten'!$D$2:$D$4,$B20,'Rote Karten'!$B$2:$B$4,"&lt;"&amp;$F20,'Rote Karten'!$C$2:$C$4,"&lt;="&amp;$G20)</f>
        <v>0</v>
      </c>
      <c r="I20" s="17" t="str">
        <f>IF(OR($L20="Tor",$L20="ET"),_xlfn.IFNA(IF(VLOOKUP($A20,Spiele!$A$2:$C$15,3,FALSE)=$B20,COUNTIFS($L$2:$L20,"Tor",$B$2:$B20,$B20,$A$2:$A20,$A20)+COUNTIFS($L$2:$L20,"ET",$B$2:$B20,$B20,$A$2:$A20,$A20)&amp;":"&amp;COUNTIFS($L$2:$L20,"Tor",$B$2:$B20,"&lt;&gt;"&amp;$B20,$A$2:$A20,$A20)+COUNTIFS($L$2:$L20,"ET",$B$2:$B20,"&lt;&gt;"&amp;$B20,$A$2:$A20,$A20),COUNTIFS($L$2:$L20,"Tor",$B$2:$B20,"&lt;&gt;"&amp;$B20,$A$2:$A20,$A20)+COUNTIFS($L$2:$L20,"ET",$B$2:$B20,"&lt;&gt;"&amp;$B20,$A$2:$A20,$A20)&amp;":"&amp;COUNTIFS($L$2:$L20,"Tor",$B$2:$B20,$B20,$A$2:$A20,$A20)+COUNTIFS($L$2:$L20,"ET",$B$2:$B20,$B20,$A$2:$A20,$A20)),""),"")</f>
        <v/>
      </c>
      <c r="J20" s="18">
        <f>_xlfn.IFNA(IF(VLOOKUP($A20,Spiele!$A$2:$D$15,3,FALSE)=$B20,(COUNTIFS($L$1:$L19,"Tor",$B$1:$B19,$B20,$A$1:$A19,$A20)+COUNTIFS($L$1:$L19,"ET",$B$1:$B19,$B20,$A$1:$A19,$A20))-(COUNTIFS($L$1:$L19,"Tor",$B$1:$B19,"&lt;&gt;"&amp;$B20,$A$1:$A19,$A20)+COUNTIFS($L$1:$L19,"ET",$B$1:$B19,"&lt;&gt;"&amp;$B20,$A$1:$A19,$A20)),(COUNTIFS($L$1:$L19,"Tor",$B$1:$B19,$B20,$A$1:$A19,$A20)+COUNTIFS($L$1:$L19,"ET",$B$1:$B19,$B20,$A$1:$A19,$A20))-(COUNTIFS($L$1:$L19,"Tor",$B$1:$B19,"&lt;&gt;"&amp;$B20,$A$1:$A19,$A20)+COUNTIFS($L$1:$L19,"ET",$B$1:$B19,"&lt;&gt;"&amp;$B20,$A$1:$A19,$A20))),"")</f>
        <v>-2</v>
      </c>
      <c r="K20" s="3">
        <v>17</v>
      </c>
      <c r="L20" s="17" t="s">
        <v>19</v>
      </c>
      <c r="M20" s="2" t="s">
        <v>163</v>
      </c>
      <c r="N20" s="2" t="s">
        <v>164</v>
      </c>
      <c r="X20" s="2" t="s">
        <v>151</v>
      </c>
      <c r="Y20" s="17" t="s">
        <v>143</v>
      </c>
      <c r="Z20" s="14" t="s">
        <v>150</v>
      </c>
      <c r="AA20" s="14" t="s">
        <v>145</v>
      </c>
      <c r="AB20" s="18"/>
      <c r="AC20" s="13">
        <v>-21</v>
      </c>
      <c r="AD20" s="13">
        <v>19</v>
      </c>
      <c r="AE20" s="19">
        <f t="shared" si="0"/>
        <v>25.723055806027403</v>
      </c>
      <c r="AF20" s="19">
        <f t="shared" si="1"/>
        <v>10.001956570180235</v>
      </c>
      <c r="AG20" s="2" t="s">
        <v>146</v>
      </c>
      <c r="AH20" s="13">
        <v>3</v>
      </c>
      <c r="AI20" s="13">
        <v>0.5</v>
      </c>
      <c r="AJ20" s="19">
        <f>IF(Abschlüsse[[#This Row],[Ergeb]]="ET","",SQRT(($AC20-$AH20)^2+($AD20-$AI20)^2))</f>
        <v>30.302640149003519</v>
      </c>
      <c r="AK20" s="3">
        <v>1</v>
      </c>
      <c r="AL20" s="13">
        <v>-19.5</v>
      </c>
      <c r="AM20" s="13">
        <v>19.5</v>
      </c>
      <c r="AN20" s="19">
        <f t="shared" si="2"/>
        <v>1.5811388300841898</v>
      </c>
      <c r="AO20" s="3">
        <v>1</v>
      </c>
      <c r="AP20" s="13">
        <v>-14</v>
      </c>
      <c r="AQ20" s="13">
        <v>15.5</v>
      </c>
      <c r="AR20" s="19">
        <f t="shared" si="3"/>
        <v>7.8262379212492643</v>
      </c>
      <c r="AS20" s="1"/>
    </row>
    <row r="21" spans="1:45" ht="25.05" customHeight="1">
      <c r="A21" s="3">
        <v>1</v>
      </c>
      <c r="B21" s="2" t="s">
        <v>8</v>
      </c>
      <c r="C21" s="17" t="str">
        <f>IF($A21="","",IF(VLOOKUP($A21,Spiele!$A$2:$D$15,3,FALSE)=$B21,"H","G"))</f>
        <v>H</v>
      </c>
      <c r="D21" s="17" t="str">
        <f>IF($B21="","",IF(VLOOKUP($A21,Spiele!$A$2:$F$15,3,FALSE)=$B21,VLOOKUP($A21,Spiele!$A$2:$F$15,4,FALSE),VLOOKUP($A21,Spiele!$A$2:$F$15,3,FALSE)))</f>
        <v>GWD</v>
      </c>
      <c r="E21" s="18">
        <f>IF(Abschlüsse[[#This Row],[Ergeb]]="ET",0,COUNTIFS($A$2:$A21,$A21,$B$2:$B21,$B21,$L$2:$L21,"&lt;&gt;ET"))</f>
        <v>12</v>
      </c>
      <c r="F21" s="11">
        <v>51</v>
      </c>
      <c r="G21" s="12">
        <v>2</v>
      </c>
      <c r="H21" s="18">
        <f>COUNTIFS('Rote Karten'!$A$2:$A$4,$A21,'Rote Karten'!$D$2:$D$4,"&lt;&gt;"&amp;$B21,'Rote Karten'!$B$2:$B$4,"&lt;"&amp;$F21,'Rote Karten'!$C$2:$C$4,"&lt;="&amp;$G21)-COUNTIFS('Rote Karten'!$A$2:$A$4,$A21,'Rote Karten'!$D$2:$D$4,$B21,'Rote Karten'!$B$2:$B$4,"&lt;"&amp;$F21,'Rote Karten'!$C$2:$C$4,"&lt;="&amp;$G21)</f>
        <v>0</v>
      </c>
      <c r="I21" s="17" t="str">
        <f>IF(OR($L21="Tor",$L21="ET"),_xlfn.IFNA(IF(VLOOKUP($A21,Spiele!$A$2:$C$15,3,FALSE)=$B21,COUNTIFS($L$2:$L21,"Tor",$B$2:$B21,$B21,$A$2:$A21,$A21)+COUNTIFS($L$2:$L21,"ET",$B$2:$B21,$B21,$A$2:$A21,$A21)&amp;":"&amp;COUNTIFS($L$2:$L21,"Tor",$B$2:$B21,"&lt;&gt;"&amp;$B21,$A$2:$A21,$A21)+COUNTIFS($L$2:$L21,"ET",$B$2:$B21,"&lt;&gt;"&amp;$B21,$A$2:$A21,$A21),COUNTIFS($L$2:$L21,"Tor",$B$2:$B21,"&lt;&gt;"&amp;$B21,$A$2:$A21,$A21)+COUNTIFS($L$2:$L21,"ET",$B$2:$B21,"&lt;&gt;"&amp;$B21,$A$2:$A21,$A21)&amp;":"&amp;COUNTIFS($L$2:$L21,"Tor",$B$2:$B21,$B21,$A$2:$A21,$A21)+COUNTIFS($L$2:$L21,"ET",$B$2:$B21,$B21,$A$2:$A21,$A21)),""),"")</f>
        <v/>
      </c>
      <c r="J21" s="18">
        <f>_xlfn.IFNA(IF(VLOOKUP($A21,Spiele!$A$2:$D$15,3,FALSE)=$B21,(COUNTIFS($L$1:$L20,"Tor",$B$1:$B20,$B21,$A$1:$A20,$A21)+COUNTIFS($L$1:$L20,"ET",$B$1:$B20,$B21,$A$1:$A20,$A21))-(COUNTIFS($L$1:$L20,"Tor",$B$1:$B20,"&lt;&gt;"&amp;$B21,$A$1:$A20,$A21)+COUNTIFS($L$1:$L20,"ET",$B$1:$B20,"&lt;&gt;"&amp;$B21,$A$1:$A20,$A21)),(COUNTIFS($L$1:$L20,"Tor",$B$1:$B20,$B21,$A$1:$A20,$A21)+COUNTIFS($L$1:$L20,"ET",$B$1:$B20,$B21,$A$1:$A20,$A21))-(COUNTIFS($L$1:$L20,"Tor",$B$1:$B20,"&lt;&gt;"&amp;$B21,$A$1:$A20,$A21)+COUNTIFS($L$1:$L20,"ET",$B$1:$B20,"&lt;&gt;"&amp;$B21,$A$1:$A20,$A21))),"")</f>
        <v>2</v>
      </c>
      <c r="K21" s="3">
        <v>18</v>
      </c>
      <c r="L21" s="17" t="s">
        <v>19</v>
      </c>
      <c r="M21" s="2" t="s">
        <v>163</v>
      </c>
      <c r="N21" s="2" t="s">
        <v>164</v>
      </c>
      <c r="O21" s="2">
        <v>8</v>
      </c>
      <c r="X21" s="2" t="s">
        <v>151</v>
      </c>
      <c r="Y21" s="17" t="s">
        <v>149</v>
      </c>
      <c r="Z21" s="14" t="s">
        <v>150</v>
      </c>
      <c r="AA21" s="14" t="s">
        <v>156</v>
      </c>
      <c r="AB21" s="18">
        <v>7</v>
      </c>
      <c r="AC21" s="13">
        <v>-7.5</v>
      </c>
      <c r="AD21" s="13">
        <v>11</v>
      </c>
      <c r="AE21" s="19">
        <f t="shared" si="0"/>
        <v>11.650991374127782</v>
      </c>
      <c r="AF21" s="19">
        <f t="shared" si="1"/>
        <v>26.170050414843899</v>
      </c>
      <c r="AG21" s="2" t="s">
        <v>146</v>
      </c>
      <c r="AH21" s="13">
        <v>-3</v>
      </c>
      <c r="AI21" s="13">
        <v>2.5</v>
      </c>
      <c r="AJ21" s="19">
        <f>IF(Abschlüsse[[#This Row],[Ergeb]]="ET","",SQRT(($AC21-$AH21)^2+($AD21-$AI21)^2))</f>
        <v>9.6176920308356717</v>
      </c>
      <c r="AK21" s="3">
        <v>0</v>
      </c>
      <c r="AL21" s="13"/>
      <c r="AM21" s="13"/>
      <c r="AN21" s="19" t="str">
        <f t="shared" si="2"/>
        <v/>
      </c>
      <c r="AO21" s="3">
        <v>1</v>
      </c>
      <c r="AP21" s="13">
        <v>-6.5</v>
      </c>
      <c r="AQ21" s="13">
        <v>10.5</v>
      </c>
      <c r="AR21" s="19">
        <f t="shared" si="3"/>
        <v>1.1180339887498949</v>
      </c>
      <c r="AS21" s="1"/>
    </row>
    <row r="22" spans="1:45" ht="25.05" customHeight="1">
      <c r="A22" s="3">
        <v>1</v>
      </c>
      <c r="B22" s="2" t="s">
        <v>8</v>
      </c>
      <c r="C22" s="17" t="str">
        <f>IF($A22="","",IF(VLOOKUP($A22,Spiele!$A$2:$D$15,3,FALSE)=$B22,"H","G"))</f>
        <v>H</v>
      </c>
      <c r="D22" s="17" t="str">
        <f>IF($B22="","",IF(VLOOKUP($A22,Spiele!$A$2:$F$15,3,FALSE)=$B22,VLOOKUP($A22,Spiele!$A$2:$F$15,4,FALSE),VLOOKUP($A22,Spiele!$A$2:$F$15,3,FALSE)))</f>
        <v>GWD</v>
      </c>
      <c r="E22" s="18">
        <f>IF(Abschlüsse[[#This Row],[Ergeb]]="ET",0,COUNTIFS($A$2:$A22,$A22,$B$2:$B22,$B22,$L$2:$L22,"&lt;&gt;ET"))</f>
        <v>13</v>
      </c>
      <c r="F22" s="11">
        <v>57</v>
      </c>
      <c r="G22" s="12">
        <v>2</v>
      </c>
      <c r="H22" s="18">
        <f>COUNTIFS('Rote Karten'!$A$2:$A$4,$A22,'Rote Karten'!$D$2:$D$4,"&lt;&gt;"&amp;$B22,'Rote Karten'!$B$2:$B$4,"&lt;"&amp;$F22,'Rote Karten'!$C$2:$C$4,"&lt;="&amp;$G22)-COUNTIFS('Rote Karten'!$A$2:$A$4,$A22,'Rote Karten'!$D$2:$D$4,$B22,'Rote Karten'!$B$2:$B$4,"&lt;"&amp;$F22,'Rote Karten'!$C$2:$C$4,"&lt;="&amp;$G22)</f>
        <v>0</v>
      </c>
      <c r="I22" s="17" t="str">
        <f>IF(OR($L22="Tor",$L22="ET"),_xlfn.IFNA(IF(VLOOKUP($A22,Spiele!$A$2:$C$15,3,FALSE)=$B22,COUNTIFS($L$2:$L22,"Tor",$B$2:$B22,$B22,$A$2:$A22,$A22)+COUNTIFS($L$2:$L22,"ET",$B$2:$B22,$B22,$A$2:$A22,$A22)&amp;":"&amp;COUNTIFS($L$2:$L22,"Tor",$B$2:$B22,"&lt;&gt;"&amp;$B22,$A$2:$A22,$A22)+COUNTIFS($L$2:$L22,"ET",$B$2:$B22,"&lt;&gt;"&amp;$B22,$A$2:$A22,$A22),COUNTIFS($L$2:$L22,"Tor",$B$2:$B22,"&lt;&gt;"&amp;$B22,$A$2:$A22,$A22)+COUNTIFS($L$2:$L22,"ET",$B$2:$B22,"&lt;&gt;"&amp;$B22,$A$2:$A22,$A22)&amp;":"&amp;COUNTIFS($L$2:$L22,"Tor",$B$2:$B22,$B22,$A$2:$A22,$A22)+COUNTIFS($L$2:$L22,"ET",$B$2:$B22,$B22,$A$2:$A22,$A22)),""),"")</f>
        <v>3:0</v>
      </c>
      <c r="J22" s="18">
        <f>_xlfn.IFNA(IF(VLOOKUP($A22,Spiele!$A$2:$D$15,3,FALSE)=$B22,(COUNTIFS($L$1:$L21,"Tor",$B$1:$B21,$B22,$A$1:$A21,$A22)+COUNTIFS($L$1:$L21,"ET",$B$1:$B21,$B22,$A$1:$A21,$A22))-(COUNTIFS($L$1:$L21,"Tor",$B$1:$B21,"&lt;&gt;"&amp;$B22,$A$1:$A21,$A22)+COUNTIFS($L$1:$L21,"ET",$B$1:$B21,"&lt;&gt;"&amp;$B22,$A$1:$A21,$A22)),(COUNTIFS($L$1:$L21,"Tor",$B$1:$B21,$B22,$A$1:$A21,$A22)+COUNTIFS($L$1:$L21,"ET",$B$1:$B21,$B22,$A$1:$A21,$A22))-(COUNTIFS($L$1:$L21,"Tor",$B$1:$B21,"&lt;&gt;"&amp;$B22,$A$1:$A21,$A22)+COUNTIFS($L$1:$L21,"ET",$B$1:$B21,"&lt;&gt;"&amp;$B22,$A$1:$A21,$A22))),"")</f>
        <v>2</v>
      </c>
      <c r="K22" s="3">
        <v>19</v>
      </c>
      <c r="L22" s="17" t="s">
        <v>0</v>
      </c>
      <c r="M22" s="2" t="s">
        <v>163</v>
      </c>
      <c r="N22" s="2" t="s">
        <v>164</v>
      </c>
      <c r="O22" s="2">
        <v>8</v>
      </c>
      <c r="X22" s="2" t="s">
        <v>151</v>
      </c>
      <c r="Y22" s="17" t="s">
        <v>143</v>
      </c>
      <c r="Z22" s="14" t="s">
        <v>150</v>
      </c>
      <c r="AA22" s="14" t="s">
        <v>156</v>
      </c>
      <c r="AB22" s="18">
        <v>7</v>
      </c>
      <c r="AC22" s="13">
        <v>-5.5</v>
      </c>
      <c r="AD22" s="13">
        <v>8</v>
      </c>
      <c r="AE22" s="19">
        <f t="shared" si="0"/>
        <v>8.2088732478946209</v>
      </c>
      <c r="AF22" s="19">
        <f t="shared" si="1"/>
        <v>35.91449326929785</v>
      </c>
      <c r="AG22" s="2" t="s">
        <v>146</v>
      </c>
      <c r="AH22" s="13">
        <v>-2.5</v>
      </c>
      <c r="AI22" s="13">
        <v>1.5</v>
      </c>
      <c r="AJ22" s="19">
        <f>IF(Abschlüsse[[#This Row],[Ergeb]]="ET","",SQRT(($AC22-$AH22)^2+($AD22-$AI22)^2))</f>
        <v>7.1589105316381767</v>
      </c>
      <c r="AK22" s="3">
        <v>0</v>
      </c>
      <c r="AL22" s="13"/>
      <c r="AM22" s="13"/>
      <c r="AN22" s="19" t="str">
        <f t="shared" si="2"/>
        <v/>
      </c>
      <c r="AO22" s="3">
        <v>1</v>
      </c>
      <c r="AP22" s="13">
        <v>-4.5</v>
      </c>
      <c r="AQ22" s="13">
        <v>7.5</v>
      </c>
      <c r="AR22" s="19">
        <f t="shared" si="3"/>
        <v>1.1180339887498949</v>
      </c>
      <c r="AS22" s="1"/>
    </row>
    <row r="23" spans="1:45" ht="25.05" customHeight="1">
      <c r="A23" s="3">
        <v>1</v>
      </c>
      <c r="B23" s="2" t="s">
        <v>8</v>
      </c>
      <c r="C23" s="17" t="str">
        <f>IF($A23="","",IF(VLOOKUP($A23,Spiele!$A$2:$D$15,3,FALSE)=$B23,"H","G"))</f>
        <v>H</v>
      </c>
      <c r="D23" s="17" t="str">
        <f>IF($B23="","",IF(VLOOKUP($A23,Spiele!$A$2:$F$15,3,FALSE)=$B23,VLOOKUP($A23,Spiele!$A$2:$F$15,4,FALSE),VLOOKUP($A23,Spiele!$A$2:$F$15,3,FALSE)))</f>
        <v>GWD</v>
      </c>
      <c r="E23" s="18">
        <f>IF(Abschlüsse[[#This Row],[Ergeb]]="ET",0,COUNTIFS($A$2:$A23,$A23,$B$2:$B23,$B23,$L$2:$L23,"&lt;&gt;ET"))</f>
        <v>14</v>
      </c>
      <c r="F23" s="11">
        <v>60</v>
      </c>
      <c r="G23" s="12">
        <v>2</v>
      </c>
      <c r="H23" s="18">
        <f>COUNTIFS('Rote Karten'!$A$2:$A$4,$A23,'Rote Karten'!$D$2:$D$4,"&lt;&gt;"&amp;$B23,'Rote Karten'!$B$2:$B$4,"&lt;"&amp;$F23,'Rote Karten'!$C$2:$C$4,"&lt;="&amp;$G23)-COUNTIFS('Rote Karten'!$A$2:$A$4,$A23,'Rote Karten'!$D$2:$D$4,$B23,'Rote Karten'!$B$2:$B$4,"&lt;"&amp;$F23,'Rote Karten'!$C$2:$C$4,"&lt;="&amp;$G23)</f>
        <v>0</v>
      </c>
      <c r="I23" s="17" t="str">
        <f>IF(OR($L23="Tor",$L23="ET"),_xlfn.IFNA(IF(VLOOKUP($A23,Spiele!$A$2:$C$15,3,FALSE)=$B23,COUNTIFS($L$2:$L23,"Tor",$B$2:$B23,$B23,$A$2:$A23,$A23)+COUNTIFS($L$2:$L23,"ET",$B$2:$B23,$B23,$A$2:$A23,$A23)&amp;":"&amp;COUNTIFS($L$2:$L23,"Tor",$B$2:$B23,"&lt;&gt;"&amp;$B23,$A$2:$A23,$A23)+COUNTIFS($L$2:$L23,"ET",$B$2:$B23,"&lt;&gt;"&amp;$B23,$A$2:$A23,$A23),COUNTIFS($L$2:$L23,"Tor",$B$2:$B23,"&lt;&gt;"&amp;$B23,$A$2:$A23,$A23)+COUNTIFS($L$2:$L23,"ET",$B$2:$B23,"&lt;&gt;"&amp;$B23,$A$2:$A23,$A23)&amp;":"&amp;COUNTIFS($L$2:$L23,"Tor",$B$2:$B23,$B23,$A$2:$A23,$A23)+COUNTIFS($L$2:$L23,"ET",$B$2:$B23,$B23,$A$2:$A23,$A23)),""),"")</f>
        <v/>
      </c>
      <c r="J23" s="18">
        <f>_xlfn.IFNA(IF(VLOOKUP($A23,Spiele!$A$2:$D$15,3,FALSE)=$B23,(COUNTIFS($L$1:$L22,"Tor",$B$1:$B22,$B23,$A$1:$A22,$A23)+COUNTIFS($L$1:$L22,"ET",$B$1:$B22,$B23,$A$1:$A22,$A23))-(COUNTIFS($L$1:$L22,"Tor",$B$1:$B22,"&lt;&gt;"&amp;$B23,$A$1:$A22,$A23)+COUNTIFS($L$1:$L22,"ET",$B$1:$B22,"&lt;&gt;"&amp;$B23,$A$1:$A22,$A23)),(COUNTIFS($L$1:$L22,"Tor",$B$1:$B22,$B23,$A$1:$A22,$A23)+COUNTIFS($L$1:$L22,"ET",$B$1:$B22,$B23,$A$1:$A22,$A23))-(COUNTIFS($L$1:$L22,"Tor",$B$1:$B22,"&lt;&gt;"&amp;$B23,$A$1:$A22,$A23)+COUNTIFS($L$1:$L22,"ET",$B$1:$B22,"&lt;&gt;"&amp;$B23,$A$1:$A22,$A23))),"")</f>
        <v>3</v>
      </c>
      <c r="K23" s="3">
        <v>20</v>
      </c>
      <c r="L23" s="17" t="s">
        <v>19</v>
      </c>
      <c r="M23" s="2" t="s">
        <v>147</v>
      </c>
      <c r="N23" s="2" t="s">
        <v>158</v>
      </c>
      <c r="O23" s="2">
        <v>18</v>
      </c>
      <c r="P23" s="2">
        <v>8</v>
      </c>
      <c r="Q23" s="2">
        <v>20</v>
      </c>
      <c r="R23" s="2">
        <v>1</v>
      </c>
      <c r="S23" s="2">
        <v>23</v>
      </c>
      <c r="T23" s="2">
        <v>26</v>
      </c>
      <c r="X23" s="2" t="s">
        <v>142</v>
      </c>
      <c r="Y23" s="17" t="s">
        <v>149</v>
      </c>
      <c r="Z23" s="14" t="s">
        <v>150</v>
      </c>
      <c r="AA23" s="14" t="s">
        <v>156</v>
      </c>
      <c r="AB23" s="18">
        <v>8</v>
      </c>
      <c r="AC23" s="13">
        <v>-11</v>
      </c>
      <c r="AD23" s="13">
        <v>16</v>
      </c>
      <c r="AE23" s="19">
        <f t="shared" si="0"/>
        <v>17.603283784567015</v>
      </c>
      <c r="AF23" s="19">
        <f t="shared" si="1"/>
        <v>17.854181264274398</v>
      </c>
      <c r="AG23" s="2" t="s">
        <v>146</v>
      </c>
      <c r="AH23" s="13">
        <v>-2.5</v>
      </c>
      <c r="AI23" s="13">
        <v>1</v>
      </c>
      <c r="AJ23" s="19">
        <f>IF(Abschlüsse[[#This Row],[Ergeb]]="ET","",SQRT(($AC23-$AH23)^2+($AD23-$AI23)^2))</f>
        <v>17.240939649566666</v>
      </c>
      <c r="AK23" s="3">
        <v>0</v>
      </c>
      <c r="AL23" s="13"/>
      <c r="AM23" s="13"/>
      <c r="AN23" s="19" t="str">
        <f t="shared" si="2"/>
        <v/>
      </c>
      <c r="AO23" s="3">
        <v>2</v>
      </c>
      <c r="AP23" s="13">
        <v>-9.5</v>
      </c>
      <c r="AQ23" s="13">
        <v>14.5</v>
      </c>
      <c r="AR23" s="19">
        <f t="shared" si="3"/>
        <v>2.1213203435596424</v>
      </c>
      <c r="AS23" s="1"/>
    </row>
    <row r="24" spans="1:45" ht="25.05" customHeight="1">
      <c r="A24" s="3">
        <v>1</v>
      </c>
      <c r="B24" s="2" t="s">
        <v>8</v>
      </c>
      <c r="C24" s="17" t="str">
        <f>IF($A24="","",IF(VLOOKUP($A24,Spiele!$A$2:$D$15,3,FALSE)=$B24,"H","G"))</f>
        <v>H</v>
      </c>
      <c r="D24" s="17" t="str">
        <f>IF($B24="","",IF(VLOOKUP($A24,Spiele!$A$2:$F$15,3,FALSE)=$B24,VLOOKUP($A24,Spiele!$A$2:$F$15,4,FALSE),VLOOKUP($A24,Spiele!$A$2:$F$15,3,FALSE)))</f>
        <v>GWD</v>
      </c>
      <c r="E24" s="18">
        <f>IF(Abschlüsse[[#This Row],[Ergeb]]="ET",0,COUNTIFS($A$2:$A24,$A24,$B$2:$B24,$B24,$L$2:$L24,"&lt;&gt;ET"))</f>
        <v>15</v>
      </c>
      <c r="F24" s="11">
        <v>70</v>
      </c>
      <c r="G24" s="12">
        <v>2</v>
      </c>
      <c r="H24" s="18">
        <f>COUNTIFS('Rote Karten'!$A$2:$A$4,$A24,'Rote Karten'!$D$2:$D$4,"&lt;&gt;"&amp;$B24,'Rote Karten'!$B$2:$B$4,"&lt;"&amp;$F24,'Rote Karten'!$C$2:$C$4,"&lt;="&amp;$G24)-COUNTIFS('Rote Karten'!$A$2:$A$4,$A24,'Rote Karten'!$D$2:$D$4,$B24,'Rote Karten'!$B$2:$B$4,"&lt;"&amp;$F24,'Rote Karten'!$C$2:$C$4,"&lt;="&amp;$G24)</f>
        <v>0</v>
      </c>
      <c r="I24" s="17" t="str">
        <f>IF(OR($L24="Tor",$L24="ET"),_xlfn.IFNA(IF(VLOOKUP($A24,Spiele!$A$2:$C$15,3,FALSE)=$B24,COUNTIFS($L$2:$L24,"Tor",$B$2:$B24,$B24,$A$2:$A24,$A24)+COUNTIFS($L$2:$L24,"ET",$B$2:$B24,$B24,$A$2:$A24,$A24)&amp;":"&amp;COUNTIFS($L$2:$L24,"Tor",$B$2:$B24,"&lt;&gt;"&amp;$B24,$A$2:$A24,$A24)+COUNTIFS($L$2:$L24,"ET",$B$2:$B24,"&lt;&gt;"&amp;$B24,$A$2:$A24,$A24),COUNTIFS($L$2:$L24,"Tor",$B$2:$B24,"&lt;&gt;"&amp;$B24,$A$2:$A24,$A24)+COUNTIFS($L$2:$L24,"ET",$B$2:$B24,"&lt;&gt;"&amp;$B24,$A$2:$A24,$A24)&amp;":"&amp;COUNTIFS($L$2:$L24,"Tor",$B$2:$B24,$B24,$A$2:$A24,$A24)+COUNTIFS($L$2:$L24,"ET",$B$2:$B24,$B24,$A$2:$A24,$A24)),""),"")</f>
        <v>4:0</v>
      </c>
      <c r="J24" s="18">
        <f>_xlfn.IFNA(IF(VLOOKUP($A24,Spiele!$A$2:$D$15,3,FALSE)=$B24,(COUNTIFS($L$1:$L23,"Tor",$B$1:$B23,$B24,$A$1:$A23,$A24)+COUNTIFS($L$1:$L23,"ET",$B$1:$B23,$B24,$A$1:$A23,$A24))-(COUNTIFS($L$1:$L23,"Tor",$B$1:$B23,"&lt;&gt;"&amp;$B24,$A$1:$A23,$A24)+COUNTIFS($L$1:$L23,"ET",$B$1:$B23,"&lt;&gt;"&amp;$B24,$A$1:$A23,$A24)),(COUNTIFS($L$1:$L23,"Tor",$B$1:$B23,$B24,$A$1:$A23,$A24)+COUNTIFS($L$1:$L23,"ET",$B$1:$B23,$B24,$A$1:$A23,$A24))-(COUNTIFS($L$1:$L23,"Tor",$B$1:$B23,"&lt;&gt;"&amp;$B24,$A$1:$A23,$A24)+COUNTIFS($L$1:$L23,"ET",$B$1:$B23,"&lt;&gt;"&amp;$B24,$A$1:$A23,$A24))),"")</f>
        <v>3</v>
      </c>
      <c r="K24" s="3">
        <v>21</v>
      </c>
      <c r="L24" s="17" t="s">
        <v>0</v>
      </c>
      <c r="M24" s="2" t="s">
        <v>163</v>
      </c>
      <c r="N24" s="2" t="s">
        <v>164</v>
      </c>
      <c r="O24" s="2">
        <v>25</v>
      </c>
      <c r="P24" s="2">
        <v>8</v>
      </c>
      <c r="Q24" s="2">
        <v>1</v>
      </c>
      <c r="X24" s="2" t="s">
        <v>151</v>
      </c>
      <c r="Y24" s="17" t="s">
        <v>149</v>
      </c>
      <c r="Z24" s="14" t="s">
        <v>150</v>
      </c>
      <c r="AA24" s="14" t="s">
        <v>145</v>
      </c>
      <c r="AB24" s="18">
        <v>18</v>
      </c>
      <c r="AC24" s="13">
        <v>-8.5</v>
      </c>
      <c r="AD24" s="13">
        <v>7.5</v>
      </c>
      <c r="AE24" s="19">
        <f t="shared" si="0"/>
        <v>8.9261189774727967</v>
      </c>
      <c r="AF24" s="19">
        <f t="shared" si="1"/>
        <v>25.499196058218978</v>
      </c>
      <c r="AG24" s="2" t="s">
        <v>146</v>
      </c>
      <c r="AH24" s="13">
        <v>-5</v>
      </c>
      <c r="AI24" s="13">
        <v>4.5</v>
      </c>
      <c r="AJ24" s="19">
        <f>IF(Abschlüsse[[#This Row],[Ergeb]]="ET","",SQRT(($AC24-$AH24)^2+($AD24-$AI24)^2))</f>
        <v>4.6097722286464435</v>
      </c>
      <c r="AK24" s="3">
        <v>2</v>
      </c>
      <c r="AL24" s="13">
        <v>-7.5</v>
      </c>
      <c r="AM24" s="13">
        <v>8.5</v>
      </c>
      <c r="AN24" s="19">
        <f t="shared" si="2"/>
        <v>1.4142135623730951</v>
      </c>
      <c r="AO24" s="3">
        <v>0</v>
      </c>
      <c r="AR24" s="19" t="str">
        <f t="shared" si="3"/>
        <v/>
      </c>
      <c r="AS24" s="1"/>
    </row>
    <row r="25" spans="1:45" ht="25.05" customHeight="1">
      <c r="A25" s="3">
        <v>1</v>
      </c>
      <c r="B25" s="2" t="s">
        <v>54</v>
      </c>
      <c r="C25" s="17" t="str">
        <f>IF($A25="","",IF(VLOOKUP($A25,Spiele!$A$2:$D$15,3,FALSE)=$B25,"H","G"))</f>
        <v>G</v>
      </c>
      <c r="D25" s="17" t="str">
        <f>IF($B25="","",IF(VLOOKUP($A25,Spiele!$A$2:$F$15,3,FALSE)=$B25,VLOOKUP($A25,Spiele!$A$2:$F$15,4,FALSE),VLOOKUP($A25,Spiele!$A$2:$F$15,3,FALSE)))</f>
        <v>FCN</v>
      </c>
      <c r="E25" s="18">
        <f>IF(Abschlüsse[[#This Row],[Ergeb]]="ET",0,COUNTIFS($A$2:$A25,$A25,$B$2:$B25,$B25,$L$2:$L25,"&lt;&gt;ET"))</f>
        <v>9</v>
      </c>
      <c r="F25" s="11">
        <v>72</v>
      </c>
      <c r="G25" s="12">
        <v>2</v>
      </c>
      <c r="H25" s="18">
        <f>COUNTIFS('Rote Karten'!$A$2:$A$4,$A25,'Rote Karten'!$D$2:$D$4,"&lt;&gt;"&amp;$B25,'Rote Karten'!$B$2:$B$4,"&lt;"&amp;$F25,'Rote Karten'!$C$2:$C$4,"&lt;="&amp;$G25)-COUNTIFS('Rote Karten'!$A$2:$A$4,$A25,'Rote Karten'!$D$2:$D$4,$B25,'Rote Karten'!$B$2:$B$4,"&lt;"&amp;$F25,'Rote Karten'!$C$2:$C$4,"&lt;="&amp;$G25)</f>
        <v>0</v>
      </c>
      <c r="I25" s="17" t="str">
        <f>IF(OR($L25="Tor",$L25="ET"),_xlfn.IFNA(IF(VLOOKUP($A25,Spiele!$A$2:$C$15,3,FALSE)=$B25,COUNTIFS($L$2:$L25,"Tor",$B$2:$B25,$B25,$A$2:$A25,$A25)+COUNTIFS($L$2:$L25,"ET",$B$2:$B25,$B25,$A$2:$A25,$A25)&amp;":"&amp;COUNTIFS($L$2:$L25,"Tor",$B$2:$B25,"&lt;&gt;"&amp;$B25,$A$2:$A25,$A25)+COUNTIFS($L$2:$L25,"ET",$B$2:$B25,"&lt;&gt;"&amp;$B25,$A$2:$A25,$A25),COUNTIFS($L$2:$L25,"Tor",$B$2:$B25,"&lt;&gt;"&amp;$B25,$A$2:$A25,$A25)+COUNTIFS($L$2:$L25,"ET",$B$2:$B25,"&lt;&gt;"&amp;$B25,$A$2:$A25,$A25)&amp;":"&amp;COUNTIFS($L$2:$L25,"Tor",$B$2:$B25,$B25,$A$2:$A25,$A25)+COUNTIFS($L$2:$L25,"ET",$B$2:$B25,$B25,$A$2:$A25,$A25)),""),"")</f>
        <v/>
      </c>
      <c r="J25" s="18">
        <f>_xlfn.IFNA(IF(VLOOKUP($A25,Spiele!$A$2:$D$15,3,FALSE)=$B25,(COUNTIFS($L$1:$L24,"Tor",$B$1:$B24,$B25,$A$1:$A24,$A25)+COUNTIFS($L$1:$L24,"ET",$B$1:$B24,$B25,$A$1:$A24,$A25))-(COUNTIFS($L$1:$L24,"Tor",$B$1:$B24,"&lt;&gt;"&amp;$B25,$A$1:$A24,$A25)+COUNTIFS($L$1:$L24,"ET",$B$1:$B24,"&lt;&gt;"&amp;$B25,$A$1:$A24,$A25)),(COUNTIFS($L$1:$L24,"Tor",$B$1:$B24,$B25,$A$1:$A24,$A25)+COUNTIFS($L$1:$L24,"ET",$B$1:$B24,$B25,$A$1:$A24,$A25))-(COUNTIFS($L$1:$L24,"Tor",$B$1:$B24,"&lt;&gt;"&amp;$B25,$A$1:$A24,$A25)+COUNTIFS($L$1:$L24,"ET",$B$1:$B24,"&lt;&gt;"&amp;$B25,$A$1:$A24,$A25))),"")</f>
        <v>-4</v>
      </c>
      <c r="K25" s="3">
        <v>22</v>
      </c>
      <c r="L25" s="17" t="s">
        <v>18</v>
      </c>
      <c r="M25" s="2" t="s">
        <v>157</v>
      </c>
      <c r="N25" s="2" t="s">
        <v>158</v>
      </c>
      <c r="X25" s="2" t="s">
        <v>151</v>
      </c>
      <c r="Y25" s="17" t="s">
        <v>149</v>
      </c>
      <c r="Z25" s="14" t="s">
        <v>150</v>
      </c>
      <c r="AA25" s="14" t="s">
        <v>156</v>
      </c>
      <c r="AB25" s="18"/>
      <c r="AC25" s="13">
        <v>-13.5</v>
      </c>
      <c r="AD25" s="13">
        <v>22</v>
      </c>
      <c r="AE25" s="19">
        <f t="shared" si="0"/>
        <v>24.100323649279069</v>
      </c>
      <c r="AF25" s="19">
        <f t="shared" si="1"/>
        <v>13.856565051061848</v>
      </c>
      <c r="AG25" s="2" t="s">
        <v>146</v>
      </c>
      <c r="AH25" s="13">
        <v>-1.5</v>
      </c>
      <c r="AI25" s="13">
        <v>1.5</v>
      </c>
      <c r="AJ25" s="19">
        <f>IF(Abschlüsse[[#This Row],[Ergeb]]="ET","",SQRT(($AC25-$AH25)^2+($AD25-$AI25)^2))</f>
        <v>23.753947040439407</v>
      </c>
      <c r="AK25" s="3">
        <v>1</v>
      </c>
      <c r="AL25" s="13">
        <v>-14</v>
      </c>
      <c r="AM25" s="13">
        <v>20</v>
      </c>
      <c r="AN25" s="19">
        <f t="shared" si="2"/>
        <v>2.0615528128088303</v>
      </c>
      <c r="AO25" s="3">
        <v>1</v>
      </c>
      <c r="AP25" s="13">
        <v>-7.5</v>
      </c>
      <c r="AQ25" s="13">
        <v>17</v>
      </c>
      <c r="AR25" s="19">
        <f t="shared" si="3"/>
        <v>7.810249675906654</v>
      </c>
      <c r="AS25" s="1"/>
    </row>
    <row r="26" spans="1:45" ht="25.05" customHeight="1">
      <c r="A26" s="3">
        <v>1</v>
      </c>
      <c r="B26" s="2" t="s">
        <v>8</v>
      </c>
      <c r="C26" s="17" t="str">
        <f>IF($A26="","",IF(VLOOKUP($A26,Spiele!$A$2:$D$15,3,FALSE)=$B26,"H","G"))</f>
        <v>H</v>
      </c>
      <c r="D26" s="17" t="str">
        <f>IF($B26="","",IF(VLOOKUP($A26,Spiele!$A$2:$F$15,3,FALSE)=$B26,VLOOKUP($A26,Spiele!$A$2:$F$15,4,FALSE),VLOOKUP($A26,Spiele!$A$2:$F$15,3,FALSE)))</f>
        <v>GWD</v>
      </c>
      <c r="E26" s="18">
        <f>IF(Abschlüsse[[#This Row],[Ergeb]]="ET",0,COUNTIFS($A$2:$A26,$A26,$B$2:$B26,$B26,$L$2:$L26,"&lt;&gt;ET"))</f>
        <v>16</v>
      </c>
      <c r="F26" s="11">
        <v>75</v>
      </c>
      <c r="G26" s="12">
        <v>2</v>
      </c>
      <c r="H26" s="18">
        <f>COUNTIFS('Rote Karten'!$A$2:$A$4,$A26,'Rote Karten'!$D$2:$D$4,"&lt;&gt;"&amp;$B26,'Rote Karten'!$B$2:$B$4,"&lt;"&amp;$F26,'Rote Karten'!$C$2:$C$4,"&lt;="&amp;$G26)-COUNTIFS('Rote Karten'!$A$2:$A$4,$A26,'Rote Karten'!$D$2:$D$4,$B26,'Rote Karten'!$B$2:$B$4,"&lt;"&amp;$F26,'Rote Karten'!$C$2:$C$4,"&lt;="&amp;$G26)</f>
        <v>0</v>
      </c>
      <c r="I26" s="17" t="str">
        <f>IF(OR($L26="Tor",$L26="ET"),_xlfn.IFNA(IF(VLOOKUP($A26,Spiele!$A$2:$C$15,3,FALSE)=$B26,COUNTIFS($L$2:$L26,"Tor",$B$2:$B26,$B26,$A$2:$A26,$A26)+COUNTIFS($L$2:$L26,"ET",$B$2:$B26,$B26,$A$2:$A26,$A26)&amp;":"&amp;COUNTIFS($L$2:$L26,"Tor",$B$2:$B26,"&lt;&gt;"&amp;$B26,$A$2:$A26,$A26)+COUNTIFS($L$2:$L26,"ET",$B$2:$B26,"&lt;&gt;"&amp;$B26,$A$2:$A26,$A26),COUNTIFS($L$2:$L26,"Tor",$B$2:$B26,"&lt;&gt;"&amp;$B26,$A$2:$A26,$A26)+COUNTIFS($L$2:$L26,"ET",$B$2:$B26,"&lt;&gt;"&amp;$B26,$A$2:$A26,$A26)&amp;":"&amp;COUNTIFS($L$2:$L26,"Tor",$B$2:$B26,$B26,$A$2:$A26,$A26)+COUNTIFS($L$2:$L26,"ET",$B$2:$B26,$B26,$A$2:$A26,$A26)),""),"")</f>
        <v/>
      </c>
      <c r="J26" s="18">
        <f>_xlfn.IFNA(IF(VLOOKUP($A26,Spiele!$A$2:$D$15,3,FALSE)=$B26,(COUNTIFS($L$1:$L25,"Tor",$B$1:$B25,$B26,$A$1:$A25,$A26)+COUNTIFS($L$1:$L25,"ET",$B$1:$B25,$B26,$A$1:$A25,$A26))-(COUNTIFS($L$1:$L25,"Tor",$B$1:$B25,"&lt;&gt;"&amp;$B26,$A$1:$A25,$A26)+COUNTIFS($L$1:$L25,"ET",$B$1:$B25,"&lt;&gt;"&amp;$B26,$A$1:$A25,$A26)),(COUNTIFS($L$1:$L25,"Tor",$B$1:$B25,$B26,$A$1:$A25,$A26)+COUNTIFS($L$1:$L25,"ET",$B$1:$B25,$B26,$A$1:$A25,$A26))-(COUNTIFS($L$1:$L25,"Tor",$B$1:$B25,"&lt;&gt;"&amp;$B26,$A$1:$A25,$A26)+COUNTIFS($L$1:$L25,"ET",$B$1:$B25,"&lt;&gt;"&amp;$B26,$A$1:$A25,$A26))),"")</f>
        <v>4</v>
      </c>
      <c r="K26" s="3">
        <v>23</v>
      </c>
      <c r="L26" s="17" t="s">
        <v>19</v>
      </c>
      <c r="M26" s="2" t="s">
        <v>168</v>
      </c>
      <c r="N26" s="2" t="s">
        <v>3</v>
      </c>
      <c r="X26" s="2" t="s">
        <v>154</v>
      </c>
      <c r="Y26" s="17" t="s">
        <v>160</v>
      </c>
      <c r="Z26" s="14" t="s">
        <v>161</v>
      </c>
      <c r="AA26" s="14" t="s">
        <v>145</v>
      </c>
      <c r="AB26" s="18">
        <v>25</v>
      </c>
      <c r="AC26" s="13">
        <v>-6.5</v>
      </c>
      <c r="AD26" s="13">
        <v>2</v>
      </c>
      <c r="AE26" s="19">
        <f t="shared" si="0"/>
        <v>3.4735572544583166</v>
      </c>
      <c r="AF26" s="19">
        <f t="shared" si="1"/>
        <v>24.017868200965708</v>
      </c>
      <c r="AG26" s="2" t="s">
        <v>169</v>
      </c>
      <c r="AH26" s="13">
        <v>-1.5</v>
      </c>
      <c r="AI26" s="13">
        <v>1.5</v>
      </c>
      <c r="AJ26" s="19">
        <f>IF(Abschlüsse[[#This Row],[Ergeb]]="ET","",SQRT(($AC26-$AH26)^2+($AD26-$AI26)^2))</f>
        <v>5.024937810560445</v>
      </c>
      <c r="AK26" s="3">
        <v>0</v>
      </c>
      <c r="AL26" s="13"/>
      <c r="AM26" s="13"/>
      <c r="AN26" s="19" t="str">
        <f t="shared" si="2"/>
        <v/>
      </c>
      <c r="AO26" s="3">
        <v>1</v>
      </c>
      <c r="AP26" s="13">
        <v>-4.5</v>
      </c>
      <c r="AQ26" s="13">
        <v>1.5</v>
      </c>
      <c r="AR26" s="19">
        <f t="shared" si="3"/>
        <v>2.0615528128088303</v>
      </c>
      <c r="AS26" s="1"/>
    </row>
    <row r="27" spans="1:45" ht="25.05" customHeight="1">
      <c r="A27" s="3">
        <v>1</v>
      </c>
      <c r="B27" s="2" t="s">
        <v>8</v>
      </c>
      <c r="C27" s="17" t="str">
        <f>IF($A27="","",IF(VLOOKUP($A27,Spiele!$A$2:$D$15,3,FALSE)=$B27,"H","G"))</f>
        <v>H</v>
      </c>
      <c r="D27" s="17" t="str">
        <f>IF($B27="","",IF(VLOOKUP($A27,Spiele!$A$2:$F$15,3,FALSE)=$B27,VLOOKUP($A27,Spiele!$A$2:$F$15,4,FALSE),VLOOKUP($A27,Spiele!$A$2:$F$15,3,FALSE)))</f>
        <v>GWD</v>
      </c>
      <c r="E27" s="18">
        <f>IF(Abschlüsse[[#This Row],[Ergeb]]="ET",0,COUNTIFS($A$2:$A27,$A27,$B$2:$B27,$B27,$L$2:$L27,"&lt;&gt;ET"))</f>
        <v>17</v>
      </c>
      <c r="F27" s="11">
        <v>75</v>
      </c>
      <c r="G27" s="12">
        <v>2</v>
      </c>
      <c r="H27" s="18">
        <f>COUNTIFS('Rote Karten'!$A$2:$A$4,$A27,'Rote Karten'!$D$2:$D$4,"&lt;&gt;"&amp;$B27,'Rote Karten'!$B$2:$B$4,"&lt;"&amp;$F27,'Rote Karten'!$C$2:$C$4,"&lt;="&amp;$G27)-COUNTIFS('Rote Karten'!$A$2:$A$4,$A27,'Rote Karten'!$D$2:$D$4,$B27,'Rote Karten'!$B$2:$B$4,"&lt;"&amp;$F27,'Rote Karten'!$C$2:$C$4,"&lt;="&amp;$G27)</f>
        <v>0</v>
      </c>
      <c r="I27" s="17" t="str">
        <f>IF(OR($L27="Tor",$L27="ET"),_xlfn.IFNA(IF(VLOOKUP($A27,Spiele!$A$2:$C$15,3,FALSE)=$B27,COUNTIFS($L$2:$L27,"Tor",$B$2:$B27,$B27,$A$2:$A27,$A27)+COUNTIFS($L$2:$L27,"ET",$B$2:$B27,$B27,$A$2:$A27,$A27)&amp;":"&amp;COUNTIFS($L$2:$L27,"Tor",$B$2:$B27,"&lt;&gt;"&amp;$B27,$A$2:$A27,$A27)+COUNTIFS($L$2:$L27,"ET",$B$2:$B27,"&lt;&gt;"&amp;$B27,$A$2:$A27,$A27),COUNTIFS($L$2:$L27,"Tor",$B$2:$B27,"&lt;&gt;"&amp;$B27,$A$2:$A27,$A27)+COUNTIFS($L$2:$L27,"ET",$B$2:$B27,"&lt;&gt;"&amp;$B27,$A$2:$A27,$A27)&amp;":"&amp;COUNTIFS($L$2:$L27,"Tor",$B$2:$B27,$B27,$A$2:$A27,$A27)+COUNTIFS($L$2:$L27,"ET",$B$2:$B27,$B27,$A$2:$A27,$A27)),""),"")</f>
        <v/>
      </c>
      <c r="J27" s="18">
        <f>_xlfn.IFNA(IF(VLOOKUP($A27,Spiele!$A$2:$D$15,3,FALSE)=$B27,(COUNTIFS($L$1:$L26,"Tor",$B$1:$B26,$B27,$A$1:$A26,$A27)+COUNTIFS($L$1:$L26,"ET",$B$1:$B26,$B27,$A$1:$A26,$A27))-(COUNTIFS($L$1:$L26,"Tor",$B$1:$B26,"&lt;&gt;"&amp;$B27,$A$1:$A26,$A27)+COUNTIFS($L$1:$L26,"ET",$B$1:$B26,"&lt;&gt;"&amp;$B27,$A$1:$A26,$A27)),(COUNTIFS($L$1:$L26,"Tor",$B$1:$B26,$B27,$A$1:$A26,$A27)+COUNTIFS($L$1:$L26,"ET",$B$1:$B26,$B27,$A$1:$A26,$A27))-(COUNTIFS($L$1:$L26,"Tor",$B$1:$B26,"&lt;&gt;"&amp;$B27,$A$1:$A26,$A27)+COUNTIFS($L$1:$L26,"ET",$B$1:$B26,"&lt;&gt;"&amp;$B27,$A$1:$A26,$A27))),"")</f>
        <v>4</v>
      </c>
      <c r="K27" s="3">
        <v>24</v>
      </c>
      <c r="L27" s="17" t="s">
        <v>20</v>
      </c>
      <c r="M27" s="2" t="s">
        <v>163</v>
      </c>
      <c r="N27" s="2" t="s">
        <v>3</v>
      </c>
      <c r="X27" s="2" t="s">
        <v>142</v>
      </c>
      <c r="Y27" s="17" t="s">
        <v>143</v>
      </c>
      <c r="Z27" s="14" t="s">
        <v>150</v>
      </c>
      <c r="AA27" s="14" t="s">
        <v>145</v>
      </c>
      <c r="AB27" s="18">
        <v>5</v>
      </c>
      <c r="AC27" s="13">
        <v>9</v>
      </c>
      <c r="AD27" s="13">
        <v>11</v>
      </c>
      <c r="AE27" s="19">
        <f t="shared" si="0"/>
        <v>12.227657175436349</v>
      </c>
      <c r="AF27" s="19">
        <f t="shared" si="1"/>
        <v>23.118864658126963</v>
      </c>
      <c r="AG27" s="2" t="s">
        <v>146</v>
      </c>
      <c r="AH27" s="13">
        <v>2.5</v>
      </c>
      <c r="AI27" s="13">
        <v>0.5</v>
      </c>
      <c r="AJ27" s="19">
        <f>IF(Abschlüsse[[#This Row],[Ergeb]]="ET","",SQRT(($AC27-$AH27)^2+($AD27-$AI27)^2))</f>
        <v>12.349089035228468</v>
      </c>
      <c r="AK27" s="3">
        <v>0</v>
      </c>
      <c r="AL27" s="13"/>
      <c r="AM27" s="13"/>
      <c r="AN27" s="19" t="str">
        <f t="shared" si="2"/>
        <v/>
      </c>
      <c r="AO27" s="3">
        <v>1</v>
      </c>
      <c r="AP27" s="13">
        <v>9</v>
      </c>
      <c r="AQ27" s="13">
        <v>10.5</v>
      </c>
      <c r="AR27" s="19">
        <f t="shared" si="3"/>
        <v>0.5</v>
      </c>
      <c r="AS27" s="1"/>
    </row>
    <row r="28" spans="1:45" ht="25.05" customHeight="1">
      <c r="A28" s="3">
        <v>2</v>
      </c>
      <c r="B28" s="2" t="s">
        <v>56</v>
      </c>
      <c r="C28" s="17" t="str">
        <f>IF($A28="","",IF(VLOOKUP($A28,Spiele!$A$2:$D$15,3,FALSE)=$B28,"H","G"))</f>
        <v>H</v>
      </c>
      <c r="D28" s="17" t="str">
        <f>IF($B28="","",IF(VLOOKUP($A28,Spiele!$A$2:$F$15,3,FALSE)=$B28,VLOOKUP($A28,Spiele!$A$2:$F$15,4,FALSE),VLOOKUP($A28,Spiele!$A$2:$F$15,3,FALSE)))</f>
        <v>FCN</v>
      </c>
      <c r="E28" s="18">
        <f>IF(Abschlüsse[[#This Row],[Ergeb]]="ET",0,COUNTIFS($A$2:$A28,$A28,$B$2:$B28,$B28,$L$2:$L28,"&lt;&gt;ET"))</f>
        <v>1</v>
      </c>
      <c r="F28" s="11">
        <v>4</v>
      </c>
      <c r="G28" s="12">
        <v>1</v>
      </c>
      <c r="H28" s="18">
        <f>COUNTIFS('Rote Karten'!$A$2:$A$4,$A28,'Rote Karten'!$D$2:$D$4,"&lt;&gt;"&amp;$B28,'Rote Karten'!$B$2:$B$4,"&lt;"&amp;$F28,'Rote Karten'!$C$2:$C$4,"&lt;="&amp;$G28)-COUNTIFS('Rote Karten'!$A$2:$A$4,$A28,'Rote Karten'!$D$2:$D$4,$B28,'Rote Karten'!$B$2:$B$4,"&lt;"&amp;$F28,'Rote Karten'!$C$2:$C$4,"&lt;="&amp;$G28)</f>
        <v>0</v>
      </c>
      <c r="I28" s="17" t="str">
        <f>IF(OR($L28="Tor",$L28="ET"),_xlfn.IFNA(IF(VLOOKUP($A28,Spiele!$A$2:$C$15,3,FALSE)=$B28,COUNTIFS($L$2:$L28,"Tor",$B$2:$B28,$B28,$A$2:$A28,$A28)+COUNTIFS($L$2:$L28,"ET",$B$2:$B28,$B28,$A$2:$A28,$A28)&amp;":"&amp;COUNTIFS($L$2:$L28,"Tor",$B$2:$B28,"&lt;&gt;"&amp;$B28,$A$2:$A28,$A28)+COUNTIFS($L$2:$L28,"ET",$B$2:$B28,"&lt;&gt;"&amp;$B28,$A$2:$A28,$A28),COUNTIFS($L$2:$L28,"Tor",$B$2:$B28,"&lt;&gt;"&amp;$B28,$A$2:$A28,$A28)+COUNTIFS($L$2:$L28,"ET",$B$2:$B28,"&lt;&gt;"&amp;$B28,$A$2:$A28,$A28)&amp;":"&amp;COUNTIFS($L$2:$L28,"Tor",$B$2:$B28,$B28,$A$2:$A28,$A28)+COUNTIFS($L$2:$L28,"ET",$B$2:$B28,$B28,$A$2:$A28,$A28)),""),"")</f>
        <v>1:0</v>
      </c>
      <c r="J28" s="18">
        <f>_xlfn.IFNA(IF(VLOOKUP($A28,Spiele!$A$2:$D$15,3,FALSE)=$B28,(COUNTIFS($L$1:$L27,"Tor",$B$1:$B27,$B28,$A$1:$A27,$A28)+COUNTIFS($L$1:$L27,"ET",$B$1:$B27,$B28,$A$1:$A27,$A28))-(COUNTIFS($L$1:$L27,"Tor",$B$1:$B27,"&lt;&gt;"&amp;$B28,$A$1:$A27,$A28)+COUNTIFS($L$1:$L27,"ET",$B$1:$B27,"&lt;&gt;"&amp;$B28,$A$1:$A27,$A28)),(COUNTIFS($L$1:$L27,"Tor",$B$1:$B27,$B28,$A$1:$A27,$A28)+COUNTIFS($L$1:$L27,"ET",$B$1:$B27,$B28,$A$1:$A27,$A28))-(COUNTIFS($L$1:$L27,"Tor",$B$1:$B27,"&lt;&gt;"&amp;$B28,$A$1:$A27,$A28)+COUNTIFS($L$1:$L27,"ET",$B$1:$B27,"&lt;&gt;"&amp;$B28,$A$1:$A27,$A28))),"")</f>
        <v>0</v>
      </c>
      <c r="K28" s="3">
        <v>1</v>
      </c>
      <c r="L28" s="17" t="s">
        <v>0</v>
      </c>
      <c r="M28" s="2" t="s">
        <v>163</v>
      </c>
      <c r="N28" s="2" t="s">
        <v>158</v>
      </c>
      <c r="X28" s="2" t="s">
        <v>151</v>
      </c>
      <c r="Y28" s="17" t="s">
        <v>143</v>
      </c>
      <c r="Z28" s="14" t="s">
        <v>150</v>
      </c>
      <c r="AA28" s="14" t="s">
        <v>145</v>
      </c>
      <c r="AB28" s="18"/>
      <c r="AC28" s="13">
        <v>1.5</v>
      </c>
      <c r="AD28" s="13">
        <v>19</v>
      </c>
      <c r="AE28" s="19">
        <f t="shared" si="0"/>
        <v>19</v>
      </c>
      <c r="AF28" s="19">
        <f t="shared" si="1"/>
        <v>21.679641810257319</v>
      </c>
      <c r="AG28" s="2" t="s">
        <v>146</v>
      </c>
      <c r="AH28" s="13">
        <v>0</v>
      </c>
      <c r="AI28" s="13">
        <v>0.5</v>
      </c>
      <c r="AJ28" s="19">
        <f>IF(Abschlüsse[[#This Row],[Ergeb]]="ET","",SQRT(($AC28-$AH28)^2+($AD28-$AI28)^2))</f>
        <v>18.560711193270585</v>
      </c>
      <c r="AK28" s="3">
        <v>0</v>
      </c>
      <c r="AL28" s="13"/>
      <c r="AM28" s="13"/>
      <c r="AN28" s="19" t="str">
        <f t="shared" si="2"/>
        <v/>
      </c>
      <c r="AO28" s="3">
        <v>1</v>
      </c>
      <c r="AP28" s="13">
        <v>1</v>
      </c>
      <c r="AQ28" s="13">
        <v>16.5</v>
      </c>
      <c r="AR28" s="19">
        <f t="shared" si="3"/>
        <v>2.5495097567963922</v>
      </c>
      <c r="AS28" s="1"/>
    </row>
    <row r="29" spans="1:45" ht="25.05" customHeight="1">
      <c r="A29" s="3">
        <v>2</v>
      </c>
      <c r="B29" s="2" t="s">
        <v>8</v>
      </c>
      <c r="C29" s="17" t="str">
        <f>IF($A29="","",IF(VLOOKUP($A29,Spiele!$A$2:$D$15,3,FALSE)=$B29,"H","G"))</f>
        <v>G</v>
      </c>
      <c r="D29" s="17" t="str">
        <f>IF($B29="","",IF(VLOOKUP($A29,Spiele!$A$2:$F$15,3,FALSE)=$B29,VLOOKUP($A29,Spiele!$A$2:$F$15,4,FALSE),VLOOKUP($A29,Spiele!$A$2:$F$15,3,FALSE)))</f>
        <v>FCD</v>
      </c>
      <c r="E29" s="18">
        <f>IF(Abschlüsse[[#This Row],[Ergeb]]="ET",0,COUNTIFS($A$2:$A29,$A29,$B$2:$B29,$B29,$L$2:$L29,"&lt;&gt;ET"))</f>
        <v>1</v>
      </c>
      <c r="F29" s="11">
        <v>10</v>
      </c>
      <c r="G29" s="12">
        <v>1</v>
      </c>
      <c r="H29" s="18">
        <f>COUNTIFS('Rote Karten'!$A$2:$A$4,$A29,'Rote Karten'!$D$2:$D$4,"&lt;&gt;"&amp;$B29,'Rote Karten'!$B$2:$B$4,"&lt;"&amp;$F29,'Rote Karten'!$C$2:$C$4,"&lt;="&amp;$G29)-COUNTIFS('Rote Karten'!$A$2:$A$4,$A29,'Rote Karten'!$D$2:$D$4,$B29,'Rote Karten'!$B$2:$B$4,"&lt;"&amp;$F29,'Rote Karten'!$C$2:$C$4,"&lt;="&amp;$G29)</f>
        <v>0</v>
      </c>
      <c r="I29" s="17" t="str">
        <f>IF(OR($L29="Tor",$L29="ET"),_xlfn.IFNA(IF(VLOOKUP($A29,Spiele!$A$2:$C$15,3,FALSE)=$B29,COUNTIFS($L$2:$L29,"Tor",$B$2:$B29,$B29,$A$2:$A29,$A29)+COUNTIFS($L$2:$L29,"ET",$B$2:$B29,$B29,$A$2:$A29,$A29)&amp;":"&amp;COUNTIFS($L$2:$L29,"Tor",$B$2:$B29,"&lt;&gt;"&amp;$B29,$A$2:$A29,$A29)+COUNTIFS($L$2:$L29,"ET",$B$2:$B29,"&lt;&gt;"&amp;$B29,$A$2:$A29,$A29),COUNTIFS($L$2:$L29,"Tor",$B$2:$B29,"&lt;&gt;"&amp;$B29,$A$2:$A29,$A29)+COUNTIFS($L$2:$L29,"ET",$B$2:$B29,"&lt;&gt;"&amp;$B29,$A$2:$A29,$A29)&amp;":"&amp;COUNTIFS($L$2:$L29,"Tor",$B$2:$B29,$B29,$A$2:$A29,$A29)+COUNTIFS($L$2:$L29,"ET",$B$2:$B29,$B29,$A$2:$A29,$A29)),""),"")</f>
        <v/>
      </c>
      <c r="J29" s="18">
        <f>_xlfn.IFNA(IF(VLOOKUP($A29,Spiele!$A$2:$D$15,3,FALSE)=$B29,(COUNTIFS($L$1:$L28,"Tor",$B$1:$B28,$B29,$A$1:$A28,$A29)+COUNTIFS($L$1:$L28,"ET",$B$1:$B28,$B29,$A$1:$A28,$A29))-(COUNTIFS($L$1:$L28,"Tor",$B$1:$B28,"&lt;&gt;"&amp;$B29,$A$1:$A28,$A29)+COUNTIFS($L$1:$L28,"ET",$B$1:$B28,"&lt;&gt;"&amp;$B29,$A$1:$A28,$A29)),(COUNTIFS($L$1:$L28,"Tor",$B$1:$B28,$B29,$A$1:$A28,$A29)+COUNTIFS($L$1:$L28,"ET",$B$1:$B28,$B29,$A$1:$A28,$A29))-(COUNTIFS($L$1:$L28,"Tor",$B$1:$B28,"&lt;&gt;"&amp;$B29,$A$1:$A28,$A29)+COUNTIFS($L$1:$L28,"ET",$B$1:$B28,"&lt;&gt;"&amp;$B29,$A$1:$A28,$A29))),"")</f>
        <v>-1</v>
      </c>
      <c r="K29" s="3">
        <v>2</v>
      </c>
      <c r="L29" s="17" t="s">
        <v>19</v>
      </c>
      <c r="M29" s="2" t="s">
        <v>147</v>
      </c>
      <c r="N29" s="2" t="s">
        <v>172</v>
      </c>
      <c r="O29" s="2">
        <v>13</v>
      </c>
      <c r="P29" s="2">
        <v>8</v>
      </c>
      <c r="Q29" s="2">
        <v>20</v>
      </c>
      <c r="X29" s="2" t="s">
        <v>142</v>
      </c>
      <c r="Y29" s="17" t="s">
        <v>149</v>
      </c>
      <c r="Z29" s="14" t="s">
        <v>150</v>
      </c>
      <c r="AA29" s="14" t="s">
        <v>156</v>
      </c>
      <c r="AB29" s="18">
        <v>9</v>
      </c>
      <c r="AC29" s="13">
        <v>-4</v>
      </c>
      <c r="AD29" s="13">
        <v>6.5</v>
      </c>
      <c r="AE29" s="19">
        <f t="shared" si="0"/>
        <v>6.5088862334503901</v>
      </c>
      <c r="AF29" s="19">
        <f t="shared" si="1"/>
        <v>46.688983101737932</v>
      </c>
      <c r="AG29" s="2" t="s">
        <v>146</v>
      </c>
      <c r="AH29" s="13">
        <v>-2</v>
      </c>
      <c r="AI29" s="13">
        <v>1</v>
      </c>
      <c r="AJ29" s="19">
        <f>IF(Abschlüsse[[#This Row],[Ergeb]]="ET","",SQRT(($AC29-$AH29)^2+($AD29-$AI29)^2))</f>
        <v>5.8523499553598128</v>
      </c>
      <c r="AK29" s="3">
        <v>0</v>
      </c>
      <c r="AL29" s="13"/>
      <c r="AM29" s="13"/>
      <c r="AN29" s="19" t="str">
        <f t="shared" si="2"/>
        <v/>
      </c>
      <c r="AO29" s="3">
        <v>1</v>
      </c>
      <c r="AP29" s="13">
        <v>-3.5</v>
      </c>
      <c r="AQ29" s="13">
        <v>6</v>
      </c>
      <c r="AR29" s="19">
        <f t="shared" si="3"/>
        <v>0.70710678118654757</v>
      </c>
      <c r="AS29" s="1"/>
    </row>
    <row r="30" spans="1:45" ht="25.05" customHeight="1">
      <c r="A30" s="3">
        <v>2</v>
      </c>
      <c r="B30" s="2" t="s">
        <v>56</v>
      </c>
      <c r="C30" s="17" t="str">
        <f>IF($A30="","",IF(VLOOKUP($A30,Spiele!$A$2:$D$15,3,FALSE)=$B30,"H","G"))</f>
        <v>H</v>
      </c>
      <c r="D30" s="17" t="str">
        <f>IF($B30="","",IF(VLOOKUP($A30,Spiele!$A$2:$F$15,3,FALSE)=$B30,VLOOKUP($A30,Spiele!$A$2:$F$15,4,FALSE),VLOOKUP($A30,Spiele!$A$2:$F$15,3,FALSE)))</f>
        <v>FCN</v>
      </c>
      <c r="E30" s="18">
        <f>IF(Abschlüsse[[#This Row],[Ergeb]]="ET",0,COUNTIFS($A$2:$A30,$A30,$B$2:$B30,$B30,$L$2:$L30,"&lt;&gt;ET"))</f>
        <v>2</v>
      </c>
      <c r="F30" s="11">
        <v>11</v>
      </c>
      <c r="G30" s="12">
        <v>1</v>
      </c>
      <c r="H30" s="18">
        <f>COUNTIFS('Rote Karten'!$A$2:$A$4,$A30,'Rote Karten'!$D$2:$D$4,"&lt;&gt;"&amp;$B30,'Rote Karten'!$B$2:$B$4,"&lt;"&amp;$F30,'Rote Karten'!$C$2:$C$4,"&lt;="&amp;$G30)-COUNTIFS('Rote Karten'!$A$2:$A$4,$A30,'Rote Karten'!$D$2:$D$4,$B30,'Rote Karten'!$B$2:$B$4,"&lt;"&amp;$F30,'Rote Karten'!$C$2:$C$4,"&lt;="&amp;$G30)</f>
        <v>0</v>
      </c>
      <c r="I30" s="17" t="str">
        <f>IF(OR($L30="Tor",$L30="ET"),_xlfn.IFNA(IF(VLOOKUP($A30,Spiele!$A$2:$C$15,3,FALSE)=$B30,COUNTIFS($L$2:$L30,"Tor",$B$2:$B30,$B30,$A$2:$A30,$A30)+COUNTIFS($L$2:$L30,"ET",$B$2:$B30,$B30,$A$2:$A30,$A30)&amp;":"&amp;COUNTIFS($L$2:$L30,"Tor",$B$2:$B30,"&lt;&gt;"&amp;$B30,$A$2:$A30,$A30)+COUNTIFS($L$2:$L30,"ET",$B$2:$B30,"&lt;&gt;"&amp;$B30,$A$2:$A30,$A30),COUNTIFS($L$2:$L30,"Tor",$B$2:$B30,"&lt;&gt;"&amp;$B30,$A$2:$A30,$A30)+COUNTIFS($L$2:$L30,"ET",$B$2:$B30,"&lt;&gt;"&amp;$B30,$A$2:$A30,$A30)&amp;":"&amp;COUNTIFS($L$2:$L30,"Tor",$B$2:$B30,$B30,$A$2:$A30,$A30)+COUNTIFS($L$2:$L30,"ET",$B$2:$B30,$B30,$A$2:$A30,$A30)),""),"")</f>
        <v/>
      </c>
      <c r="J30" s="18">
        <f>_xlfn.IFNA(IF(VLOOKUP($A30,Spiele!$A$2:$D$15,3,FALSE)=$B30,(COUNTIFS($L$1:$L29,"Tor",$B$1:$B29,$B30,$A$1:$A29,$A30)+COUNTIFS($L$1:$L29,"ET",$B$1:$B29,$B30,$A$1:$A29,$A30))-(COUNTIFS($L$1:$L29,"Tor",$B$1:$B29,"&lt;&gt;"&amp;$B30,$A$1:$A29,$A30)+COUNTIFS($L$1:$L29,"ET",$B$1:$B29,"&lt;&gt;"&amp;$B30,$A$1:$A29,$A30)),(COUNTIFS($L$1:$L29,"Tor",$B$1:$B29,$B30,$A$1:$A29,$A30)+COUNTIFS($L$1:$L29,"ET",$B$1:$B29,$B30,$A$1:$A29,$A30))-(COUNTIFS($L$1:$L29,"Tor",$B$1:$B29,"&lt;&gt;"&amp;$B30,$A$1:$A29,$A30)+COUNTIFS($L$1:$L29,"ET",$B$1:$B29,"&lt;&gt;"&amp;$B30,$A$1:$A29,$A30))),"")</f>
        <v>1</v>
      </c>
      <c r="K30" s="3">
        <v>3</v>
      </c>
      <c r="L30" s="18" t="s">
        <v>18</v>
      </c>
      <c r="M30" s="3" t="s">
        <v>147</v>
      </c>
      <c r="N30" s="2" t="s">
        <v>172</v>
      </c>
      <c r="X30" s="22" t="s">
        <v>142</v>
      </c>
      <c r="Y30" s="18" t="s">
        <v>149</v>
      </c>
      <c r="Z30" s="14" t="s">
        <v>150</v>
      </c>
      <c r="AA30" s="14" t="s">
        <v>145</v>
      </c>
      <c r="AB30" s="18"/>
      <c r="AC30" s="13">
        <v>1.5</v>
      </c>
      <c r="AD30" s="13">
        <v>5.5</v>
      </c>
      <c r="AE30" s="19">
        <f>IF($L30="ET","",IF($AC30&gt;3.66,SQRT($AD30^2+($AC30-(7.32/2))^2),IF($AC30&lt;-3.66,SQRT($AD30^2+($AC30+(7.32/2))^2),$AD30)))</f>
        <v>5.5</v>
      </c>
      <c r="AF30" s="19">
        <f>IF($L30="ET","",IF(DEGREES(ATAN((7.32*$AD30)/($AD30^2+$AC30^2-(7.32/2)^2)))&lt;=0,180+DEGREES(ATAN((7.32*$AD30)/($AD30^2+$AC30^2-(7.32/2)^2))),DEGREES(ATAN((7.32*$AD30)/($AD30^2+$AC30^2-(7.32/2)^2)))))</f>
        <v>64.61446408277591</v>
      </c>
      <c r="AG30" s="3" t="s">
        <v>169</v>
      </c>
      <c r="AH30" s="13">
        <v>3.5</v>
      </c>
      <c r="AI30" s="13">
        <v>0</v>
      </c>
      <c r="AJ30" s="19">
        <f>IF(Abschlüsse[[#This Row],[Ergeb]]="ET","",SQRT(($AC30-$AH30)^2+($AD30-$AI30)^2))</f>
        <v>5.8523499553598128</v>
      </c>
      <c r="AK30" s="3">
        <v>1</v>
      </c>
      <c r="AL30" s="13">
        <v>3</v>
      </c>
      <c r="AM30" s="13">
        <v>6</v>
      </c>
      <c r="AN30" s="19">
        <f>IF(AK30=0,"",SQRT(($AC30-$AL30)^2+($AD30-$AM30)^2))</f>
        <v>1.5811388300841898</v>
      </c>
      <c r="AO30" s="3">
        <v>0</v>
      </c>
      <c r="AR30" s="19" t="str">
        <f>IF(AO30=0,"",SQRT(($AC30-$AP30)^2+($AD30-$AQ30)^2))</f>
        <v/>
      </c>
      <c r="AS30" s="1"/>
    </row>
    <row r="31" spans="1:45" ht="25.05" customHeight="1">
      <c r="A31" s="3">
        <v>2</v>
      </c>
      <c r="B31" s="2" t="s">
        <v>56</v>
      </c>
      <c r="C31" s="17" t="str">
        <f>IF($A31="","",IF(VLOOKUP($A31,Spiele!$A$2:$D$15,3,FALSE)=$B31,"H","G"))</f>
        <v>H</v>
      </c>
      <c r="D31" s="17" t="str">
        <f>IF($B31="","",IF(VLOOKUP($A31,Spiele!$A$2:$F$15,3,FALSE)=$B31,VLOOKUP($A31,Spiele!$A$2:$F$15,4,FALSE),VLOOKUP($A31,Spiele!$A$2:$F$15,3,FALSE)))</f>
        <v>FCN</v>
      </c>
      <c r="E31" s="18">
        <f>IF(Abschlüsse[[#This Row],[Ergeb]]="ET",0,COUNTIFS($A$2:$A31,$A31,$B$2:$B31,$B31,$L$2:$L31,"&lt;&gt;ET"))</f>
        <v>3</v>
      </c>
      <c r="F31" s="11">
        <v>11</v>
      </c>
      <c r="G31" s="12">
        <v>1</v>
      </c>
      <c r="H31" s="18">
        <f>COUNTIFS('Rote Karten'!$A$2:$A$4,$A31,'Rote Karten'!$D$2:$D$4,"&lt;&gt;"&amp;$B31,'Rote Karten'!$B$2:$B$4,"&lt;"&amp;$F31,'Rote Karten'!$C$2:$C$4,"&lt;="&amp;$G31)-COUNTIFS('Rote Karten'!$A$2:$A$4,$A31,'Rote Karten'!$D$2:$D$4,$B31,'Rote Karten'!$B$2:$B$4,"&lt;"&amp;$F31,'Rote Karten'!$C$2:$C$4,"&lt;="&amp;$G31)</f>
        <v>0</v>
      </c>
      <c r="I31" s="17" t="str">
        <f>IF(OR($L31="Tor",$L31="ET"),_xlfn.IFNA(IF(VLOOKUP($A31,Spiele!$A$2:$C$15,3,FALSE)=$B31,COUNTIFS($L$2:$L31,"Tor",$B$2:$B31,$B31,$A$2:$A31,$A31)+COUNTIFS($L$2:$L31,"ET",$B$2:$B31,$B31,$A$2:$A31,$A31)&amp;":"&amp;COUNTIFS($L$2:$L31,"Tor",$B$2:$B31,"&lt;&gt;"&amp;$B31,$A$2:$A31,$A31)+COUNTIFS($L$2:$L31,"ET",$B$2:$B31,"&lt;&gt;"&amp;$B31,$A$2:$A31,$A31),COUNTIFS($L$2:$L31,"Tor",$B$2:$B31,"&lt;&gt;"&amp;$B31,$A$2:$A31,$A31)+COUNTIFS($L$2:$L31,"ET",$B$2:$B31,"&lt;&gt;"&amp;$B31,$A$2:$A31,$A31)&amp;":"&amp;COUNTIFS($L$2:$L31,"Tor",$B$2:$B31,$B31,$A$2:$A31,$A31)+COUNTIFS($L$2:$L31,"ET",$B$2:$B31,$B31,$A$2:$A31,$A31)),""),"")</f>
        <v>2:0</v>
      </c>
      <c r="J31" s="18">
        <f>_xlfn.IFNA(IF(VLOOKUP($A31,Spiele!$A$2:$D$15,3,FALSE)=$B31,(COUNTIFS($L$1:$L30,"Tor",$B$1:$B30,$B31,$A$1:$A30,$A31)+COUNTIFS($L$1:$L30,"ET",$B$1:$B30,$B31,$A$1:$A30,$A31))-(COUNTIFS($L$1:$L30,"Tor",$B$1:$B30,"&lt;&gt;"&amp;$B31,$A$1:$A30,$A31)+COUNTIFS($L$1:$L30,"ET",$B$1:$B30,"&lt;&gt;"&amp;$B31,$A$1:$A30,$A31)),(COUNTIFS($L$1:$L30,"Tor",$B$1:$B30,$B31,$A$1:$A30,$A31)+COUNTIFS($L$1:$L30,"ET",$B$1:$B30,$B31,$A$1:$A30,$A31))-(COUNTIFS($L$1:$L30,"Tor",$B$1:$B30,"&lt;&gt;"&amp;$B31,$A$1:$A30,$A31)+COUNTIFS($L$1:$L30,"ET",$B$1:$B30,"&lt;&gt;"&amp;$B31,$A$1:$A30,$A31))),"")</f>
        <v>1</v>
      </c>
      <c r="K31" s="3">
        <v>3</v>
      </c>
      <c r="L31" s="17" t="s">
        <v>0</v>
      </c>
      <c r="M31" s="2" t="s">
        <v>147</v>
      </c>
      <c r="N31" s="2" t="s">
        <v>165</v>
      </c>
      <c r="X31" s="2" t="s">
        <v>141</v>
      </c>
      <c r="Y31" s="17" t="s">
        <v>143</v>
      </c>
      <c r="Z31" s="14" t="s">
        <v>144</v>
      </c>
      <c r="AA31" s="14" t="s">
        <v>145</v>
      </c>
      <c r="AB31" s="18"/>
      <c r="AC31" s="13">
        <v>1</v>
      </c>
      <c r="AD31" s="13">
        <v>1.5</v>
      </c>
      <c r="AE31" s="19">
        <f t="shared" si="0"/>
        <v>1.5</v>
      </c>
      <c r="AF31" s="19">
        <f t="shared" si="1"/>
        <v>132.7381583774586</v>
      </c>
      <c r="AG31" s="2" t="s">
        <v>169</v>
      </c>
      <c r="AH31" s="13">
        <v>1.5</v>
      </c>
      <c r="AI31" s="13">
        <v>0.5</v>
      </c>
      <c r="AJ31" s="19">
        <f>IF(Abschlüsse[[#This Row],[Ergeb]]="ET","",SQRT(($AC31-$AH31)^2+($AD31-$AI31)^2))</f>
        <v>1.1180339887498949</v>
      </c>
      <c r="AK31" s="3">
        <v>0</v>
      </c>
      <c r="AL31" s="13"/>
      <c r="AM31" s="13"/>
      <c r="AN31" s="19" t="str">
        <f t="shared" si="2"/>
        <v/>
      </c>
      <c r="AO31" s="3">
        <v>0</v>
      </c>
      <c r="AR31" s="19" t="str">
        <f t="shared" si="3"/>
        <v/>
      </c>
      <c r="AS31" s="1"/>
    </row>
    <row r="32" spans="1:45" ht="25.05" customHeight="1">
      <c r="A32" s="3">
        <v>2</v>
      </c>
      <c r="B32" s="2" t="s">
        <v>8</v>
      </c>
      <c r="C32" s="17" t="str">
        <f>IF($A32="","",IF(VLOOKUP($A32,Spiele!$A$2:$D$15,3,FALSE)=$B32,"H","G"))</f>
        <v>G</v>
      </c>
      <c r="D32" s="17" t="str">
        <f>IF($B32="","",IF(VLOOKUP($A32,Spiele!$A$2:$F$15,3,FALSE)=$B32,VLOOKUP($A32,Spiele!$A$2:$F$15,4,FALSE),VLOOKUP($A32,Spiele!$A$2:$F$15,3,FALSE)))</f>
        <v>FCD</v>
      </c>
      <c r="E32" s="18">
        <f>IF(Abschlüsse[[#This Row],[Ergeb]]="ET",0,COUNTIFS($A$2:$A32,$A32,$B$2:$B32,$B32,$L$2:$L32,"&lt;&gt;ET"))</f>
        <v>2</v>
      </c>
      <c r="F32" s="11">
        <v>13</v>
      </c>
      <c r="G32" s="12">
        <v>1</v>
      </c>
      <c r="H32" s="18">
        <f>COUNTIFS('Rote Karten'!$A$2:$A$4,$A32,'Rote Karten'!$D$2:$D$4,"&lt;&gt;"&amp;$B32,'Rote Karten'!$B$2:$B$4,"&lt;"&amp;$F32,'Rote Karten'!$C$2:$C$4,"&lt;="&amp;$G32)-COUNTIFS('Rote Karten'!$A$2:$A$4,$A32,'Rote Karten'!$D$2:$D$4,$B32,'Rote Karten'!$B$2:$B$4,"&lt;"&amp;$F32,'Rote Karten'!$C$2:$C$4,"&lt;="&amp;$G32)</f>
        <v>0</v>
      </c>
      <c r="I32" s="17" t="str">
        <f>IF(OR($L32="Tor",$L32="ET"),_xlfn.IFNA(IF(VLOOKUP($A32,Spiele!$A$2:$C$15,3,FALSE)=$B32,COUNTIFS($L$2:$L32,"Tor",$B$2:$B32,$B32,$A$2:$A32,$A32)+COUNTIFS($L$2:$L32,"ET",$B$2:$B32,$B32,$A$2:$A32,$A32)&amp;":"&amp;COUNTIFS($L$2:$L32,"Tor",$B$2:$B32,"&lt;&gt;"&amp;$B32,$A$2:$A32,$A32)+COUNTIFS($L$2:$L32,"ET",$B$2:$B32,"&lt;&gt;"&amp;$B32,$A$2:$A32,$A32),COUNTIFS($L$2:$L32,"Tor",$B$2:$B32,"&lt;&gt;"&amp;$B32,$A$2:$A32,$A32)+COUNTIFS($L$2:$L32,"ET",$B$2:$B32,"&lt;&gt;"&amp;$B32,$A$2:$A32,$A32)&amp;":"&amp;COUNTIFS($L$2:$L32,"Tor",$B$2:$B32,$B32,$A$2:$A32,$A32)+COUNTIFS($L$2:$L32,"ET",$B$2:$B32,$B32,$A$2:$A32,$A32)),""),"")</f>
        <v/>
      </c>
      <c r="J32" s="18">
        <f>_xlfn.IFNA(IF(VLOOKUP($A32,Spiele!$A$2:$D$15,3,FALSE)=$B32,(COUNTIFS($L$1:$L31,"Tor",$B$1:$B31,$B32,$A$1:$A31,$A32)+COUNTIFS($L$1:$L31,"ET",$B$1:$B31,$B32,$A$1:$A31,$A32))-(COUNTIFS($L$1:$L31,"Tor",$B$1:$B31,"&lt;&gt;"&amp;$B32,$A$1:$A31,$A32)+COUNTIFS($L$1:$L31,"ET",$B$1:$B31,"&lt;&gt;"&amp;$B32,$A$1:$A31,$A32)),(COUNTIFS($L$1:$L31,"Tor",$B$1:$B31,$B32,$A$1:$A31,$A32)+COUNTIFS($L$1:$L31,"ET",$B$1:$B31,$B32,$A$1:$A31,$A32))-(COUNTIFS($L$1:$L31,"Tor",$B$1:$B31,"&lt;&gt;"&amp;$B32,$A$1:$A31,$A32)+COUNTIFS($L$1:$L31,"ET",$B$1:$B31,"&lt;&gt;"&amp;$B32,$A$1:$A31,$A32))),"")</f>
        <v>-2</v>
      </c>
      <c r="K32" s="3">
        <v>4</v>
      </c>
      <c r="L32" s="17" t="s">
        <v>19</v>
      </c>
      <c r="M32" s="2" t="s">
        <v>173</v>
      </c>
      <c r="N32" s="2" t="s">
        <v>173</v>
      </c>
      <c r="O32" s="2">
        <v>8</v>
      </c>
      <c r="X32" s="2" t="s">
        <v>154</v>
      </c>
      <c r="Y32" s="17" t="s">
        <v>160</v>
      </c>
      <c r="Z32" s="14" t="s">
        <v>161</v>
      </c>
      <c r="AA32" s="14" t="s">
        <v>162</v>
      </c>
      <c r="AB32" s="18">
        <v>7</v>
      </c>
      <c r="AC32" s="13">
        <v>-8.5</v>
      </c>
      <c r="AD32" s="13">
        <v>5</v>
      </c>
      <c r="AE32" s="19">
        <f t="shared" si="0"/>
        <v>6.9588504797847186</v>
      </c>
      <c r="AF32" s="19">
        <f t="shared" si="1"/>
        <v>23.579865584578684</v>
      </c>
      <c r="AG32" s="2" t="s">
        <v>146</v>
      </c>
      <c r="AH32" s="13">
        <v>-1.5</v>
      </c>
      <c r="AI32" s="13">
        <v>0.5</v>
      </c>
      <c r="AJ32" s="19">
        <f>IF(Abschlüsse[[#This Row],[Ergeb]]="ET","",SQRT(($AC32-$AH32)^2+($AD32-$AI32)^2))</f>
        <v>8.3216584885466194</v>
      </c>
      <c r="AK32" s="3">
        <v>1</v>
      </c>
      <c r="AL32" s="13">
        <v>-5.5</v>
      </c>
      <c r="AM32" s="13">
        <v>5</v>
      </c>
      <c r="AN32" s="19">
        <f t="shared" si="2"/>
        <v>3</v>
      </c>
      <c r="AO32" s="3">
        <v>1</v>
      </c>
      <c r="AP32" s="13">
        <v>-6.5</v>
      </c>
      <c r="AQ32" s="13">
        <v>3.5</v>
      </c>
      <c r="AR32" s="19">
        <f t="shared" si="3"/>
        <v>2.5</v>
      </c>
      <c r="AS32" s="1"/>
    </row>
    <row r="33" spans="1:45" ht="25.05" customHeight="1">
      <c r="A33" s="3">
        <v>2</v>
      </c>
      <c r="B33" s="2" t="s">
        <v>8</v>
      </c>
      <c r="C33" s="17" t="str">
        <f>IF($A33="","",IF(VLOOKUP($A33,Spiele!$A$2:$D$15,3,FALSE)=$B33,"H","G"))</f>
        <v>G</v>
      </c>
      <c r="D33" s="17" t="str">
        <f>IF($B33="","",IF(VLOOKUP($A33,Spiele!$A$2:$F$15,3,FALSE)=$B33,VLOOKUP($A33,Spiele!$A$2:$F$15,4,FALSE),VLOOKUP($A33,Spiele!$A$2:$F$15,3,FALSE)))</f>
        <v>FCD</v>
      </c>
      <c r="E33" s="18">
        <f>IF(Abschlüsse[[#This Row],[Ergeb]]="ET",0,COUNTIFS($A$2:$A33,$A33,$B$2:$B33,$B33,$L$2:$L33,"&lt;&gt;ET"))</f>
        <v>3</v>
      </c>
      <c r="F33" s="11">
        <v>16</v>
      </c>
      <c r="G33" s="12">
        <v>1</v>
      </c>
      <c r="H33" s="18">
        <f>COUNTIFS('Rote Karten'!$A$2:$A$4,$A33,'Rote Karten'!$D$2:$D$4,"&lt;&gt;"&amp;$B33,'Rote Karten'!$B$2:$B$4,"&lt;"&amp;$F33,'Rote Karten'!$C$2:$C$4,"&lt;="&amp;$G33)-COUNTIFS('Rote Karten'!$A$2:$A$4,$A33,'Rote Karten'!$D$2:$D$4,$B33,'Rote Karten'!$B$2:$B$4,"&lt;"&amp;$F33,'Rote Karten'!$C$2:$C$4,"&lt;="&amp;$G33)</f>
        <v>0</v>
      </c>
      <c r="I33" s="17" t="str">
        <f>IF(OR($L33="Tor",$L33="ET"),_xlfn.IFNA(IF(VLOOKUP($A33,Spiele!$A$2:$C$15,3,FALSE)=$B33,COUNTIFS($L$2:$L33,"Tor",$B$2:$B33,$B33,$A$2:$A33,$A33)+COUNTIFS($L$2:$L33,"ET",$B$2:$B33,$B33,$A$2:$A33,$A33)&amp;":"&amp;COUNTIFS($L$2:$L33,"Tor",$B$2:$B33,"&lt;&gt;"&amp;$B33,$A$2:$A33,$A33)+COUNTIFS($L$2:$L33,"ET",$B$2:$B33,"&lt;&gt;"&amp;$B33,$A$2:$A33,$A33),COUNTIFS($L$2:$L33,"Tor",$B$2:$B33,"&lt;&gt;"&amp;$B33,$A$2:$A33,$A33)+COUNTIFS($L$2:$L33,"ET",$B$2:$B33,"&lt;&gt;"&amp;$B33,$A$2:$A33,$A33)&amp;":"&amp;COUNTIFS($L$2:$L33,"Tor",$B$2:$B33,$B33,$A$2:$A33,$A33)+COUNTIFS($L$2:$L33,"ET",$B$2:$B33,$B33,$A$2:$A33,$A33)),""),"")</f>
        <v/>
      </c>
      <c r="J33" s="18">
        <f>_xlfn.IFNA(IF(VLOOKUP($A33,Spiele!$A$2:$D$15,3,FALSE)=$B33,(COUNTIFS($L$1:$L32,"Tor",$B$1:$B32,$B33,$A$1:$A32,$A33)+COUNTIFS($L$1:$L32,"ET",$B$1:$B32,$B33,$A$1:$A32,$A33))-(COUNTIFS($L$1:$L32,"Tor",$B$1:$B32,"&lt;&gt;"&amp;$B33,$A$1:$A32,$A33)+COUNTIFS($L$1:$L32,"ET",$B$1:$B32,"&lt;&gt;"&amp;$B33,$A$1:$A32,$A33)),(COUNTIFS($L$1:$L32,"Tor",$B$1:$B32,$B33,$A$1:$A32,$A33)+COUNTIFS($L$1:$L32,"ET",$B$1:$B32,$B33,$A$1:$A32,$A33))-(COUNTIFS($L$1:$L32,"Tor",$B$1:$B32,"&lt;&gt;"&amp;$B33,$A$1:$A32,$A33)+COUNTIFS($L$1:$L32,"ET",$B$1:$B32,"&lt;&gt;"&amp;$B33,$A$1:$A32,$A33))),"")</f>
        <v>-2</v>
      </c>
      <c r="K33" s="3">
        <v>5</v>
      </c>
      <c r="L33" s="17" t="s">
        <v>19</v>
      </c>
      <c r="M33" s="2" t="s">
        <v>159</v>
      </c>
      <c r="N33" s="2" t="s">
        <v>158</v>
      </c>
      <c r="O33" s="2">
        <v>27</v>
      </c>
      <c r="P33" s="2">
        <v>13</v>
      </c>
      <c r="X33" s="2" t="s">
        <v>154</v>
      </c>
      <c r="Y33" s="17" t="s">
        <v>143</v>
      </c>
      <c r="Z33" s="14" t="s">
        <v>144</v>
      </c>
      <c r="AA33" s="14" t="s">
        <v>156</v>
      </c>
      <c r="AB33" s="18">
        <v>9</v>
      </c>
      <c r="AC33" s="13">
        <v>-12.5</v>
      </c>
      <c r="AD33" s="13">
        <v>7.5</v>
      </c>
      <c r="AE33" s="19">
        <f t="shared" si="0"/>
        <v>11.592911627369546</v>
      </c>
      <c r="AF33" s="19">
        <f t="shared" si="1"/>
        <v>15.415381612664262</v>
      </c>
      <c r="AG33" s="2" t="s">
        <v>146</v>
      </c>
      <c r="AH33" s="13">
        <v>-2.5</v>
      </c>
      <c r="AI33" s="13">
        <v>1</v>
      </c>
      <c r="AJ33" s="19">
        <f>IF(Abschlüsse[[#This Row],[Ergeb]]="ET","",SQRT(($AC33-$AH33)^2+($AD33-$AI33)^2))</f>
        <v>11.926860441876563</v>
      </c>
      <c r="AK33" s="3">
        <v>2</v>
      </c>
      <c r="AL33" s="13">
        <v>-12</v>
      </c>
      <c r="AM33" s="13">
        <v>5.5</v>
      </c>
      <c r="AN33" s="19">
        <f t="shared" si="2"/>
        <v>2.0615528128088303</v>
      </c>
      <c r="AO33" s="3">
        <v>2</v>
      </c>
      <c r="AP33" s="13">
        <v>-9</v>
      </c>
      <c r="AQ33" s="13">
        <v>5</v>
      </c>
      <c r="AR33" s="19">
        <f t="shared" si="3"/>
        <v>4.3011626335213133</v>
      </c>
      <c r="AS33" s="1"/>
    </row>
    <row r="34" spans="1:45" ht="25.05" customHeight="1">
      <c r="A34" s="3">
        <v>2</v>
      </c>
      <c r="B34" s="2" t="s">
        <v>8</v>
      </c>
      <c r="C34" s="17" t="str">
        <f>IF($A34="","",IF(VLOOKUP($A34,Spiele!$A$2:$D$15,3,FALSE)=$B34,"H","G"))</f>
        <v>G</v>
      </c>
      <c r="D34" s="17" t="str">
        <f>IF($B34="","",IF(VLOOKUP($A34,Spiele!$A$2:$F$15,3,FALSE)=$B34,VLOOKUP($A34,Spiele!$A$2:$F$15,4,FALSE),VLOOKUP($A34,Spiele!$A$2:$F$15,3,FALSE)))</f>
        <v>FCD</v>
      </c>
      <c r="E34" s="18">
        <f>IF(Abschlüsse[[#This Row],[Ergeb]]="ET",0,COUNTIFS($A$2:$A34,$A34,$B$2:$B34,$B34,$L$2:$L34,"&lt;&gt;ET"))</f>
        <v>4</v>
      </c>
      <c r="F34" s="11">
        <v>26</v>
      </c>
      <c r="G34" s="12">
        <v>1</v>
      </c>
      <c r="H34" s="18">
        <f>COUNTIFS('Rote Karten'!$A$2:$A$4,$A34,'Rote Karten'!$D$2:$D$4,"&lt;&gt;"&amp;$B34,'Rote Karten'!$B$2:$B$4,"&lt;"&amp;$F34,'Rote Karten'!$C$2:$C$4,"&lt;="&amp;$G34)-COUNTIFS('Rote Karten'!$A$2:$A$4,$A34,'Rote Karten'!$D$2:$D$4,$B34,'Rote Karten'!$B$2:$B$4,"&lt;"&amp;$F34,'Rote Karten'!$C$2:$C$4,"&lt;="&amp;$G34)</f>
        <v>0</v>
      </c>
      <c r="I34" s="17" t="str">
        <f>IF(OR($L34="Tor",$L34="ET"),_xlfn.IFNA(IF(VLOOKUP($A34,Spiele!$A$2:$C$15,3,FALSE)=$B34,COUNTIFS($L$2:$L34,"Tor",$B$2:$B34,$B34,$A$2:$A34,$A34)+COUNTIFS($L$2:$L34,"ET",$B$2:$B34,$B34,$A$2:$A34,$A34)&amp;":"&amp;COUNTIFS($L$2:$L34,"Tor",$B$2:$B34,"&lt;&gt;"&amp;$B34,$A$2:$A34,$A34)+COUNTIFS($L$2:$L34,"ET",$B$2:$B34,"&lt;&gt;"&amp;$B34,$A$2:$A34,$A34),COUNTIFS($L$2:$L34,"Tor",$B$2:$B34,"&lt;&gt;"&amp;$B34,$A$2:$A34,$A34)+COUNTIFS($L$2:$L34,"ET",$B$2:$B34,"&lt;&gt;"&amp;$B34,$A$2:$A34,$A34)&amp;":"&amp;COUNTIFS($L$2:$L34,"Tor",$B$2:$B34,$B34,$A$2:$A34,$A34)+COUNTIFS($L$2:$L34,"ET",$B$2:$B34,$B34,$A$2:$A34,$A34)),""),"")</f>
        <v/>
      </c>
      <c r="J34" s="18">
        <f>_xlfn.IFNA(IF(VLOOKUP($A34,Spiele!$A$2:$D$15,3,FALSE)=$B34,(COUNTIFS($L$1:$L33,"Tor",$B$1:$B33,$B34,$A$1:$A33,$A34)+COUNTIFS($L$1:$L33,"ET",$B$1:$B33,$B34,$A$1:$A33,$A34))-(COUNTIFS($L$1:$L33,"Tor",$B$1:$B33,"&lt;&gt;"&amp;$B34,$A$1:$A33,$A34)+COUNTIFS($L$1:$L33,"ET",$B$1:$B33,"&lt;&gt;"&amp;$B34,$A$1:$A33,$A34)),(COUNTIFS($L$1:$L33,"Tor",$B$1:$B33,$B34,$A$1:$A33,$A34)+COUNTIFS($L$1:$L33,"ET",$B$1:$B33,$B34,$A$1:$A33,$A34))-(COUNTIFS($L$1:$L33,"Tor",$B$1:$B33,"&lt;&gt;"&amp;$B34,$A$1:$A33,$A34)+COUNTIFS($L$1:$L33,"ET",$B$1:$B33,"&lt;&gt;"&amp;$B34,$A$1:$A33,$A34))),"")</f>
        <v>-2</v>
      </c>
      <c r="K34" s="3">
        <v>6</v>
      </c>
      <c r="L34" s="17" t="s">
        <v>18</v>
      </c>
      <c r="M34" s="2" t="s">
        <v>174</v>
      </c>
      <c r="X34" s="2" t="s">
        <v>142</v>
      </c>
      <c r="Y34" s="17" t="s">
        <v>143</v>
      </c>
      <c r="Z34" s="14" t="s">
        <v>150</v>
      </c>
      <c r="AA34" s="14" t="s">
        <v>145</v>
      </c>
      <c r="AB34" s="18">
        <v>8</v>
      </c>
      <c r="AC34" s="13">
        <v>-7.5</v>
      </c>
      <c r="AD34" s="13">
        <v>27</v>
      </c>
      <c r="AE34" s="19">
        <f t="shared" si="0"/>
        <v>27.271699617002238</v>
      </c>
      <c r="AF34" s="19">
        <f t="shared" si="1"/>
        <v>14.362490517670119</v>
      </c>
      <c r="AG34" s="2" t="s">
        <v>146</v>
      </c>
      <c r="AH34" s="13">
        <v>1</v>
      </c>
      <c r="AI34" s="13">
        <v>1.5</v>
      </c>
      <c r="AJ34" s="19">
        <f>IF(Abschlüsse[[#This Row],[Ergeb]]="ET","",SQRT(($AC34-$AH34)^2+($AD34-$AI34)^2))</f>
        <v>26.879360111431225</v>
      </c>
      <c r="AK34" s="3">
        <v>0</v>
      </c>
      <c r="AL34" s="13"/>
      <c r="AM34" s="13"/>
      <c r="AN34" s="19" t="str">
        <f t="shared" si="2"/>
        <v/>
      </c>
      <c r="AO34" s="3">
        <v>3</v>
      </c>
      <c r="AP34" s="13">
        <v>-6</v>
      </c>
      <c r="AQ34" s="13">
        <v>19</v>
      </c>
      <c r="AR34" s="19">
        <f t="shared" si="3"/>
        <v>8.1394102980498531</v>
      </c>
      <c r="AS34" s="1"/>
    </row>
    <row r="35" spans="1:45" ht="25.05" customHeight="1">
      <c r="A35" s="3">
        <v>2</v>
      </c>
      <c r="B35" s="2" t="s">
        <v>8</v>
      </c>
      <c r="C35" s="17" t="str">
        <f>IF($A35="","",IF(VLOOKUP($A35,Spiele!$A$2:$D$15,3,FALSE)=$B35,"H","G"))</f>
        <v>G</v>
      </c>
      <c r="D35" s="17" t="str">
        <f>IF($B35="","",IF(VLOOKUP($A35,Spiele!$A$2:$F$15,3,FALSE)=$B35,VLOOKUP($A35,Spiele!$A$2:$F$15,4,FALSE),VLOOKUP($A35,Spiele!$A$2:$F$15,3,FALSE)))</f>
        <v>FCD</v>
      </c>
      <c r="E35" s="18">
        <f>IF(Abschlüsse[[#This Row],[Ergeb]]="ET",0,COUNTIFS($A$2:$A35,$A35,$B$2:$B35,$B35,$L$2:$L35,"&lt;&gt;ET"))</f>
        <v>5</v>
      </c>
      <c r="F35" s="11">
        <v>37</v>
      </c>
      <c r="G35" s="12">
        <v>1</v>
      </c>
      <c r="H35" s="18">
        <f>COUNTIFS('Rote Karten'!$A$2:$A$4,$A35,'Rote Karten'!$D$2:$D$4,"&lt;&gt;"&amp;$B35,'Rote Karten'!$B$2:$B$4,"&lt;"&amp;$F35,'Rote Karten'!$C$2:$C$4,"&lt;="&amp;$G35)-COUNTIFS('Rote Karten'!$A$2:$A$4,$A35,'Rote Karten'!$D$2:$D$4,$B35,'Rote Karten'!$B$2:$B$4,"&lt;"&amp;$F35,'Rote Karten'!$C$2:$C$4,"&lt;="&amp;$G35)</f>
        <v>0</v>
      </c>
      <c r="I35" s="17" t="str">
        <f>IF(OR($L35="Tor",$L35="ET"),_xlfn.IFNA(IF(VLOOKUP($A35,Spiele!$A$2:$C$15,3,FALSE)=$B35,COUNTIFS($L$2:$L35,"Tor",$B$2:$B35,$B35,$A$2:$A35,$A35)+COUNTIFS($L$2:$L35,"ET",$B$2:$B35,$B35,$A$2:$A35,$A35)&amp;":"&amp;COUNTIFS($L$2:$L35,"Tor",$B$2:$B35,"&lt;&gt;"&amp;$B35,$A$2:$A35,$A35)+COUNTIFS($L$2:$L35,"ET",$B$2:$B35,"&lt;&gt;"&amp;$B35,$A$2:$A35,$A35),COUNTIFS($L$2:$L35,"Tor",$B$2:$B35,"&lt;&gt;"&amp;$B35,$A$2:$A35,$A35)+COUNTIFS($L$2:$L35,"ET",$B$2:$B35,"&lt;&gt;"&amp;$B35,$A$2:$A35,$A35)&amp;":"&amp;COUNTIFS($L$2:$L35,"Tor",$B$2:$B35,$B35,$A$2:$A35,$A35)+COUNTIFS($L$2:$L35,"ET",$B$2:$B35,$B35,$A$2:$A35,$A35)),""),"")</f>
        <v/>
      </c>
      <c r="J35" s="18">
        <f>_xlfn.IFNA(IF(VLOOKUP($A35,Spiele!$A$2:$D$15,3,FALSE)=$B35,(COUNTIFS($L$1:$L34,"Tor",$B$1:$B34,$B35,$A$1:$A34,$A35)+COUNTIFS($L$1:$L34,"ET",$B$1:$B34,$B35,$A$1:$A34,$A35))-(COUNTIFS($L$1:$L34,"Tor",$B$1:$B34,"&lt;&gt;"&amp;$B35,$A$1:$A34,$A35)+COUNTIFS($L$1:$L34,"ET",$B$1:$B34,"&lt;&gt;"&amp;$B35,$A$1:$A34,$A35)),(COUNTIFS($L$1:$L34,"Tor",$B$1:$B34,$B35,$A$1:$A34,$A35)+COUNTIFS($L$1:$L34,"ET",$B$1:$B34,$B35,$A$1:$A34,$A35))-(COUNTIFS($L$1:$L34,"Tor",$B$1:$B34,"&lt;&gt;"&amp;$B35,$A$1:$A34,$A35)+COUNTIFS($L$1:$L34,"ET",$B$1:$B34,"&lt;&gt;"&amp;$B35,$A$1:$A34,$A35))),"")</f>
        <v>-2</v>
      </c>
      <c r="K35" s="3">
        <v>7</v>
      </c>
      <c r="L35" s="17" t="s">
        <v>20</v>
      </c>
      <c r="M35" s="2" t="s">
        <v>174</v>
      </c>
      <c r="X35" s="2" t="s">
        <v>142</v>
      </c>
      <c r="Y35" s="17" t="s">
        <v>143</v>
      </c>
      <c r="Z35" s="14" t="s">
        <v>150</v>
      </c>
      <c r="AA35" s="14" t="s">
        <v>145</v>
      </c>
      <c r="AB35" s="18">
        <v>8</v>
      </c>
      <c r="AC35" s="13">
        <v>-2</v>
      </c>
      <c r="AD35" s="13">
        <v>20</v>
      </c>
      <c r="AE35" s="19">
        <f t="shared" si="0"/>
        <v>20</v>
      </c>
      <c r="AF35" s="19">
        <f t="shared" si="1"/>
        <v>20.546187356324779</v>
      </c>
      <c r="AG35" s="2" t="s">
        <v>146</v>
      </c>
      <c r="AH35" s="13">
        <v>1</v>
      </c>
      <c r="AI35" s="13">
        <v>1</v>
      </c>
      <c r="AJ35" s="19">
        <f>IF(Abschlüsse[[#This Row],[Ergeb]]="ET","",SQRT(($AC35-$AH35)^2+($AD35-$AI35)^2))</f>
        <v>19.235384061671343</v>
      </c>
      <c r="AK35" s="3">
        <v>0</v>
      </c>
      <c r="AL35" s="13"/>
      <c r="AM35" s="13"/>
      <c r="AN35" s="19" t="str">
        <f t="shared" si="2"/>
        <v/>
      </c>
      <c r="AO35" s="3">
        <v>5</v>
      </c>
      <c r="AP35" s="13">
        <v>-2</v>
      </c>
      <c r="AQ35" s="13">
        <v>13</v>
      </c>
      <c r="AR35" s="19">
        <f t="shared" si="3"/>
        <v>7</v>
      </c>
      <c r="AS35" s="1"/>
    </row>
    <row r="36" spans="1:45" ht="25.05" customHeight="1">
      <c r="A36" s="3">
        <v>2</v>
      </c>
      <c r="B36" s="2" t="s">
        <v>56</v>
      </c>
      <c r="C36" s="17" t="str">
        <f>IF($A36="","",IF(VLOOKUP($A36,Spiele!$A$2:$D$15,3,FALSE)=$B36,"H","G"))</f>
        <v>H</v>
      </c>
      <c r="D36" s="17" t="str">
        <f>IF($B36="","",IF(VLOOKUP($A36,Spiele!$A$2:$F$15,3,FALSE)=$B36,VLOOKUP($A36,Spiele!$A$2:$F$15,4,FALSE),VLOOKUP($A36,Spiele!$A$2:$F$15,3,FALSE)))</f>
        <v>FCN</v>
      </c>
      <c r="E36" s="18">
        <f>IF(Abschlüsse[[#This Row],[Ergeb]]="ET",0,COUNTIFS($A$2:$A36,$A36,$B$2:$B36,$B36,$L$2:$L36,"&lt;&gt;ET"))</f>
        <v>4</v>
      </c>
      <c r="F36" s="11">
        <v>43</v>
      </c>
      <c r="G36" s="12">
        <v>2</v>
      </c>
      <c r="H36" s="18">
        <f>COUNTIFS('Rote Karten'!$A$2:$A$4,$A36,'Rote Karten'!$D$2:$D$4,"&lt;&gt;"&amp;$B36,'Rote Karten'!$B$2:$B$4,"&lt;"&amp;$F36,'Rote Karten'!$C$2:$C$4,"&lt;="&amp;$G36)-COUNTIFS('Rote Karten'!$A$2:$A$4,$A36,'Rote Karten'!$D$2:$D$4,$B36,'Rote Karten'!$B$2:$B$4,"&lt;"&amp;$F36,'Rote Karten'!$C$2:$C$4,"&lt;="&amp;$G36)</f>
        <v>0</v>
      </c>
      <c r="I36" s="17" t="str">
        <f>IF(OR($L36="Tor",$L36="ET"),_xlfn.IFNA(IF(VLOOKUP($A36,Spiele!$A$2:$C$15,3,FALSE)=$B36,COUNTIFS($L$2:$L36,"Tor",$B$2:$B36,$B36,$A$2:$A36,$A36)+COUNTIFS($L$2:$L36,"ET",$B$2:$B36,$B36,$A$2:$A36,$A36)&amp;":"&amp;COUNTIFS($L$2:$L36,"Tor",$B$2:$B36,"&lt;&gt;"&amp;$B36,$A$2:$A36,$A36)+COUNTIFS($L$2:$L36,"ET",$B$2:$B36,"&lt;&gt;"&amp;$B36,$A$2:$A36,$A36),COUNTIFS($L$2:$L36,"Tor",$B$2:$B36,"&lt;&gt;"&amp;$B36,$A$2:$A36,$A36)+COUNTIFS($L$2:$L36,"ET",$B$2:$B36,"&lt;&gt;"&amp;$B36,$A$2:$A36,$A36)&amp;":"&amp;COUNTIFS($L$2:$L36,"Tor",$B$2:$B36,$B36,$A$2:$A36,$A36)+COUNTIFS($L$2:$L36,"ET",$B$2:$B36,$B36,$A$2:$A36,$A36)),""),"")</f>
        <v/>
      </c>
      <c r="J36" s="18">
        <f>_xlfn.IFNA(IF(VLOOKUP($A36,Spiele!$A$2:$D$15,3,FALSE)=$B36,(COUNTIFS($L$1:$L35,"Tor",$B$1:$B35,$B36,$A$1:$A35,$A36)+COUNTIFS($L$1:$L35,"ET",$B$1:$B35,$B36,$A$1:$A35,$A36))-(COUNTIFS($L$1:$L35,"Tor",$B$1:$B35,"&lt;&gt;"&amp;$B36,$A$1:$A35,$A36)+COUNTIFS($L$1:$L35,"ET",$B$1:$B35,"&lt;&gt;"&amp;$B36,$A$1:$A35,$A36)),(COUNTIFS($L$1:$L35,"Tor",$B$1:$B35,$B36,$A$1:$A35,$A36)+COUNTIFS($L$1:$L35,"ET",$B$1:$B35,$B36,$A$1:$A35,$A36))-(COUNTIFS($L$1:$L35,"Tor",$B$1:$B35,"&lt;&gt;"&amp;$B36,$A$1:$A35,$A36)+COUNTIFS($L$1:$L35,"ET",$B$1:$B35,"&lt;&gt;"&amp;$B36,$A$1:$A35,$A36))),"")</f>
        <v>2</v>
      </c>
      <c r="K36" s="3">
        <v>8</v>
      </c>
      <c r="L36" s="17" t="s">
        <v>19</v>
      </c>
      <c r="M36" s="2" t="s">
        <v>163</v>
      </c>
      <c r="N36" s="2" t="s">
        <v>167</v>
      </c>
      <c r="X36" s="2" t="s">
        <v>141</v>
      </c>
      <c r="Y36" s="17" t="s">
        <v>143</v>
      </c>
      <c r="Z36" s="14" t="s">
        <v>144</v>
      </c>
      <c r="AA36" s="14" t="s">
        <v>156</v>
      </c>
      <c r="AB36" s="18"/>
      <c r="AC36" s="13">
        <v>-12.5</v>
      </c>
      <c r="AD36" s="13">
        <v>17.5</v>
      </c>
      <c r="AE36" s="19">
        <f t="shared" si="0"/>
        <v>19.606009282870392</v>
      </c>
      <c r="AF36" s="19">
        <f t="shared" si="1"/>
        <v>15.91996954034679</v>
      </c>
      <c r="AG36" s="2" t="s">
        <v>146</v>
      </c>
      <c r="AH36" s="13">
        <v>-1.5</v>
      </c>
      <c r="AI36" s="13">
        <v>2</v>
      </c>
      <c r="AJ36" s="19">
        <f>IF(Abschlüsse[[#This Row],[Ergeb]]="ET","",SQRT(($AC36-$AH36)^2+($AD36-$AI36)^2))</f>
        <v>19.006577808748212</v>
      </c>
      <c r="AK36" s="3">
        <v>0</v>
      </c>
      <c r="AL36" s="13"/>
      <c r="AM36" s="13"/>
      <c r="AN36" s="19" t="str">
        <f t="shared" si="2"/>
        <v/>
      </c>
      <c r="AO36" s="3">
        <v>1</v>
      </c>
      <c r="AP36" s="13">
        <v>-11.5</v>
      </c>
      <c r="AQ36" s="13">
        <v>15.5</v>
      </c>
      <c r="AR36" s="19">
        <f t="shared" si="3"/>
        <v>2.2360679774997898</v>
      </c>
      <c r="AS36" s="1"/>
    </row>
    <row r="37" spans="1:45" ht="25.05" customHeight="1">
      <c r="A37" s="3">
        <v>2</v>
      </c>
      <c r="B37" s="2" t="s">
        <v>56</v>
      </c>
      <c r="C37" s="17" t="str">
        <f>IF($A37="","",IF(VLOOKUP($A37,Spiele!$A$2:$D$15,3,FALSE)=$B37,"H","G"))</f>
        <v>H</v>
      </c>
      <c r="D37" s="17" t="str">
        <f>IF($B37="","",IF(VLOOKUP($A37,Spiele!$A$2:$F$15,3,FALSE)=$B37,VLOOKUP($A37,Spiele!$A$2:$F$15,4,FALSE),VLOOKUP($A37,Spiele!$A$2:$F$15,3,FALSE)))</f>
        <v>FCN</v>
      </c>
      <c r="E37" s="18">
        <f>IF(Abschlüsse[[#This Row],[Ergeb]]="ET",0,COUNTIFS($A$2:$A37,$A37,$B$2:$B37,$B37,$L$2:$L37,"&lt;&gt;ET"))</f>
        <v>5</v>
      </c>
      <c r="F37" s="11">
        <v>47</v>
      </c>
      <c r="G37" s="12">
        <v>2</v>
      </c>
      <c r="H37" s="18">
        <f>COUNTIFS('Rote Karten'!$A$2:$A$4,$A37,'Rote Karten'!$D$2:$D$4,"&lt;&gt;"&amp;$B37,'Rote Karten'!$B$2:$B$4,"&lt;"&amp;$F37,'Rote Karten'!$C$2:$C$4,"&lt;="&amp;$G37)-COUNTIFS('Rote Karten'!$A$2:$A$4,$A37,'Rote Karten'!$D$2:$D$4,$B37,'Rote Karten'!$B$2:$B$4,"&lt;"&amp;$F37,'Rote Karten'!$C$2:$C$4,"&lt;="&amp;$G37)</f>
        <v>0</v>
      </c>
      <c r="I37" s="17" t="str">
        <f>IF(OR($L37="Tor",$L37="ET"),_xlfn.IFNA(IF(VLOOKUP($A37,Spiele!$A$2:$C$15,3,FALSE)=$B37,COUNTIFS($L$2:$L37,"Tor",$B$2:$B37,$B37,$A$2:$A37,$A37)+COUNTIFS($L$2:$L37,"ET",$B$2:$B37,$B37,$A$2:$A37,$A37)&amp;":"&amp;COUNTIFS($L$2:$L37,"Tor",$B$2:$B37,"&lt;&gt;"&amp;$B37,$A$2:$A37,$A37)+COUNTIFS($L$2:$L37,"ET",$B$2:$B37,"&lt;&gt;"&amp;$B37,$A$2:$A37,$A37),COUNTIFS($L$2:$L37,"Tor",$B$2:$B37,"&lt;&gt;"&amp;$B37,$A$2:$A37,$A37)+COUNTIFS($L$2:$L37,"ET",$B$2:$B37,"&lt;&gt;"&amp;$B37,$A$2:$A37,$A37)&amp;":"&amp;COUNTIFS($L$2:$L37,"Tor",$B$2:$B37,$B37,$A$2:$A37,$A37)+COUNTIFS($L$2:$L37,"ET",$B$2:$B37,$B37,$A$2:$A37,$A37)),""),"")</f>
        <v/>
      </c>
      <c r="J37" s="18">
        <f>_xlfn.IFNA(IF(VLOOKUP($A37,Spiele!$A$2:$D$15,3,FALSE)=$B37,(COUNTIFS($L$1:$L36,"Tor",$B$1:$B36,$B37,$A$1:$A36,$A37)+COUNTIFS($L$1:$L36,"ET",$B$1:$B36,$B37,$A$1:$A36,$A37))-(COUNTIFS($L$1:$L36,"Tor",$B$1:$B36,"&lt;&gt;"&amp;$B37,$A$1:$A36,$A37)+COUNTIFS($L$1:$L36,"ET",$B$1:$B36,"&lt;&gt;"&amp;$B37,$A$1:$A36,$A37)),(COUNTIFS($L$1:$L36,"Tor",$B$1:$B36,$B37,$A$1:$A36,$A37)+COUNTIFS($L$1:$L36,"ET",$B$1:$B36,$B37,$A$1:$A36,$A37))-(COUNTIFS($L$1:$L36,"Tor",$B$1:$B36,"&lt;&gt;"&amp;$B37,$A$1:$A36,$A37)+COUNTIFS($L$1:$L36,"ET",$B$1:$B36,"&lt;&gt;"&amp;$B37,$A$1:$A36,$A37))),"")</f>
        <v>2</v>
      </c>
      <c r="K37" s="3">
        <v>9</v>
      </c>
      <c r="L37" s="17" t="s">
        <v>19</v>
      </c>
      <c r="M37" s="2" t="s">
        <v>173</v>
      </c>
      <c r="N37" s="2" t="s">
        <v>173</v>
      </c>
      <c r="X37" s="2" t="s">
        <v>141</v>
      </c>
      <c r="Y37" s="17" t="s">
        <v>143</v>
      </c>
      <c r="Z37" s="14" t="s">
        <v>144</v>
      </c>
      <c r="AA37" s="14" t="s">
        <v>162</v>
      </c>
      <c r="AB37" s="18"/>
      <c r="AC37" s="13">
        <v>5</v>
      </c>
      <c r="AD37" s="13">
        <v>8</v>
      </c>
      <c r="AE37" s="19">
        <f t="shared" si="0"/>
        <v>8.1114486992152024</v>
      </c>
      <c r="AF37" s="19">
        <f t="shared" si="1"/>
        <v>37.759862525148613</v>
      </c>
      <c r="AG37" s="2" t="s">
        <v>146</v>
      </c>
      <c r="AH37" s="13">
        <v>1.5</v>
      </c>
      <c r="AI37" s="13">
        <v>1</v>
      </c>
      <c r="AJ37" s="19">
        <f>IF(Abschlüsse[[#This Row],[Ergeb]]="ET","",SQRT(($AC37-$AH37)^2+($AD37-$AI37)^2))</f>
        <v>7.8262379212492643</v>
      </c>
      <c r="AK37" s="3">
        <v>0</v>
      </c>
      <c r="AL37" s="13"/>
      <c r="AM37" s="13"/>
      <c r="AN37" s="19" t="str">
        <f t="shared" si="2"/>
        <v/>
      </c>
      <c r="AO37" s="3">
        <v>3</v>
      </c>
      <c r="AP37" s="13">
        <v>3</v>
      </c>
      <c r="AQ37" s="13">
        <v>6.5</v>
      </c>
      <c r="AR37" s="19">
        <f t="shared" si="3"/>
        <v>2.5</v>
      </c>
      <c r="AS37" s="1"/>
    </row>
    <row r="38" spans="1:45" ht="25.05" customHeight="1">
      <c r="A38" s="3">
        <v>2</v>
      </c>
      <c r="B38" s="2" t="s">
        <v>8</v>
      </c>
      <c r="C38" s="17" t="str">
        <f>IF($A38="","",IF(VLOOKUP($A38,Spiele!$A$2:$D$15,3,FALSE)=$B38,"H","G"))</f>
        <v>G</v>
      </c>
      <c r="D38" s="17" t="str">
        <f>IF($B38="","",IF(VLOOKUP($A38,Spiele!$A$2:$F$15,3,FALSE)=$B38,VLOOKUP($A38,Spiele!$A$2:$F$15,4,FALSE),VLOOKUP($A38,Spiele!$A$2:$F$15,3,FALSE)))</f>
        <v>FCD</v>
      </c>
      <c r="E38" s="18">
        <f>IF(Abschlüsse[[#This Row],[Ergeb]]="ET",0,COUNTIFS($A$2:$A38,$A38,$B$2:$B38,$B38,$L$2:$L38,"&lt;&gt;ET"))</f>
        <v>6</v>
      </c>
      <c r="F38" s="11">
        <v>57</v>
      </c>
      <c r="G38" s="12">
        <v>2</v>
      </c>
      <c r="H38" s="18">
        <f>COUNTIFS('Rote Karten'!$A$2:$A$4,$A38,'Rote Karten'!$D$2:$D$4,"&lt;&gt;"&amp;$B38,'Rote Karten'!$B$2:$B$4,"&lt;"&amp;$F38,'Rote Karten'!$C$2:$C$4,"&lt;="&amp;$G38)-COUNTIFS('Rote Karten'!$A$2:$A$4,$A38,'Rote Karten'!$D$2:$D$4,$B38,'Rote Karten'!$B$2:$B$4,"&lt;"&amp;$F38,'Rote Karten'!$C$2:$C$4,"&lt;="&amp;$G38)</f>
        <v>0</v>
      </c>
      <c r="I38" s="17" t="str">
        <f>IF(OR($L38="Tor",$L38="ET"),_xlfn.IFNA(IF(VLOOKUP($A38,Spiele!$A$2:$C$15,3,FALSE)=$B38,COUNTIFS($L$2:$L38,"Tor",$B$2:$B38,$B38,$A$2:$A38,$A38)+COUNTIFS($L$2:$L38,"ET",$B$2:$B38,$B38,$A$2:$A38,$A38)&amp;":"&amp;COUNTIFS($L$2:$L38,"Tor",$B$2:$B38,"&lt;&gt;"&amp;$B38,$A$2:$A38,$A38)+COUNTIFS($L$2:$L38,"ET",$B$2:$B38,"&lt;&gt;"&amp;$B38,$A$2:$A38,$A38),COUNTIFS($L$2:$L38,"Tor",$B$2:$B38,"&lt;&gt;"&amp;$B38,$A$2:$A38,$A38)+COUNTIFS($L$2:$L38,"ET",$B$2:$B38,"&lt;&gt;"&amp;$B38,$A$2:$A38,$A38)&amp;":"&amp;COUNTIFS($L$2:$L38,"Tor",$B$2:$B38,$B38,$A$2:$A38,$A38)+COUNTIFS($L$2:$L38,"ET",$B$2:$B38,$B38,$A$2:$A38,$A38)),""),"")</f>
        <v>2:1</v>
      </c>
      <c r="J38" s="18">
        <f>_xlfn.IFNA(IF(VLOOKUP($A38,Spiele!$A$2:$D$15,3,FALSE)=$B38,(COUNTIFS($L$1:$L37,"Tor",$B$1:$B37,$B38,$A$1:$A37,$A38)+COUNTIFS($L$1:$L37,"ET",$B$1:$B37,$B38,$A$1:$A37,$A38))-(COUNTIFS($L$1:$L37,"Tor",$B$1:$B37,"&lt;&gt;"&amp;$B38,$A$1:$A37,$A38)+COUNTIFS($L$1:$L37,"ET",$B$1:$B37,"&lt;&gt;"&amp;$B38,$A$1:$A37,$A38)),(COUNTIFS($L$1:$L37,"Tor",$B$1:$B37,$B38,$A$1:$A37,$A38)+COUNTIFS($L$1:$L37,"ET",$B$1:$B37,$B38,$A$1:$A37,$A38))-(COUNTIFS($L$1:$L37,"Tor",$B$1:$B37,"&lt;&gt;"&amp;$B38,$A$1:$A37,$A38)+COUNTIFS($L$1:$L37,"ET",$B$1:$B37,"&lt;&gt;"&amp;$B38,$A$1:$A37,$A38))),"")</f>
        <v>-2</v>
      </c>
      <c r="K38" s="3">
        <v>10</v>
      </c>
      <c r="L38" s="17" t="s">
        <v>0</v>
      </c>
      <c r="M38" s="2" t="s">
        <v>163</v>
      </c>
      <c r="N38" s="2" t="s">
        <v>148</v>
      </c>
      <c r="O38" s="2">
        <v>27</v>
      </c>
      <c r="P38" s="2">
        <v>8</v>
      </c>
      <c r="Q38" s="2">
        <v>5</v>
      </c>
      <c r="X38" s="2" t="s">
        <v>151</v>
      </c>
      <c r="Y38" s="17" t="s">
        <v>149</v>
      </c>
      <c r="Z38" s="14" t="s">
        <v>144</v>
      </c>
      <c r="AA38" s="14" t="s">
        <v>156</v>
      </c>
      <c r="AB38" s="18">
        <v>9</v>
      </c>
      <c r="AC38" s="13">
        <v>-16</v>
      </c>
      <c r="AD38" s="13">
        <v>6</v>
      </c>
      <c r="AE38" s="19">
        <f t="shared" si="0"/>
        <v>13.721355618159599</v>
      </c>
      <c r="AF38" s="19">
        <f t="shared" si="1"/>
        <v>8.9585467435871635</v>
      </c>
      <c r="AG38" s="2" t="s">
        <v>166</v>
      </c>
      <c r="AJ38" s="19">
        <f>IF(Abschlüsse[[#This Row],[Ergeb]]="ET","",SQRT(($AC38-$AH38)^2+($AD38-$AI38)^2))</f>
        <v>17.088007490635061</v>
      </c>
      <c r="AK38" s="3">
        <v>0</v>
      </c>
      <c r="AL38" s="13"/>
      <c r="AM38" s="13"/>
      <c r="AN38" s="19" t="str">
        <f t="shared" si="2"/>
        <v/>
      </c>
      <c r="AO38" s="3">
        <v>0</v>
      </c>
      <c r="AR38" s="19" t="str">
        <f t="shared" si="3"/>
        <v/>
      </c>
      <c r="AS38" s="1"/>
    </row>
    <row r="39" spans="1:45" ht="25.05" customHeight="1">
      <c r="A39" s="3">
        <v>2</v>
      </c>
      <c r="B39" s="2" t="s">
        <v>8</v>
      </c>
      <c r="C39" s="17" t="str">
        <f>IF($A39="","",IF(VLOOKUP($A39,Spiele!$A$2:$D$15,3,FALSE)=$B39,"H","G"))</f>
        <v>G</v>
      </c>
      <c r="D39" s="17" t="str">
        <f>IF($B39="","",IF(VLOOKUP($A39,Spiele!$A$2:$F$15,3,FALSE)=$B39,VLOOKUP($A39,Spiele!$A$2:$F$15,4,FALSE),VLOOKUP($A39,Spiele!$A$2:$F$15,3,FALSE)))</f>
        <v>FCD</v>
      </c>
      <c r="E39" s="18">
        <f>IF(Abschlüsse[[#This Row],[Ergeb]]="ET",0,COUNTIFS($A$2:$A39,$A39,$B$2:$B39,$B39,$L$2:$L39,"&lt;&gt;ET"))</f>
        <v>7</v>
      </c>
      <c r="F39" s="11">
        <v>65</v>
      </c>
      <c r="G39" s="12">
        <v>2</v>
      </c>
      <c r="H39" s="18">
        <f>COUNTIFS('Rote Karten'!$A$2:$A$4,$A39,'Rote Karten'!$D$2:$D$4,"&lt;&gt;"&amp;$B39,'Rote Karten'!$B$2:$B$4,"&lt;"&amp;$F39,'Rote Karten'!$C$2:$C$4,"&lt;="&amp;$G39)-COUNTIFS('Rote Karten'!$A$2:$A$4,$A39,'Rote Karten'!$D$2:$D$4,$B39,'Rote Karten'!$B$2:$B$4,"&lt;"&amp;$F39,'Rote Karten'!$C$2:$C$4,"&lt;="&amp;$G39)</f>
        <v>0</v>
      </c>
      <c r="I39" s="17" t="str">
        <f>IF(OR($L39="Tor",$L39="ET"),_xlfn.IFNA(IF(VLOOKUP($A39,Spiele!$A$2:$C$15,3,FALSE)=$B39,COUNTIFS($L$2:$L39,"Tor",$B$2:$B39,$B39,$A$2:$A39,$A39)+COUNTIFS($L$2:$L39,"ET",$B$2:$B39,$B39,$A$2:$A39,$A39)&amp;":"&amp;COUNTIFS($L$2:$L39,"Tor",$B$2:$B39,"&lt;&gt;"&amp;$B39,$A$2:$A39,$A39)+COUNTIFS($L$2:$L39,"ET",$B$2:$B39,"&lt;&gt;"&amp;$B39,$A$2:$A39,$A39),COUNTIFS($L$2:$L39,"Tor",$B$2:$B39,"&lt;&gt;"&amp;$B39,$A$2:$A39,$A39)+COUNTIFS($L$2:$L39,"ET",$B$2:$B39,"&lt;&gt;"&amp;$B39,$A$2:$A39,$A39)&amp;":"&amp;COUNTIFS($L$2:$L39,"Tor",$B$2:$B39,$B39,$A$2:$A39,$A39)+COUNTIFS($L$2:$L39,"ET",$B$2:$B39,$B39,$A$2:$A39,$A39)),""),"")</f>
        <v>2:2</v>
      </c>
      <c r="J39" s="18">
        <f>_xlfn.IFNA(IF(VLOOKUP($A39,Spiele!$A$2:$D$15,3,FALSE)=$B39,(COUNTIFS($L$1:$L38,"Tor",$B$1:$B38,$B39,$A$1:$A38,$A39)+COUNTIFS($L$1:$L38,"ET",$B$1:$B38,$B39,$A$1:$A38,$A39))-(COUNTIFS($L$1:$L38,"Tor",$B$1:$B38,"&lt;&gt;"&amp;$B39,$A$1:$A38,$A39)+COUNTIFS($L$1:$L38,"ET",$B$1:$B38,"&lt;&gt;"&amp;$B39,$A$1:$A38,$A39)),(COUNTIFS($L$1:$L38,"Tor",$B$1:$B38,$B39,$A$1:$A38,$A39)+COUNTIFS($L$1:$L38,"ET",$B$1:$B38,$B39,$A$1:$A38,$A39))-(COUNTIFS($L$1:$L38,"Tor",$B$1:$B38,"&lt;&gt;"&amp;$B39,$A$1:$A38,$A39)+COUNTIFS($L$1:$L38,"ET",$B$1:$B38,"&lt;&gt;"&amp;$B39,$A$1:$A38,$A39))),"")</f>
        <v>-1</v>
      </c>
      <c r="K39" s="3">
        <v>11</v>
      </c>
      <c r="L39" s="17" t="s">
        <v>0</v>
      </c>
      <c r="M39" s="2" t="s">
        <v>147</v>
      </c>
      <c r="N39" s="2" t="s">
        <v>153</v>
      </c>
      <c r="O39" s="2">
        <v>13</v>
      </c>
      <c r="P39" s="2">
        <v>19</v>
      </c>
      <c r="Q39" s="2">
        <v>20</v>
      </c>
      <c r="X39" s="2" t="s">
        <v>154</v>
      </c>
      <c r="Y39" s="17" t="s">
        <v>160</v>
      </c>
      <c r="Z39" s="14" t="s">
        <v>161</v>
      </c>
      <c r="AA39" s="14" t="s">
        <v>145</v>
      </c>
      <c r="AB39" s="18">
        <v>9</v>
      </c>
      <c r="AC39" s="13">
        <v>1.5</v>
      </c>
      <c r="AD39" s="13">
        <v>6</v>
      </c>
      <c r="AE39" s="19">
        <f t="shared" si="0"/>
        <v>6</v>
      </c>
      <c r="AF39" s="19">
        <f t="shared" si="1"/>
        <v>60.494407394016946</v>
      </c>
      <c r="AG39" s="2" t="s">
        <v>146</v>
      </c>
      <c r="AH39" s="13">
        <v>0</v>
      </c>
      <c r="AI39" s="13">
        <v>1</v>
      </c>
      <c r="AJ39" s="19">
        <f>IF(Abschlüsse[[#This Row],[Ergeb]]="ET","",SQRT(($AC39-$AH39)^2+($AD39-$AI39)^2))</f>
        <v>5.2201532544552753</v>
      </c>
      <c r="AK39" s="3">
        <v>1</v>
      </c>
      <c r="AL39" s="13">
        <v>1.5</v>
      </c>
      <c r="AM39" s="13">
        <v>5.5</v>
      </c>
      <c r="AN39" s="19">
        <f t="shared" si="2"/>
        <v>0.5</v>
      </c>
      <c r="AO39" s="3">
        <v>0</v>
      </c>
      <c r="AR39" s="19" t="str">
        <f t="shared" si="3"/>
        <v/>
      </c>
      <c r="AS39" s="1"/>
    </row>
    <row r="40" spans="1:45" ht="25.05" customHeight="1">
      <c r="A40" s="3">
        <v>2</v>
      </c>
      <c r="B40" s="2" t="s">
        <v>8</v>
      </c>
      <c r="C40" s="17" t="str">
        <f>IF($A40="","",IF(VLOOKUP($A40,Spiele!$A$2:$D$15,3,FALSE)=$B40,"H","G"))</f>
        <v>G</v>
      </c>
      <c r="D40" s="17" t="str">
        <f>IF($B40="","",IF(VLOOKUP($A40,Spiele!$A$2:$F$15,3,FALSE)=$B40,VLOOKUP($A40,Spiele!$A$2:$F$15,4,FALSE),VLOOKUP($A40,Spiele!$A$2:$F$15,3,FALSE)))</f>
        <v>FCD</v>
      </c>
      <c r="E40" s="18">
        <f>IF(Abschlüsse[[#This Row],[Ergeb]]="ET",0,COUNTIFS($A$2:$A40,$A40,$B$2:$B40,$B40,$L$2:$L40,"&lt;&gt;ET"))</f>
        <v>8</v>
      </c>
      <c r="F40" s="11">
        <v>66</v>
      </c>
      <c r="G40" s="12">
        <v>2</v>
      </c>
      <c r="H40" s="18">
        <f>COUNTIFS('Rote Karten'!$A$2:$A$4,$A40,'Rote Karten'!$D$2:$D$4,"&lt;&gt;"&amp;$B40,'Rote Karten'!$B$2:$B$4,"&lt;"&amp;$F40,'Rote Karten'!$C$2:$C$4,"&lt;="&amp;$G40)-COUNTIFS('Rote Karten'!$A$2:$A$4,$A40,'Rote Karten'!$D$2:$D$4,$B40,'Rote Karten'!$B$2:$B$4,"&lt;"&amp;$F40,'Rote Karten'!$C$2:$C$4,"&lt;="&amp;$G40)</f>
        <v>0</v>
      </c>
      <c r="I40" s="17" t="str">
        <f>IF(OR($L40="Tor",$L40="ET"),_xlfn.IFNA(IF(VLOOKUP($A40,Spiele!$A$2:$C$15,3,FALSE)=$B40,COUNTIFS($L$2:$L40,"Tor",$B$2:$B40,$B40,$A$2:$A40,$A40)+COUNTIFS($L$2:$L40,"ET",$B$2:$B40,$B40,$A$2:$A40,$A40)&amp;":"&amp;COUNTIFS($L$2:$L40,"Tor",$B$2:$B40,"&lt;&gt;"&amp;$B40,$A$2:$A40,$A40)+COUNTIFS($L$2:$L40,"ET",$B$2:$B40,"&lt;&gt;"&amp;$B40,$A$2:$A40,$A40),COUNTIFS($L$2:$L40,"Tor",$B$2:$B40,"&lt;&gt;"&amp;$B40,$A$2:$A40,$A40)+COUNTIFS($L$2:$L40,"ET",$B$2:$B40,"&lt;&gt;"&amp;$B40,$A$2:$A40,$A40)&amp;":"&amp;COUNTIFS($L$2:$L40,"Tor",$B$2:$B40,$B40,$A$2:$A40,$A40)+COUNTIFS($L$2:$L40,"ET",$B$2:$B40,$B40,$A$2:$A40,$A40)),""),"")</f>
        <v/>
      </c>
      <c r="J40" s="18">
        <f>_xlfn.IFNA(IF(VLOOKUP($A40,Spiele!$A$2:$D$15,3,FALSE)=$B40,(COUNTIFS($L$1:$L39,"Tor",$B$1:$B39,$B40,$A$1:$A39,$A40)+COUNTIFS($L$1:$L39,"ET",$B$1:$B39,$B40,$A$1:$A39,$A40))-(COUNTIFS($L$1:$L39,"Tor",$B$1:$B39,"&lt;&gt;"&amp;$B40,$A$1:$A39,$A40)+COUNTIFS($L$1:$L39,"ET",$B$1:$B39,"&lt;&gt;"&amp;$B40,$A$1:$A39,$A40)),(COUNTIFS($L$1:$L39,"Tor",$B$1:$B39,$B40,$A$1:$A39,$A40)+COUNTIFS($L$1:$L39,"ET",$B$1:$B39,$B40,$A$1:$A39,$A40))-(COUNTIFS($L$1:$L39,"Tor",$B$1:$B39,"&lt;&gt;"&amp;$B40,$A$1:$A39,$A40)+COUNTIFS($L$1:$L39,"ET",$B$1:$B39,"&lt;&gt;"&amp;$B40,$A$1:$A39,$A40))),"")</f>
        <v>0</v>
      </c>
      <c r="K40" s="3">
        <v>12</v>
      </c>
      <c r="L40" s="17" t="s">
        <v>18</v>
      </c>
      <c r="M40" s="2" t="s">
        <v>147</v>
      </c>
      <c r="N40" s="2" t="s">
        <v>164</v>
      </c>
      <c r="O40" s="2">
        <v>8</v>
      </c>
      <c r="P40" s="2">
        <v>20</v>
      </c>
      <c r="Q40" s="2">
        <v>19</v>
      </c>
      <c r="R40" s="2">
        <v>13</v>
      </c>
      <c r="X40" s="2" t="s">
        <v>151</v>
      </c>
      <c r="Y40" s="17" t="s">
        <v>143</v>
      </c>
      <c r="Z40" s="14" t="s">
        <v>150</v>
      </c>
      <c r="AA40" s="14" t="s">
        <v>156</v>
      </c>
      <c r="AB40" s="18">
        <v>27</v>
      </c>
      <c r="AC40" s="13">
        <v>-20</v>
      </c>
      <c r="AD40" s="13">
        <v>24.5</v>
      </c>
      <c r="AE40" s="19">
        <f t="shared" si="0"/>
        <v>29.44903394001236</v>
      </c>
      <c r="AF40" s="19">
        <f t="shared" si="1"/>
        <v>10.299896605828193</v>
      </c>
      <c r="AG40" s="2" t="s">
        <v>146</v>
      </c>
      <c r="AH40" s="13">
        <v>-1.5</v>
      </c>
      <c r="AI40" s="13">
        <v>1.5</v>
      </c>
      <c r="AJ40" s="19">
        <f>IF(Abschlüsse[[#This Row],[Ergeb]]="ET","",SQRT(($AC40-$AH40)^2+($AD40-$AI40)^2))</f>
        <v>29.516944286290883</v>
      </c>
      <c r="AK40" s="3">
        <v>0</v>
      </c>
      <c r="AL40" s="13"/>
      <c r="AM40" s="13"/>
      <c r="AN40" s="19" t="str">
        <f t="shared" si="2"/>
        <v/>
      </c>
      <c r="AO40" s="3">
        <v>3</v>
      </c>
      <c r="AP40" s="13">
        <v>-17</v>
      </c>
      <c r="AQ40" s="13">
        <v>20.5</v>
      </c>
      <c r="AR40" s="19">
        <f t="shared" si="3"/>
        <v>5</v>
      </c>
      <c r="AS40" s="1"/>
    </row>
    <row r="41" spans="1:45" ht="25.05" customHeight="1">
      <c r="A41" s="3">
        <v>2</v>
      </c>
      <c r="B41" s="2" t="s">
        <v>56</v>
      </c>
      <c r="C41" s="17" t="str">
        <f>IF($A41="","",IF(VLOOKUP($A41,Spiele!$A$2:$D$15,3,FALSE)=$B41,"H","G"))</f>
        <v>H</v>
      </c>
      <c r="D41" s="17" t="str">
        <f>IF($B41="","",IF(VLOOKUP($A41,Spiele!$A$2:$F$15,3,FALSE)=$B41,VLOOKUP($A41,Spiele!$A$2:$F$15,4,FALSE),VLOOKUP($A41,Spiele!$A$2:$F$15,3,FALSE)))</f>
        <v>FCN</v>
      </c>
      <c r="E41" s="18">
        <f>IF(Abschlüsse[[#This Row],[Ergeb]]="ET",0,COUNTIFS($A$2:$A41,$A41,$B$2:$B41,$B41,$L$2:$L41,"&lt;&gt;ET"))</f>
        <v>6</v>
      </c>
      <c r="F41" s="11">
        <v>68</v>
      </c>
      <c r="G41" s="12">
        <v>2</v>
      </c>
      <c r="H41" s="18">
        <f>COUNTIFS('Rote Karten'!$A$2:$A$4,$A41,'Rote Karten'!$D$2:$D$4,"&lt;&gt;"&amp;$B41,'Rote Karten'!$B$2:$B$4,"&lt;"&amp;$F41,'Rote Karten'!$C$2:$C$4,"&lt;="&amp;$G41)-COUNTIFS('Rote Karten'!$A$2:$A$4,$A41,'Rote Karten'!$D$2:$D$4,$B41,'Rote Karten'!$B$2:$B$4,"&lt;"&amp;$F41,'Rote Karten'!$C$2:$C$4,"&lt;="&amp;$G41)</f>
        <v>0</v>
      </c>
      <c r="I41" s="17" t="str">
        <f>IF(OR($L41="Tor",$L41="ET"),_xlfn.IFNA(IF(VLOOKUP($A41,Spiele!$A$2:$C$15,3,FALSE)=$B41,COUNTIFS($L$2:$L41,"Tor",$B$2:$B41,$B41,$A$2:$A41,$A41)+COUNTIFS($L$2:$L41,"ET",$B$2:$B41,$B41,$A$2:$A41,$A41)&amp;":"&amp;COUNTIFS($L$2:$L41,"Tor",$B$2:$B41,"&lt;&gt;"&amp;$B41,$A$2:$A41,$A41)+COUNTIFS($L$2:$L41,"ET",$B$2:$B41,"&lt;&gt;"&amp;$B41,$A$2:$A41,$A41),COUNTIFS($L$2:$L41,"Tor",$B$2:$B41,"&lt;&gt;"&amp;$B41,$A$2:$A41,$A41)+COUNTIFS($L$2:$L41,"ET",$B$2:$B41,"&lt;&gt;"&amp;$B41,$A$2:$A41,$A41)&amp;":"&amp;COUNTIFS($L$2:$L41,"Tor",$B$2:$B41,$B41,$A$2:$A41,$A41)+COUNTIFS($L$2:$L41,"ET",$B$2:$B41,$B41,$A$2:$A41,$A41)),""),"")</f>
        <v/>
      </c>
      <c r="J41" s="18">
        <f>_xlfn.IFNA(IF(VLOOKUP($A41,Spiele!$A$2:$D$15,3,FALSE)=$B41,(COUNTIFS($L$1:$L40,"Tor",$B$1:$B40,$B41,$A$1:$A40,$A41)+COUNTIFS($L$1:$L40,"ET",$B$1:$B40,$B41,$A$1:$A40,$A41))-(COUNTIFS($L$1:$L40,"Tor",$B$1:$B40,"&lt;&gt;"&amp;$B41,$A$1:$A40,$A41)+COUNTIFS($L$1:$L40,"ET",$B$1:$B40,"&lt;&gt;"&amp;$B41,$A$1:$A40,$A41)),(COUNTIFS($L$1:$L40,"Tor",$B$1:$B40,$B41,$A$1:$A40,$A41)+COUNTIFS($L$1:$L40,"ET",$B$1:$B40,$B41,$A$1:$A40,$A41))-(COUNTIFS($L$1:$L40,"Tor",$B$1:$B40,"&lt;&gt;"&amp;$B41,$A$1:$A40,$A41)+COUNTIFS($L$1:$L40,"ET",$B$1:$B40,"&lt;&gt;"&amp;$B41,$A$1:$A40,$A41))),"")</f>
        <v>0</v>
      </c>
      <c r="K41" s="3">
        <v>13</v>
      </c>
      <c r="L41" s="17" t="s">
        <v>19</v>
      </c>
      <c r="M41" s="2" t="s">
        <v>147</v>
      </c>
      <c r="N41" s="2" t="s">
        <v>158</v>
      </c>
      <c r="X41" s="2" t="s">
        <v>151</v>
      </c>
      <c r="Y41" s="17" t="s">
        <v>143</v>
      </c>
      <c r="Z41" s="14" t="s">
        <v>144</v>
      </c>
      <c r="AA41" s="14" t="s">
        <v>145</v>
      </c>
      <c r="AB41" s="18"/>
      <c r="AC41" s="13">
        <v>-2</v>
      </c>
      <c r="AD41" s="13">
        <v>14</v>
      </c>
      <c r="AE41" s="19">
        <f t="shared" si="0"/>
        <v>14</v>
      </c>
      <c r="AF41" s="19">
        <f t="shared" si="1"/>
        <v>28.774850708538143</v>
      </c>
      <c r="AG41" s="2" t="s">
        <v>146</v>
      </c>
      <c r="AH41" s="13">
        <v>0</v>
      </c>
      <c r="AI41" s="13">
        <v>2</v>
      </c>
      <c r="AJ41" s="19">
        <f>IF(Abschlüsse[[#This Row],[Ergeb]]="ET","",SQRT(($AC41-$AH41)^2+($AD41-$AI41)^2))</f>
        <v>12.165525060596439</v>
      </c>
      <c r="AK41" s="3">
        <v>2</v>
      </c>
      <c r="AL41" s="13">
        <v>-3.5</v>
      </c>
      <c r="AM41" s="13">
        <v>13.5</v>
      </c>
      <c r="AN41" s="19">
        <f t="shared" si="2"/>
        <v>1.5811388300841898</v>
      </c>
      <c r="AO41" s="3">
        <v>1</v>
      </c>
      <c r="AP41" s="13">
        <v>-1.5</v>
      </c>
      <c r="AQ41" s="13">
        <v>9.5</v>
      </c>
      <c r="AR41" s="19">
        <f t="shared" si="3"/>
        <v>4.5276925690687087</v>
      </c>
      <c r="AS41" s="1"/>
    </row>
    <row r="42" spans="1:45" ht="25.05" customHeight="1">
      <c r="A42" s="3">
        <v>2</v>
      </c>
      <c r="B42" s="2" t="s">
        <v>8</v>
      </c>
      <c r="C42" s="17" t="str">
        <f>IF($A42="","",IF(VLOOKUP($A42,Spiele!$A$2:$D$15,3,FALSE)=$B42,"H","G"))</f>
        <v>G</v>
      </c>
      <c r="D42" s="17" t="str">
        <f>IF($B42="","",IF(VLOOKUP($A42,Spiele!$A$2:$F$15,3,FALSE)=$B42,VLOOKUP($A42,Spiele!$A$2:$F$15,4,FALSE),VLOOKUP($A42,Spiele!$A$2:$F$15,3,FALSE)))</f>
        <v>FCD</v>
      </c>
      <c r="E42" s="18">
        <f>IF(Abschlüsse[[#This Row],[Ergeb]]="ET",0,COUNTIFS($A$2:$A42,$A42,$B$2:$B42,$B42,$L$2:$L42,"&lt;&gt;ET"))</f>
        <v>9</v>
      </c>
      <c r="F42" s="11">
        <v>70</v>
      </c>
      <c r="G42" s="12">
        <v>2</v>
      </c>
      <c r="H42" s="18">
        <f>COUNTIFS('Rote Karten'!$A$2:$A$4,$A42,'Rote Karten'!$D$2:$D$4,"&lt;&gt;"&amp;$B42,'Rote Karten'!$B$2:$B$4,"&lt;"&amp;$F42,'Rote Karten'!$C$2:$C$4,"&lt;="&amp;$G42)-COUNTIFS('Rote Karten'!$A$2:$A$4,$A42,'Rote Karten'!$D$2:$D$4,$B42,'Rote Karten'!$B$2:$B$4,"&lt;"&amp;$F42,'Rote Karten'!$C$2:$C$4,"&lt;="&amp;$G42)</f>
        <v>0</v>
      </c>
      <c r="I42" s="17" t="str">
        <f>IF(OR($L42="Tor",$L42="ET"),_xlfn.IFNA(IF(VLOOKUP($A42,Spiele!$A$2:$C$15,3,FALSE)=$B42,COUNTIFS($L$2:$L42,"Tor",$B$2:$B42,$B42,$A$2:$A42,$A42)+COUNTIFS($L$2:$L42,"ET",$B$2:$B42,$B42,$A$2:$A42,$A42)&amp;":"&amp;COUNTIFS($L$2:$L42,"Tor",$B$2:$B42,"&lt;&gt;"&amp;$B42,$A$2:$A42,$A42)+COUNTIFS($L$2:$L42,"ET",$B$2:$B42,"&lt;&gt;"&amp;$B42,$A$2:$A42,$A42),COUNTIFS($L$2:$L42,"Tor",$B$2:$B42,"&lt;&gt;"&amp;$B42,$A$2:$A42,$A42)+COUNTIFS($L$2:$L42,"ET",$B$2:$B42,"&lt;&gt;"&amp;$B42,$A$2:$A42,$A42)&amp;":"&amp;COUNTIFS($L$2:$L42,"Tor",$B$2:$B42,$B42,$A$2:$A42,$A42)+COUNTIFS($L$2:$L42,"ET",$B$2:$B42,$B42,$A$2:$A42,$A42)),""),"")</f>
        <v/>
      </c>
      <c r="J42" s="18">
        <f>_xlfn.IFNA(IF(VLOOKUP($A42,Spiele!$A$2:$D$15,3,FALSE)=$B42,(COUNTIFS($L$1:$L41,"Tor",$B$1:$B41,$B42,$A$1:$A41,$A42)+COUNTIFS($L$1:$L41,"ET",$B$1:$B41,$B42,$A$1:$A41,$A42))-(COUNTIFS($L$1:$L41,"Tor",$B$1:$B41,"&lt;&gt;"&amp;$B42,$A$1:$A41,$A42)+COUNTIFS($L$1:$L41,"ET",$B$1:$B41,"&lt;&gt;"&amp;$B42,$A$1:$A41,$A42)),(COUNTIFS($L$1:$L41,"Tor",$B$1:$B41,$B42,$A$1:$A41,$A42)+COUNTIFS($L$1:$L41,"ET",$B$1:$B41,$B42,$A$1:$A41,$A42))-(COUNTIFS($L$1:$L41,"Tor",$B$1:$B41,"&lt;&gt;"&amp;$B42,$A$1:$A41,$A42)+COUNTIFS($L$1:$L41,"ET",$B$1:$B41,"&lt;&gt;"&amp;$B42,$A$1:$A41,$A42))),"")</f>
        <v>0</v>
      </c>
      <c r="K42" s="3">
        <v>14</v>
      </c>
      <c r="L42" s="17" t="s">
        <v>19</v>
      </c>
      <c r="M42" s="2" t="s">
        <v>163</v>
      </c>
      <c r="N42" s="2" t="s">
        <v>164</v>
      </c>
      <c r="X42" s="2" t="s">
        <v>151</v>
      </c>
      <c r="Y42" s="17" t="s">
        <v>143</v>
      </c>
      <c r="Z42" s="14" t="s">
        <v>150</v>
      </c>
      <c r="AA42" s="14" t="s">
        <v>156</v>
      </c>
      <c r="AB42" s="18">
        <v>18</v>
      </c>
      <c r="AC42" s="13">
        <v>-14.5</v>
      </c>
      <c r="AD42" s="13">
        <v>20.5</v>
      </c>
      <c r="AE42" s="19">
        <f t="shared" si="0"/>
        <v>23.189557994925217</v>
      </c>
      <c r="AF42" s="19">
        <f t="shared" si="1"/>
        <v>13.667233023059934</v>
      </c>
      <c r="AG42" s="2" t="s">
        <v>146</v>
      </c>
      <c r="AH42" s="13">
        <v>-1.5</v>
      </c>
      <c r="AI42" s="13">
        <v>2</v>
      </c>
      <c r="AJ42" s="19">
        <f>IF(Abschlüsse[[#This Row],[Ergeb]]="ET","",SQRT(($AC42-$AH42)^2+($AD42-$AI42)^2))</f>
        <v>22.610838109190027</v>
      </c>
      <c r="AK42" s="3">
        <v>2</v>
      </c>
      <c r="AL42" s="13">
        <v>-15</v>
      </c>
      <c r="AM42" s="13">
        <v>23.5</v>
      </c>
      <c r="AN42" s="19">
        <f t="shared" si="2"/>
        <v>3.0413812651491097</v>
      </c>
      <c r="AO42" s="3">
        <v>2</v>
      </c>
      <c r="AP42" s="13">
        <v>-13</v>
      </c>
      <c r="AQ42" s="13">
        <v>17</v>
      </c>
      <c r="AR42" s="19">
        <f t="shared" si="3"/>
        <v>3.8078865529319543</v>
      </c>
      <c r="AS42" s="1"/>
    </row>
    <row r="43" spans="1:45" ht="25.05" customHeight="1">
      <c r="A43" s="3">
        <v>2</v>
      </c>
      <c r="B43" s="2" t="s">
        <v>8</v>
      </c>
      <c r="C43" s="17" t="str">
        <f>IF($A43="","",IF(VLOOKUP($A43,Spiele!$A$2:$D$15,3,FALSE)=$B43,"H","G"))</f>
        <v>G</v>
      </c>
      <c r="D43" s="17" t="str">
        <f>IF($B43="","",IF(VLOOKUP($A43,Spiele!$A$2:$F$15,3,FALSE)=$B43,VLOOKUP($A43,Spiele!$A$2:$F$15,4,FALSE),VLOOKUP($A43,Spiele!$A$2:$F$15,3,FALSE)))</f>
        <v>FCD</v>
      </c>
      <c r="E43" s="18">
        <f>IF(Abschlüsse[[#This Row],[Ergeb]]="ET",0,COUNTIFS($A$2:$A43,$A43,$B$2:$B43,$B43,$L$2:$L43,"&lt;&gt;ET"))</f>
        <v>10</v>
      </c>
      <c r="F43" s="11">
        <v>71</v>
      </c>
      <c r="G43" s="12">
        <v>2</v>
      </c>
      <c r="H43" s="18">
        <f>COUNTIFS('Rote Karten'!$A$2:$A$4,$A43,'Rote Karten'!$D$2:$D$4,"&lt;&gt;"&amp;$B43,'Rote Karten'!$B$2:$B$4,"&lt;"&amp;$F43,'Rote Karten'!$C$2:$C$4,"&lt;="&amp;$G43)-COUNTIFS('Rote Karten'!$A$2:$A$4,$A43,'Rote Karten'!$D$2:$D$4,$B43,'Rote Karten'!$B$2:$B$4,"&lt;"&amp;$F43,'Rote Karten'!$C$2:$C$4,"&lt;="&amp;$G43)</f>
        <v>0</v>
      </c>
      <c r="I43" s="17" t="str">
        <f>IF(OR($L43="Tor",$L43="ET"),_xlfn.IFNA(IF(VLOOKUP($A43,Spiele!$A$2:$C$15,3,FALSE)=$B43,COUNTIFS($L$2:$L43,"Tor",$B$2:$B43,$B43,$A$2:$A43,$A43)+COUNTIFS($L$2:$L43,"ET",$B$2:$B43,$B43,$A$2:$A43,$A43)&amp;":"&amp;COUNTIFS($L$2:$L43,"Tor",$B$2:$B43,"&lt;&gt;"&amp;$B43,$A$2:$A43,$A43)+COUNTIFS($L$2:$L43,"ET",$B$2:$B43,"&lt;&gt;"&amp;$B43,$A$2:$A43,$A43),COUNTIFS($L$2:$L43,"Tor",$B$2:$B43,"&lt;&gt;"&amp;$B43,$A$2:$A43,$A43)+COUNTIFS($L$2:$L43,"ET",$B$2:$B43,"&lt;&gt;"&amp;$B43,$A$2:$A43,$A43)&amp;":"&amp;COUNTIFS($L$2:$L43,"Tor",$B$2:$B43,$B43,$A$2:$A43,$A43)+COUNTIFS($L$2:$L43,"ET",$B$2:$B43,$B43,$A$2:$A43,$A43)),""),"")</f>
        <v/>
      </c>
      <c r="J43" s="18">
        <f>_xlfn.IFNA(IF(VLOOKUP($A43,Spiele!$A$2:$D$15,3,FALSE)=$B43,(COUNTIFS($L$1:$L42,"Tor",$B$1:$B42,$B43,$A$1:$A42,$A43)+COUNTIFS($L$1:$L42,"ET",$B$1:$B42,$B43,$A$1:$A42,$A43))-(COUNTIFS($L$1:$L42,"Tor",$B$1:$B42,"&lt;&gt;"&amp;$B43,$A$1:$A42,$A43)+COUNTIFS($L$1:$L42,"ET",$B$1:$B42,"&lt;&gt;"&amp;$B43,$A$1:$A42,$A43)),(COUNTIFS($L$1:$L42,"Tor",$B$1:$B42,$B43,$A$1:$A42,$A43)+COUNTIFS($L$1:$L42,"ET",$B$1:$B42,$B43,$A$1:$A42,$A43))-(COUNTIFS($L$1:$L42,"Tor",$B$1:$B42,"&lt;&gt;"&amp;$B43,$A$1:$A42,$A43)+COUNTIFS($L$1:$L42,"ET",$B$1:$B42,"&lt;&gt;"&amp;$B43,$A$1:$A42,$A43))),"")</f>
        <v>0</v>
      </c>
      <c r="K43" s="3">
        <v>15</v>
      </c>
      <c r="L43" s="17" t="s">
        <v>19</v>
      </c>
      <c r="M43" s="2" t="s">
        <v>168</v>
      </c>
      <c r="N43" s="2" t="s">
        <v>153</v>
      </c>
      <c r="O43" s="2">
        <v>20</v>
      </c>
      <c r="P43" s="2">
        <v>8</v>
      </c>
      <c r="X43" s="2" t="s">
        <v>154</v>
      </c>
      <c r="Y43" s="17" t="s">
        <v>160</v>
      </c>
      <c r="Z43" s="14" t="s">
        <v>161</v>
      </c>
      <c r="AA43" s="14" t="s">
        <v>156</v>
      </c>
      <c r="AB43" s="18">
        <v>13</v>
      </c>
      <c r="AC43" s="13">
        <v>-4.5</v>
      </c>
      <c r="AD43" s="13">
        <v>3.5</v>
      </c>
      <c r="AE43" s="19">
        <f t="shared" si="0"/>
        <v>3.5993888370110834</v>
      </c>
      <c r="AF43" s="19">
        <f t="shared" si="1"/>
        <v>53.288729805720948</v>
      </c>
      <c r="AG43" s="2" t="s">
        <v>146</v>
      </c>
      <c r="AH43" s="13">
        <v>-2</v>
      </c>
      <c r="AI43" s="13">
        <v>0.5</v>
      </c>
      <c r="AJ43" s="19">
        <f>IF(Abschlüsse[[#This Row],[Ergeb]]="ET","",SQRT(($AC43-$AH43)^2+($AD43-$AI43)^2))</f>
        <v>3.905124837953327</v>
      </c>
      <c r="AK43" s="3">
        <v>1</v>
      </c>
      <c r="AL43" s="13">
        <v>-4</v>
      </c>
      <c r="AM43" s="13">
        <v>4</v>
      </c>
      <c r="AN43" s="19">
        <f t="shared" si="2"/>
        <v>0.70710678118654757</v>
      </c>
      <c r="AO43" s="3">
        <v>0</v>
      </c>
      <c r="AR43" s="19" t="str">
        <f t="shared" si="3"/>
        <v/>
      </c>
      <c r="AS43" s="1"/>
    </row>
    <row r="44" spans="1:45" ht="25.05" customHeight="1">
      <c r="A44" s="3">
        <v>2</v>
      </c>
      <c r="B44" s="2" t="s">
        <v>8</v>
      </c>
      <c r="C44" s="17" t="str">
        <f>IF($A44="","",IF(VLOOKUP($A44,Spiele!$A$2:$D$15,3,FALSE)=$B44,"H","G"))</f>
        <v>G</v>
      </c>
      <c r="D44" s="17" t="str">
        <f>IF($B44="","",IF(VLOOKUP($A44,Spiele!$A$2:$F$15,3,FALSE)=$B44,VLOOKUP($A44,Spiele!$A$2:$F$15,4,FALSE),VLOOKUP($A44,Spiele!$A$2:$F$15,3,FALSE)))</f>
        <v>FCD</v>
      </c>
      <c r="E44" s="18">
        <f>IF(Abschlüsse[[#This Row],[Ergeb]]="ET",0,COUNTIFS($A$2:$A44,$A44,$B$2:$B44,$B44,$L$2:$L44,"&lt;&gt;ET"))</f>
        <v>11</v>
      </c>
      <c r="F44" s="11">
        <v>72</v>
      </c>
      <c r="G44" s="12">
        <v>2</v>
      </c>
      <c r="H44" s="18">
        <f>COUNTIFS('Rote Karten'!$A$2:$A$4,$A44,'Rote Karten'!$D$2:$D$4,"&lt;&gt;"&amp;$B44,'Rote Karten'!$B$2:$B$4,"&lt;"&amp;$F44,'Rote Karten'!$C$2:$C$4,"&lt;="&amp;$G44)-COUNTIFS('Rote Karten'!$A$2:$A$4,$A44,'Rote Karten'!$D$2:$D$4,$B44,'Rote Karten'!$B$2:$B$4,"&lt;"&amp;$F44,'Rote Karten'!$C$2:$C$4,"&lt;="&amp;$G44)</f>
        <v>0</v>
      </c>
      <c r="I44" s="17" t="str">
        <f>IF(OR($L44="Tor",$L44="ET"),_xlfn.IFNA(IF(VLOOKUP($A44,Spiele!$A$2:$C$15,3,FALSE)=$B44,COUNTIFS($L$2:$L44,"Tor",$B$2:$B44,$B44,$A$2:$A44,$A44)+COUNTIFS($L$2:$L44,"ET",$B$2:$B44,$B44,$A$2:$A44,$A44)&amp;":"&amp;COUNTIFS($L$2:$L44,"Tor",$B$2:$B44,"&lt;&gt;"&amp;$B44,$A$2:$A44,$A44)+COUNTIFS($L$2:$L44,"ET",$B$2:$B44,"&lt;&gt;"&amp;$B44,$A$2:$A44,$A44),COUNTIFS($L$2:$L44,"Tor",$B$2:$B44,"&lt;&gt;"&amp;$B44,$A$2:$A44,$A44)+COUNTIFS($L$2:$L44,"ET",$B$2:$B44,"&lt;&gt;"&amp;$B44,$A$2:$A44,$A44)&amp;":"&amp;COUNTIFS($L$2:$L44,"Tor",$B$2:$B44,$B44,$A$2:$A44,$A44)+COUNTIFS($L$2:$L44,"ET",$B$2:$B44,$B44,$A$2:$A44,$A44)),""),"")</f>
        <v>2:3</v>
      </c>
      <c r="J44" s="18">
        <f>_xlfn.IFNA(IF(VLOOKUP($A44,Spiele!$A$2:$D$15,3,FALSE)=$B44,(COUNTIFS($L$1:$L43,"Tor",$B$1:$B43,$B44,$A$1:$A43,$A44)+COUNTIFS($L$1:$L43,"ET",$B$1:$B43,$B44,$A$1:$A43,$A44))-(COUNTIFS($L$1:$L43,"Tor",$B$1:$B43,"&lt;&gt;"&amp;$B44,$A$1:$A43,$A44)+COUNTIFS($L$1:$L43,"ET",$B$1:$B43,"&lt;&gt;"&amp;$B44,$A$1:$A43,$A44)),(COUNTIFS($L$1:$L43,"Tor",$B$1:$B43,$B44,$A$1:$A43,$A44)+COUNTIFS($L$1:$L43,"ET",$B$1:$B43,$B44,$A$1:$A43,$A44))-(COUNTIFS($L$1:$L43,"Tor",$B$1:$B43,"&lt;&gt;"&amp;$B44,$A$1:$A43,$A44)+COUNTIFS($L$1:$L43,"ET",$B$1:$B43,"&lt;&gt;"&amp;$B44,$A$1:$A43,$A44))),"")</f>
        <v>0</v>
      </c>
      <c r="K44" s="3">
        <v>16</v>
      </c>
      <c r="L44" s="17" t="s">
        <v>0</v>
      </c>
      <c r="M44" s="2" t="s">
        <v>147</v>
      </c>
      <c r="N44" s="2" t="s">
        <v>158</v>
      </c>
      <c r="O44" s="2">
        <v>25</v>
      </c>
      <c r="P44" s="2">
        <v>9</v>
      </c>
      <c r="Q44" s="2">
        <v>19</v>
      </c>
      <c r="R44" s="2">
        <v>26</v>
      </c>
      <c r="S44" s="2">
        <v>1</v>
      </c>
      <c r="T44" s="2">
        <v>20</v>
      </c>
      <c r="U44" s="2">
        <v>23</v>
      </c>
      <c r="X44" s="2" t="s">
        <v>142</v>
      </c>
      <c r="Y44" s="17" t="s">
        <v>143</v>
      </c>
      <c r="Z44" s="14" t="s">
        <v>150</v>
      </c>
      <c r="AA44" s="14" t="s">
        <v>145</v>
      </c>
      <c r="AB44" s="18">
        <v>9</v>
      </c>
      <c r="AC44" s="13">
        <v>5.5</v>
      </c>
      <c r="AD44" s="13">
        <v>24.5</v>
      </c>
      <c r="AE44" s="19">
        <f t="shared" si="0"/>
        <v>24.568996723513152</v>
      </c>
      <c r="AF44" s="19">
        <f t="shared" si="1"/>
        <v>16.204674570321444</v>
      </c>
      <c r="AG44" s="2" t="s">
        <v>146</v>
      </c>
      <c r="AH44" s="13">
        <v>0.5</v>
      </c>
      <c r="AI44" s="13">
        <v>2.5</v>
      </c>
      <c r="AJ44" s="19">
        <f>IF(Abschlüsse[[#This Row],[Ergeb]]="ET","",SQRT(($AC44-$AH44)^2+($AD44-$AI44)^2))</f>
        <v>22.561028345356956</v>
      </c>
      <c r="AK44" s="3">
        <v>0</v>
      </c>
      <c r="AL44" s="13"/>
      <c r="AM44" s="13"/>
      <c r="AN44" s="19" t="str">
        <f t="shared" si="2"/>
        <v/>
      </c>
      <c r="AO44" s="3">
        <v>2</v>
      </c>
      <c r="AP44" s="13">
        <v>3.5</v>
      </c>
      <c r="AQ44" s="13">
        <v>16</v>
      </c>
      <c r="AR44" s="19">
        <f t="shared" si="3"/>
        <v>8.7321245982864895</v>
      </c>
      <c r="AS44" s="1"/>
    </row>
    <row r="45" spans="1:45" ht="25.05" customHeight="1">
      <c r="A45" s="3">
        <v>2</v>
      </c>
      <c r="B45" s="2" t="s">
        <v>8</v>
      </c>
      <c r="C45" s="17" t="str">
        <f>IF($A45="","",IF(VLOOKUP($A45,Spiele!$A$2:$D$15,3,FALSE)=$B45,"H","G"))</f>
        <v>G</v>
      </c>
      <c r="D45" s="17" t="str">
        <f>IF($B45="","",IF(VLOOKUP($A45,Spiele!$A$2:$F$15,3,FALSE)=$B45,VLOOKUP($A45,Spiele!$A$2:$F$15,4,FALSE),VLOOKUP($A45,Spiele!$A$2:$F$15,3,FALSE)))</f>
        <v>FCD</v>
      </c>
      <c r="E45" s="18">
        <f>IF(Abschlüsse[[#This Row],[Ergeb]]="ET",0,COUNTIFS($A$2:$A45,$A45,$B$2:$B45,$B45,$L$2:$L45,"&lt;&gt;ET"))</f>
        <v>12</v>
      </c>
      <c r="F45" s="11">
        <v>78</v>
      </c>
      <c r="G45" s="12">
        <v>2</v>
      </c>
      <c r="H45" s="18">
        <f>COUNTIFS('Rote Karten'!$A$2:$A$4,$A45,'Rote Karten'!$D$2:$D$4,"&lt;&gt;"&amp;$B45,'Rote Karten'!$B$2:$B$4,"&lt;"&amp;$F45,'Rote Karten'!$C$2:$C$4,"&lt;="&amp;$G45)-COUNTIFS('Rote Karten'!$A$2:$A$4,$A45,'Rote Karten'!$D$2:$D$4,$B45,'Rote Karten'!$B$2:$B$4,"&lt;"&amp;$F45,'Rote Karten'!$C$2:$C$4,"&lt;="&amp;$G45)</f>
        <v>0</v>
      </c>
      <c r="I45" s="17" t="str">
        <f>IF(OR($L45="Tor",$L45="ET"),_xlfn.IFNA(IF(VLOOKUP($A45,Spiele!$A$2:$C$15,3,FALSE)=$B45,COUNTIFS($L$2:$L45,"Tor",$B$2:$B45,$B45,$A$2:$A45,$A45)+COUNTIFS($L$2:$L45,"ET",$B$2:$B45,$B45,$A$2:$A45,$A45)&amp;":"&amp;COUNTIFS($L$2:$L45,"Tor",$B$2:$B45,"&lt;&gt;"&amp;$B45,$A$2:$A45,$A45)+COUNTIFS($L$2:$L45,"ET",$B$2:$B45,"&lt;&gt;"&amp;$B45,$A$2:$A45,$A45),COUNTIFS($L$2:$L45,"Tor",$B$2:$B45,"&lt;&gt;"&amp;$B45,$A$2:$A45,$A45)+COUNTIFS($L$2:$L45,"ET",$B$2:$B45,"&lt;&gt;"&amp;$B45,$A$2:$A45,$A45)&amp;":"&amp;COUNTIFS($L$2:$L45,"Tor",$B$2:$B45,$B45,$A$2:$A45,$A45)+COUNTIFS($L$2:$L45,"ET",$B$2:$B45,$B45,$A$2:$A45,$A45)),""),"")</f>
        <v/>
      </c>
      <c r="J45" s="18">
        <f>_xlfn.IFNA(IF(VLOOKUP($A45,Spiele!$A$2:$D$15,3,FALSE)=$B45,(COUNTIFS($L$1:$L44,"Tor",$B$1:$B44,$B45,$A$1:$A44,$A45)+COUNTIFS($L$1:$L44,"ET",$B$1:$B44,$B45,$A$1:$A44,$A45))-(COUNTIFS($L$1:$L44,"Tor",$B$1:$B44,"&lt;&gt;"&amp;$B45,$A$1:$A44,$A45)+COUNTIFS($L$1:$L44,"ET",$B$1:$B44,"&lt;&gt;"&amp;$B45,$A$1:$A44,$A45)),(COUNTIFS($L$1:$L44,"Tor",$B$1:$B44,$B45,$A$1:$A44,$A45)+COUNTIFS($L$1:$L44,"ET",$B$1:$B44,$B45,$A$1:$A44,$A45))-(COUNTIFS($L$1:$L44,"Tor",$B$1:$B44,"&lt;&gt;"&amp;$B45,$A$1:$A44,$A45)+COUNTIFS($L$1:$L44,"ET",$B$1:$B44,"&lt;&gt;"&amp;$B45,$A$1:$A44,$A45))),"")</f>
        <v>1</v>
      </c>
      <c r="K45" s="3">
        <v>17</v>
      </c>
      <c r="L45" s="17" t="s">
        <v>19</v>
      </c>
      <c r="M45" s="2" t="s">
        <v>163</v>
      </c>
      <c r="N45" s="2" t="s">
        <v>164</v>
      </c>
      <c r="O45" s="2">
        <v>13</v>
      </c>
      <c r="P45" s="2">
        <v>19</v>
      </c>
      <c r="X45" s="2" t="s">
        <v>151</v>
      </c>
      <c r="Y45" s="17" t="s">
        <v>143</v>
      </c>
      <c r="Z45" s="14" t="s">
        <v>150</v>
      </c>
      <c r="AA45" s="14" t="s">
        <v>156</v>
      </c>
      <c r="AB45" s="18">
        <v>18</v>
      </c>
      <c r="AC45" s="13">
        <v>-18</v>
      </c>
      <c r="AD45" s="13">
        <v>24.5</v>
      </c>
      <c r="AE45" s="19">
        <f t="shared" si="0"/>
        <v>28.388124277591853</v>
      </c>
      <c r="AF45" s="19">
        <f t="shared" si="1"/>
        <v>11.138607708814257</v>
      </c>
      <c r="AG45" s="2" t="s">
        <v>146</v>
      </c>
      <c r="AH45" s="13">
        <v>-1.5</v>
      </c>
      <c r="AI45" s="13">
        <v>1.5</v>
      </c>
      <c r="AJ45" s="19">
        <f>IF(Abschlüsse[[#This Row],[Ergeb]]="ET","",SQRT(($AC45-$AH45)^2+($AD45-$AI45)^2))</f>
        <v>28.306359709436322</v>
      </c>
      <c r="AK45" s="3">
        <v>1</v>
      </c>
      <c r="AL45" s="13">
        <v>-18</v>
      </c>
      <c r="AM45" s="13">
        <v>21.5</v>
      </c>
      <c r="AN45" s="19">
        <f t="shared" si="2"/>
        <v>3</v>
      </c>
      <c r="AO45" s="3">
        <v>1</v>
      </c>
      <c r="AP45" s="13">
        <v>-9.5</v>
      </c>
      <c r="AQ45" s="13">
        <v>16</v>
      </c>
      <c r="AR45" s="19">
        <f t="shared" si="3"/>
        <v>12.020815280171307</v>
      </c>
      <c r="AS45" s="1"/>
    </row>
    <row r="46" spans="1:45" ht="25.05" customHeight="1">
      <c r="A46" s="3">
        <v>2</v>
      </c>
      <c r="B46" s="2" t="s">
        <v>8</v>
      </c>
      <c r="C46" s="17" t="str">
        <f>IF($A46="","",IF(VLOOKUP($A46,Spiele!$A$2:$D$15,3,FALSE)=$B46,"H","G"))</f>
        <v>G</v>
      </c>
      <c r="D46" s="17" t="str">
        <f>IF($B46="","",IF(VLOOKUP($A46,Spiele!$A$2:$F$15,3,FALSE)=$B46,VLOOKUP($A46,Spiele!$A$2:$F$15,4,FALSE),VLOOKUP($A46,Spiele!$A$2:$F$15,3,FALSE)))</f>
        <v>FCD</v>
      </c>
      <c r="E46" s="18">
        <f>IF(Abschlüsse[[#This Row],[Ergeb]]="ET",0,COUNTIFS($A$2:$A46,$A46,$B$2:$B46,$B46,$L$2:$L46,"&lt;&gt;ET"))</f>
        <v>13</v>
      </c>
      <c r="F46" s="11">
        <v>80</v>
      </c>
      <c r="G46" s="12">
        <v>2</v>
      </c>
      <c r="H46" s="18">
        <f>COUNTIFS('Rote Karten'!$A$2:$A$4,$A46,'Rote Karten'!$D$2:$D$4,"&lt;&gt;"&amp;$B46,'Rote Karten'!$B$2:$B$4,"&lt;"&amp;$F46,'Rote Karten'!$C$2:$C$4,"&lt;="&amp;$G46)-COUNTIFS('Rote Karten'!$A$2:$A$4,$A46,'Rote Karten'!$D$2:$D$4,$B46,'Rote Karten'!$B$2:$B$4,"&lt;"&amp;$F46,'Rote Karten'!$C$2:$C$4,"&lt;="&amp;$G46)</f>
        <v>0</v>
      </c>
      <c r="I46" s="17" t="str">
        <f>IF(OR($L46="Tor",$L46="ET"),_xlfn.IFNA(IF(VLOOKUP($A46,Spiele!$A$2:$C$15,3,FALSE)=$B46,COUNTIFS($L$2:$L46,"Tor",$B$2:$B46,$B46,$A$2:$A46,$A46)+COUNTIFS($L$2:$L46,"ET",$B$2:$B46,$B46,$A$2:$A46,$A46)&amp;":"&amp;COUNTIFS($L$2:$L46,"Tor",$B$2:$B46,"&lt;&gt;"&amp;$B46,$A$2:$A46,$A46)+COUNTIFS($L$2:$L46,"ET",$B$2:$B46,"&lt;&gt;"&amp;$B46,$A$2:$A46,$A46),COUNTIFS($L$2:$L46,"Tor",$B$2:$B46,"&lt;&gt;"&amp;$B46,$A$2:$A46,$A46)+COUNTIFS($L$2:$L46,"ET",$B$2:$B46,"&lt;&gt;"&amp;$B46,$A$2:$A46,$A46)&amp;":"&amp;COUNTIFS($L$2:$L46,"Tor",$B$2:$B46,$B46,$A$2:$A46,$A46)+COUNTIFS($L$2:$L46,"ET",$B$2:$B46,$B46,$A$2:$A46,$A46)),""),"")</f>
        <v/>
      </c>
      <c r="J46" s="18">
        <f>_xlfn.IFNA(IF(VLOOKUP($A46,Spiele!$A$2:$D$15,3,FALSE)=$B46,(COUNTIFS($L$1:$L45,"Tor",$B$1:$B45,$B46,$A$1:$A45,$A46)+COUNTIFS($L$1:$L45,"ET",$B$1:$B45,$B46,$A$1:$A45,$A46))-(COUNTIFS($L$1:$L45,"Tor",$B$1:$B45,"&lt;&gt;"&amp;$B46,$A$1:$A45,$A46)+COUNTIFS($L$1:$L45,"ET",$B$1:$B45,"&lt;&gt;"&amp;$B46,$A$1:$A45,$A46)),(COUNTIFS($L$1:$L45,"Tor",$B$1:$B45,$B46,$A$1:$A45,$A46)+COUNTIFS($L$1:$L45,"ET",$B$1:$B45,$B46,$A$1:$A45,$A46))-(COUNTIFS($L$1:$L45,"Tor",$B$1:$B45,"&lt;&gt;"&amp;$B46,$A$1:$A45,$A46)+COUNTIFS($L$1:$L45,"ET",$B$1:$B45,"&lt;&gt;"&amp;$B46,$A$1:$A45,$A46))),"")</f>
        <v>1</v>
      </c>
      <c r="K46" s="3">
        <v>18</v>
      </c>
      <c r="L46" s="17" t="s">
        <v>19</v>
      </c>
      <c r="M46" s="2" t="s">
        <v>163</v>
      </c>
      <c r="N46" s="2" t="s">
        <v>152</v>
      </c>
      <c r="O46" s="2">
        <v>8</v>
      </c>
      <c r="P46" s="2">
        <v>18</v>
      </c>
      <c r="Q46" s="2">
        <v>23</v>
      </c>
      <c r="R46" s="2">
        <v>5</v>
      </c>
      <c r="X46" s="2" t="s">
        <v>142</v>
      </c>
      <c r="Y46" s="17" t="s">
        <v>143</v>
      </c>
      <c r="Z46" s="14" t="s">
        <v>150</v>
      </c>
      <c r="AA46" s="14" t="s">
        <v>156</v>
      </c>
      <c r="AB46" s="18">
        <v>25</v>
      </c>
      <c r="AC46" s="13">
        <v>14</v>
      </c>
      <c r="AD46" s="13">
        <v>9.5</v>
      </c>
      <c r="AE46" s="19">
        <f t="shared" si="0"/>
        <v>14.041566864135925</v>
      </c>
      <c r="AF46" s="19">
        <f t="shared" si="1"/>
        <v>14.29808453045605</v>
      </c>
      <c r="AG46" s="2" t="s">
        <v>146</v>
      </c>
      <c r="AH46" s="13">
        <v>4</v>
      </c>
      <c r="AI46" s="13">
        <v>3</v>
      </c>
      <c r="AJ46" s="19">
        <f>IF(Abschlüsse[[#This Row],[Ergeb]]="ET","",SQRT(($AC46-$AH46)^2+($AD46-$AI46)^2))</f>
        <v>11.926860441876563</v>
      </c>
      <c r="AK46" s="3">
        <v>1</v>
      </c>
      <c r="AL46" s="13">
        <v>11</v>
      </c>
      <c r="AM46" s="13">
        <v>10.5</v>
      </c>
      <c r="AN46" s="19">
        <f t="shared" si="2"/>
        <v>3.1622776601683795</v>
      </c>
      <c r="AO46" s="3">
        <v>0</v>
      </c>
      <c r="AR46" s="19" t="str">
        <f t="shared" si="3"/>
        <v/>
      </c>
      <c r="AS46" s="1"/>
    </row>
    <row r="47" spans="1:45" ht="25.05" customHeight="1">
      <c r="A47" s="3">
        <v>2</v>
      </c>
      <c r="B47" s="2" t="s">
        <v>56</v>
      </c>
      <c r="C47" s="17" t="str">
        <f>IF($A47="","",IF(VLOOKUP($A47,Spiele!$A$2:$D$15,3,FALSE)=$B47,"H","G"))</f>
        <v>H</v>
      </c>
      <c r="D47" s="17" t="str">
        <f>IF($B47="","",IF(VLOOKUP($A47,Spiele!$A$2:$F$15,3,FALSE)=$B47,VLOOKUP($A47,Spiele!$A$2:$F$15,4,FALSE),VLOOKUP($A47,Spiele!$A$2:$F$15,3,FALSE)))</f>
        <v>FCN</v>
      </c>
      <c r="E47" s="18">
        <f>IF(Abschlüsse[[#This Row],[Ergeb]]="ET",0,COUNTIFS($A$2:$A47,$A47,$B$2:$B47,$B47,$L$2:$L47,"&lt;&gt;ET"))</f>
        <v>7</v>
      </c>
      <c r="F47" s="11">
        <v>83</v>
      </c>
      <c r="G47" s="12">
        <v>2</v>
      </c>
      <c r="H47" s="18">
        <f>COUNTIFS('Rote Karten'!$A$2:$A$4,$A47,'Rote Karten'!$D$2:$D$4,"&lt;&gt;"&amp;$B47,'Rote Karten'!$B$2:$B$4,"&lt;"&amp;$F47,'Rote Karten'!$C$2:$C$4,"&lt;="&amp;$G47)-COUNTIFS('Rote Karten'!$A$2:$A$4,$A47,'Rote Karten'!$D$2:$D$4,$B47,'Rote Karten'!$B$2:$B$4,"&lt;"&amp;$F47,'Rote Karten'!$C$2:$C$4,"&lt;="&amp;$G47)</f>
        <v>0</v>
      </c>
      <c r="I47" s="17" t="str">
        <f>IF(OR($L47="Tor",$L47="ET"),_xlfn.IFNA(IF(VLOOKUP($A47,Spiele!$A$2:$C$15,3,FALSE)=$B47,COUNTIFS($L$2:$L47,"Tor",$B$2:$B47,$B47,$A$2:$A47,$A47)+COUNTIFS($L$2:$L47,"ET",$B$2:$B47,$B47,$A$2:$A47,$A47)&amp;":"&amp;COUNTIFS($L$2:$L47,"Tor",$B$2:$B47,"&lt;&gt;"&amp;$B47,$A$2:$A47,$A47)+COUNTIFS($L$2:$L47,"ET",$B$2:$B47,"&lt;&gt;"&amp;$B47,$A$2:$A47,$A47),COUNTIFS($L$2:$L47,"Tor",$B$2:$B47,"&lt;&gt;"&amp;$B47,$A$2:$A47,$A47)+COUNTIFS($L$2:$L47,"ET",$B$2:$B47,"&lt;&gt;"&amp;$B47,$A$2:$A47,$A47)&amp;":"&amp;COUNTIFS($L$2:$L47,"Tor",$B$2:$B47,$B47,$A$2:$A47,$A47)+COUNTIFS($L$2:$L47,"ET",$B$2:$B47,$B47,$A$2:$A47,$A47)),""),"")</f>
        <v/>
      </c>
      <c r="J47" s="18">
        <f>_xlfn.IFNA(IF(VLOOKUP($A47,Spiele!$A$2:$D$15,3,FALSE)=$B47,(COUNTIFS($L$1:$L46,"Tor",$B$1:$B46,$B47,$A$1:$A46,$A47)+COUNTIFS($L$1:$L46,"ET",$B$1:$B46,$B47,$A$1:$A46,$A47))-(COUNTIFS($L$1:$L46,"Tor",$B$1:$B46,"&lt;&gt;"&amp;$B47,$A$1:$A46,$A47)+COUNTIFS($L$1:$L46,"ET",$B$1:$B46,"&lt;&gt;"&amp;$B47,$A$1:$A46,$A47)),(COUNTIFS($L$1:$L46,"Tor",$B$1:$B46,$B47,$A$1:$A46,$A47)+COUNTIFS($L$1:$L46,"ET",$B$1:$B46,$B47,$A$1:$A46,$A47))-(COUNTIFS($L$1:$L46,"Tor",$B$1:$B46,"&lt;&gt;"&amp;$B47,$A$1:$A46,$A47)+COUNTIFS($L$1:$L46,"ET",$B$1:$B46,"&lt;&gt;"&amp;$B47,$A$1:$A46,$A47))),"")</f>
        <v>-1</v>
      </c>
      <c r="K47" s="3">
        <v>19</v>
      </c>
      <c r="L47" s="17" t="s">
        <v>170</v>
      </c>
      <c r="M47" s="2" t="s">
        <v>175</v>
      </c>
      <c r="N47" s="2" t="s">
        <v>3</v>
      </c>
      <c r="X47" s="2" t="s">
        <v>141</v>
      </c>
      <c r="Y47" s="17" t="s">
        <v>143</v>
      </c>
      <c r="Z47" s="14" t="s">
        <v>144</v>
      </c>
      <c r="AA47" s="14" t="s">
        <v>145</v>
      </c>
      <c r="AB47" s="18"/>
      <c r="AC47" s="13">
        <v>-5.5</v>
      </c>
      <c r="AD47" s="13">
        <v>2</v>
      </c>
      <c r="AE47" s="19">
        <f t="shared" si="0"/>
        <v>2.7176460402340843</v>
      </c>
      <c r="AF47" s="19">
        <f t="shared" si="1"/>
        <v>35.069243744741968</v>
      </c>
      <c r="AG47" s="2" t="s">
        <v>146</v>
      </c>
      <c r="AH47" s="13">
        <v>-4</v>
      </c>
      <c r="AI47" s="13">
        <v>1.5</v>
      </c>
      <c r="AJ47" s="19">
        <f>IF(Abschlüsse[[#This Row],[Ergeb]]="ET","",SQRT(($AC47-$AH47)^2+($AD47-$AI47)^2))</f>
        <v>1.5811388300841898</v>
      </c>
      <c r="AK47" s="3">
        <v>1</v>
      </c>
      <c r="AL47" s="13">
        <v>-5.5</v>
      </c>
      <c r="AM47" s="13">
        <v>5.5</v>
      </c>
      <c r="AN47" s="19">
        <f t="shared" si="2"/>
        <v>3.5</v>
      </c>
      <c r="AO47" s="3">
        <v>0</v>
      </c>
      <c r="AR47" s="19" t="str">
        <f t="shared" si="3"/>
        <v/>
      </c>
      <c r="AS47" s="1"/>
    </row>
    <row r="48" spans="1:45" ht="25.05" customHeight="1">
      <c r="A48" s="3">
        <v>3</v>
      </c>
      <c r="B48" s="2" t="s">
        <v>8</v>
      </c>
      <c r="C48" s="17" t="str">
        <f>IF($A48="","",IF(VLOOKUP($A48,Spiele!$A$2:$D$15,3,FALSE)=$B48,"H","G"))</f>
        <v>H</v>
      </c>
      <c r="D48" s="17" t="str">
        <f>IF($B48="","",IF(VLOOKUP($A48,Spiele!$A$2:$F$15,3,FALSE)=$B48,VLOOKUP($A48,Spiele!$A$2:$F$15,4,FALSE),VLOOKUP($A48,Spiele!$A$2:$F$15,3,FALSE)))</f>
        <v>TSV</v>
      </c>
      <c r="E48" s="18">
        <f>IF(Abschlüsse[[#This Row],[Ergeb]]="ET",0,COUNTIFS($A$2:$A48,$A48,$B$2:$B48,$B48,$L$2:$L48,"&lt;&gt;ET"))</f>
        <v>1</v>
      </c>
      <c r="F48" s="11">
        <v>4</v>
      </c>
      <c r="G48" s="12">
        <v>1</v>
      </c>
      <c r="H48" s="18">
        <f>COUNTIFS('Rote Karten'!$A$2:$A$4,$A48,'Rote Karten'!$D$2:$D$4,"&lt;&gt;"&amp;$B48,'Rote Karten'!$B$2:$B$4,"&lt;"&amp;$F48,'Rote Karten'!$C$2:$C$4,"&lt;="&amp;$G48)-COUNTIFS('Rote Karten'!$A$2:$A$4,$A48,'Rote Karten'!$D$2:$D$4,$B48,'Rote Karten'!$B$2:$B$4,"&lt;"&amp;$F48,'Rote Karten'!$C$2:$C$4,"&lt;="&amp;$G48)</f>
        <v>0</v>
      </c>
      <c r="I48" s="17" t="str">
        <f>IF(OR($L48="Tor",$L48="ET"),_xlfn.IFNA(IF(VLOOKUP($A48,Spiele!$A$2:$C$15,3,FALSE)=$B48,COUNTIFS($L$2:$L48,"Tor",$B$2:$B48,$B48,$A$2:$A48,$A48)+COUNTIFS($L$2:$L48,"ET",$B$2:$B48,$B48,$A$2:$A48,$A48)&amp;":"&amp;COUNTIFS($L$2:$L48,"Tor",$B$2:$B48,"&lt;&gt;"&amp;$B48,$A$2:$A48,$A48)+COUNTIFS($L$2:$L48,"ET",$B$2:$B48,"&lt;&gt;"&amp;$B48,$A$2:$A48,$A48),COUNTIFS($L$2:$L48,"Tor",$B$2:$B48,"&lt;&gt;"&amp;$B48,$A$2:$A48,$A48)+COUNTIFS($L$2:$L48,"ET",$B$2:$B48,"&lt;&gt;"&amp;$B48,$A$2:$A48,$A48)&amp;":"&amp;COUNTIFS($L$2:$L48,"Tor",$B$2:$B48,$B48,$A$2:$A48,$A48)+COUNTIFS($L$2:$L48,"ET",$B$2:$B48,$B48,$A$2:$A48,$A48)),""),"")</f>
        <v/>
      </c>
      <c r="J48" s="18">
        <f>_xlfn.IFNA(IF(VLOOKUP($A48,Spiele!$A$2:$D$15,3,FALSE)=$B48,(COUNTIFS($L$1:$L47,"Tor",$B$1:$B47,$B48,$A$1:$A47,$A48)+COUNTIFS($L$1:$L47,"ET",$B$1:$B47,$B48,$A$1:$A47,$A48))-(COUNTIFS($L$1:$L47,"Tor",$B$1:$B47,"&lt;&gt;"&amp;$B48,$A$1:$A47,$A48)+COUNTIFS($L$1:$L47,"ET",$B$1:$B47,"&lt;&gt;"&amp;$B48,$A$1:$A47,$A48)),(COUNTIFS($L$1:$L47,"Tor",$B$1:$B47,$B48,$A$1:$A47,$A48)+COUNTIFS($L$1:$L47,"ET",$B$1:$B47,$B48,$A$1:$A47,$A48))-(COUNTIFS($L$1:$L47,"Tor",$B$1:$B47,"&lt;&gt;"&amp;$B48,$A$1:$A47,$A48)+COUNTIFS($L$1:$L47,"ET",$B$1:$B47,"&lt;&gt;"&amp;$B48,$A$1:$A47,$A48))),"")</f>
        <v>0</v>
      </c>
      <c r="K48" s="3">
        <v>1</v>
      </c>
      <c r="L48" s="17" t="s">
        <v>19</v>
      </c>
      <c r="M48" s="2" t="s">
        <v>163</v>
      </c>
      <c r="N48" s="2" t="s">
        <v>158</v>
      </c>
      <c r="O48" s="2">
        <v>26</v>
      </c>
      <c r="P48" s="2">
        <v>13</v>
      </c>
      <c r="X48" s="2" t="s">
        <v>151</v>
      </c>
      <c r="Y48" s="17" t="s">
        <v>143</v>
      </c>
      <c r="Z48" s="14" t="s">
        <v>150</v>
      </c>
      <c r="AA48" s="14" t="s">
        <v>145</v>
      </c>
      <c r="AB48" s="18">
        <v>23</v>
      </c>
      <c r="AC48" s="13">
        <v>10</v>
      </c>
      <c r="AD48" s="13">
        <v>20</v>
      </c>
      <c r="AE48" s="19">
        <f t="shared" si="0"/>
        <v>20.980838877413838</v>
      </c>
      <c r="AF48" s="19">
        <f t="shared" si="1"/>
        <v>16.744460989314298</v>
      </c>
      <c r="AG48" s="2" t="s">
        <v>146</v>
      </c>
      <c r="AH48" s="13">
        <v>1.5</v>
      </c>
      <c r="AI48" s="13">
        <v>2.5</v>
      </c>
      <c r="AJ48" s="19">
        <f>IF(Abschlüsse[[#This Row],[Ergeb]]="ET","",SQRT(($AC48-$AH48)^2+($AD48-$AI48)^2))</f>
        <v>19.455076458343719</v>
      </c>
      <c r="AK48" s="3">
        <v>0</v>
      </c>
      <c r="AL48" s="13"/>
      <c r="AM48" s="13"/>
      <c r="AN48" s="19" t="str">
        <f t="shared" si="2"/>
        <v/>
      </c>
      <c r="AO48" s="3">
        <v>3</v>
      </c>
      <c r="AP48" s="13">
        <v>8</v>
      </c>
      <c r="AQ48" s="13">
        <v>16.5</v>
      </c>
      <c r="AR48" s="19">
        <f t="shared" si="3"/>
        <v>4.0311288741492746</v>
      </c>
      <c r="AS48" s="1"/>
    </row>
    <row r="49" spans="1:45" ht="25.05" customHeight="1">
      <c r="A49" s="3">
        <v>3</v>
      </c>
      <c r="B49" s="2" t="s">
        <v>8</v>
      </c>
      <c r="C49" s="17" t="str">
        <f>IF($A49="","",IF(VLOOKUP($A49,Spiele!$A$2:$D$15,3,FALSE)=$B49,"H","G"))</f>
        <v>H</v>
      </c>
      <c r="D49" s="17" t="str">
        <f>IF($B49="","",IF(VLOOKUP($A49,Spiele!$A$2:$F$15,3,FALSE)=$B49,VLOOKUP($A49,Spiele!$A$2:$F$15,4,FALSE),VLOOKUP($A49,Spiele!$A$2:$F$15,3,FALSE)))</f>
        <v>TSV</v>
      </c>
      <c r="E49" s="18">
        <f>IF(Abschlüsse[[#This Row],[Ergeb]]="ET",0,COUNTIFS($A$2:$A49,$A49,$B$2:$B49,$B49,$L$2:$L49,"&lt;&gt;ET"))</f>
        <v>2</v>
      </c>
      <c r="F49" s="11">
        <v>4</v>
      </c>
      <c r="G49" s="12">
        <v>1</v>
      </c>
      <c r="H49" s="18">
        <f>COUNTIFS('Rote Karten'!$A$2:$A$4,$A49,'Rote Karten'!$D$2:$D$4,"&lt;&gt;"&amp;$B49,'Rote Karten'!$B$2:$B$4,"&lt;"&amp;$F49,'Rote Karten'!$C$2:$C$4,"&lt;="&amp;$G49)-COUNTIFS('Rote Karten'!$A$2:$A$4,$A49,'Rote Karten'!$D$2:$D$4,$B49,'Rote Karten'!$B$2:$B$4,"&lt;"&amp;$F49,'Rote Karten'!$C$2:$C$4,"&lt;="&amp;$G49)</f>
        <v>0</v>
      </c>
      <c r="I49" s="17" t="str">
        <f>IF(OR($L49="Tor",$L49="ET"),_xlfn.IFNA(IF(VLOOKUP($A49,Spiele!$A$2:$C$15,3,FALSE)=$B49,COUNTIFS($L$2:$L49,"Tor",$B$2:$B49,$B49,$A$2:$A49,$A49)+COUNTIFS($L$2:$L49,"ET",$B$2:$B49,$B49,$A$2:$A49,$A49)&amp;":"&amp;COUNTIFS($L$2:$L49,"Tor",$B$2:$B49,"&lt;&gt;"&amp;$B49,$A$2:$A49,$A49)+COUNTIFS($L$2:$L49,"ET",$B$2:$B49,"&lt;&gt;"&amp;$B49,$A$2:$A49,$A49),COUNTIFS($L$2:$L49,"Tor",$B$2:$B49,"&lt;&gt;"&amp;$B49,$A$2:$A49,$A49)+COUNTIFS($L$2:$L49,"ET",$B$2:$B49,"&lt;&gt;"&amp;$B49,$A$2:$A49,$A49)&amp;":"&amp;COUNTIFS($L$2:$L49,"Tor",$B$2:$B49,$B49,$A$2:$A49,$A49)+COUNTIFS($L$2:$L49,"ET",$B$2:$B49,$B49,$A$2:$A49,$A49)),""),"")</f>
        <v/>
      </c>
      <c r="J49" s="18">
        <f>_xlfn.IFNA(IF(VLOOKUP($A49,Spiele!$A$2:$D$15,3,FALSE)=$B49,(COUNTIFS($L$1:$L48,"Tor",$B$1:$B48,$B49,$A$1:$A48,$A49)+COUNTIFS($L$1:$L48,"ET",$B$1:$B48,$B49,$A$1:$A48,$A49))-(COUNTIFS($L$1:$L48,"Tor",$B$1:$B48,"&lt;&gt;"&amp;$B49,$A$1:$A48,$A49)+COUNTIFS($L$1:$L48,"ET",$B$1:$B48,"&lt;&gt;"&amp;$B49,$A$1:$A48,$A49)),(COUNTIFS($L$1:$L48,"Tor",$B$1:$B48,$B49,$A$1:$A48,$A49)+COUNTIFS($L$1:$L48,"ET",$B$1:$B48,$B49,$A$1:$A48,$A49))-(COUNTIFS($L$1:$L48,"Tor",$B$1:$B48,"&lt;&gt;"&amp;$B49,$A$1:$A48,$A49)+COUNTIFS($L$1:$L48,"ET",$B$1:$B48,"&lt;&gt;"&amp;$B49,$A$1:$A48,$A49))),"")</f>
        <v>0</v>
      </c>
      <c r="K49" s="3">
        <v>2</v>
      </c>
      <c r="L49" s="17" t="s">
        <v>19</v>
      </c>
      <c r="M49" s="2" t="s">
        <v>173</v>
      </c>
      <c r="N49" s="2" t="s">
        <v>176</v>
      </c>
      <c r="O49" s="2">
        <v>9</v>
      </c>
      <c r="P49" s="2">
        <v>8</v>
      </c>
      <c r="X49" s="2" t="s">
        <v>141</v>
      </c>
      <c r="Y49" s="17" t="s">
        <v>160</v>
      </c>
      <c r="Z49" s="14" t="s">
        <v>161</v>
      </c>
      <c r="AA49" s="14" t="s">
        <v>145</v>
      </c>
      <c r="AB49" s="18">
        <v>13</v>
      </c>
      <c r="AC49" s="13">
        <v>3.5</v>
      </c>
      <c r="AD49" s="13">
        <v>1.5</v>
      </c>
      <c r="AE49" s="19">
        <f t="shared" si="0"/>
        <v>1.5</v>
      </c>
      <c r="AF49" s="19">
        <f t="shared" si="1"/>
        <v>84.256342985126778</v>
      </c>
      <c r="AG49" s="2" t="s">
        <v>169</v>
      </c>
      <c r="AH49" s="13">
        <v>-1</v>
      </c>
      <c r="AI49" s="13">
        <v>0.5</v>
      </c>
      <c r="AJ49" s="19">
        <f>IF(Abschlüsse[[#This Row],[Ergeb]]="ET","",SQRT(($AC49-$AH49)^2+($AD49-$AI49)^2))</f>
        <v>4.6097722286464435</v>
      </c>
      <c r="AK49" s="3">
        <v>1</v>
      </c>
      <c r="AL49" s="13">
        <v>4</v>
      </c>
      <c r="AM49" s="13">
        <v>1.5</v>
      </c>
      <c r="AN49" s="19">
        <f t="shared" si="2"/>
        <v>0.5</v>
      </c>
      <c r="AO49" s="3">
        <v>0</v>
      </c>
      <c r="AR49" s="19" t="str">
        <f t="shared" si="3"/>
        <v/>
      </c>
      <c r="AS49" s="1"/>
    </row>
    <row r="50" spans="1:45" ht="25.05" customHeight="1">
      <c r="A50" s="3">
        <v>3</v>
      </c>
      <c r="B50" s="2" t="s">
        <v>58</v>
      </c>
      <c r="C50" s="17" t="str">
        <f>IF($A50="","",IF(VLOOKUP($A50,Spiele!$A$2:$D$15,3,FALSE)=$B50,"H","G"))</f>
        <v>G</v>
      </c>
      <c r="D50" s="17" t="str">
        <f>IF($B50="","",IF(VLOOKUP($A50,Spiele!$A$2:$F$15,3,FALSE)=$B50,VLOOKUP($A50,Spiele!$A$2:$F$15,4,FALSE),VLOOKUP($A50,Spiele!$A$2:$F$15,3,FALSE)))</f>
        <v>FCN</v>
      </c>
      <c r="E50" s="18">
        <f>IF(Abschlüsse[[#This Row],[Ergeb]]="ET",0,COUNTIFS($A$2:$A50,$A50,$B$2:$B50,$B50,$L$2:$L50,"&lt;&gt;ET"))</f>
        <v>1</v>
      </c>
      <c r="F50" s="11">
        <v>8</v>
      </c>
      <c r="G50" s="12">
        <v>1</v>
      </c>
      <c r="H50" s="18">
        <f>COUNTIFS('Rote Karten'!$A$2:$A$4,$A50,'Rote Karten'!$D$2:$D$4,"&lt;&gt;"&amp;$B50,'Rote Karten'!$B$2:$B$4,"&lt;"&amp;$F50,'Rote Karten'!$C$2:$C$4,"&lt;="&amp;$G50)-COUNTIFS('Rote Karten'!$A$2:$A$4,$A50,'Rote Karten'!$D$2:$D$4,$B50,'Rote Karten'!$B$2:$B$4,"&lt;"&amp;$F50,'Rote Karten'!$C$2:$C$4,"&lt;="&amp;$G50)</f>
        <v>0</v>
      </c>
      <c r="I50" s="17" t="str">
        <f>IF(OR($L50="Tor",$L50="ET"),_xlfn.IFNA(IF(VLOOKUP($A50,Spiele!$A$2:$C$15,3,FALSE)=$B50,COUNTIFS($L$2:$L50,"Tor",$B$2:$B50,$B50,$A$2:$A50,$A50)+COUNTIFS($L$2:$L50,"ET",$B$2:$B50,$B50,$A$2:$A50,$A50)&amp;":"&amp;COUNTIFS($L$2:$L50,"Tor",$B$2:$B50,"&lt;&gt;"&amp;$B50,$A$2:$A50,$A50)+COUNTIFS($L$2:$L50,"ET",$B$2:$B50,"&lt;&gt;"&amp;$B50,$A$2:$A50,$A50),COUNTIFS($L$2:$L50,"Tor",$B$2:$B50,"&lt;&gt;"&amp;$B50,$A$2:$A50,$A50)+COUNTIFS($L$2:$L50,"ET",$B$2:$B50,"&lt;&gt;"&amp;$B50,$A$2:$A50,$A50)&amp;":"&amp;COUNTIFS($L$2:$L50,"Tor",$B$2:$B50,$B50,$A$2:$A50,$A50)+COUNTIFS($L$2:$L50,"ET",$B$2:$B50,$B50,$A$2:$A50,$A50)),""),"")</f>
        <v/>
      </c>
      <c r="J50" s="18">
        <f>_xlfn.IFNA(IF(VLOOKUP($A50,Spiele!$A$2:$D$15,3,FALSE)=$B50,(COUNTIFS($L$1:$L49,"Tor",$B$1:$B49,$B50,$A$1:$A49,$A50)+COUNTIFS($L$1:$L49,"ET",$B$1:$B49,$B50,$A$1:$A49,$A50))-(COUNTIFS($L$1:$L49,"Tor",$B$1:$B49,"&lt;&gt;"&amp;$B50,$A$1:$A49,$A50)+COUNTIFS($L$1:$L49,"ET",$B$1:$B49,"&lt;&gt;"&amp;$B50,$A$1:$A49,$A50)),(COUNTIFS($L$1:$L49,"Tor",$B$1:$B49,$B50,$A$1:$A49,$A50)+COUNTIFS($L$1:$L49,"ET",$B$1:$B49,$B50,$A$1:$A49,$A50))-(COUNTIFS($L$1:$L49,"Tor",$B$1:$B49,"&lt;&gt;"&amp;$B50,$A$1:$A49,$A50)+COUNTIFS($L$1:$L49,"ET",$B$1:$B49,"&lt;&gt;"&amp;$B50,$A$1:$A49,$A50))),"")</f>
        <v>0</v>
      </c>
      <c r="K50" s="3">
        <v>3</v>
      </c>
      <c r="L50" s="17" t="s">
        <v>19</v>
      </c>
      <c r="M50" s="2" t="s">
        <v>163</v>
      </c>
      <c r="N50" s="2" t="s">
        <v>158</v>
      </c>
      <c r="X50" s="2" t="s">
        <v>142</v>
      </c>
      <c r="Y50" s="17" t="s">
        <v>149</v>
      </c>
      <c r="Z50" s="14" t="s">
        <v>150</v>
      </c>
      <c r="AA50" s="14" t="s">
        <v>145</v>
      </c>
      <c r="AB50" s="18"/>
      <c r="AC50" s="13">
        <v>16.5</v>
      </c>
      <c r="AD50" s="13">
        <v>10</v>
      </c>
      <c r="AE50" s="19">
        <f t="shared" si="0"/>
        <v>16.274692009374554</v>
      </c>
      <c r="AF50" s="19">
        <f t="shared" si="1"/>
        <v>11.529165064411258</v>
      </c>
      <c r="AG50" s="2" t="s">
        <v>146</v>
      </c>
      <c r="AH50" s="13">
        <v>3</v>
      </c>
      <c r="AI50" s="13">
        <v>0.5</v>
      </c>
      <c r="AJ50" s="19">
        <f>IF(Abschlüsse[[#This Row],[Ergeb]]="ET","",SQRT(($AC50-$AH50)^2+($AD50-$AI50)^2))</f>
        <v>16.507574019219177</v>
      </c>
      <c r="AK50" s="3">
        <v>1</v>
      </c>
      <c r="AL50" s="13">
        <v>14</v>
      </c>
      <c r="AM50" s="13">
        <v>10.5</v>
      </c>
      <c r="AN50" s="19">
        <f t="shared" si="2"/>
        <v>2.5495097567963922</v>
      </c>
      <c r="AO50" s="3">
        <v>0</v>
      </c>
      <c r="AR50" s="19" t="str">
        <f t="shared" si="3"/>
        <v/>
      </c>
      <c r="AS50" s="1"/>
    </row>
    <row r="51" spans="1:45" ht="25.05" customHeight="1">
      <c r="A51" s="3">
        <v>3</v>
      </c>
      <c r="B51" s="2" t="s">
        <v>58</v>
      </c>
      <c r="C51" s="17" t="str">
        <f>IF($A51="","",IF(VLOOKUP($A51,Spiele!$A$2:$D$15,3,FALSE)=$B51,"H","G"))</f>
        <v>G</v>
      </c>
      <c r="D51" s="17" t="str">
        <f>IF($B51="","",IF(VLOOKUP($A51,Spiele!$A$2:$F$15,3,FALSE)=$B51,VLOOKUP($A51,Spiele!$A$2:$F$15,4,FALSE),VLOOKUP($A51,Spiele!$A$2:$F$15,3,FALSE)))</f>
        <v>FCN</v>
      </c>
      <c r="E51" s="18">
        <f>IF(Abschlüsse[[#This Row],[Ergeb]]="ET",0,COUNTIFS($A$2:$A51,$A51,$B$2:$B51,$B51,$L$2:$L51,"&lt;&gt;ET"))</f>
        <v>2</v>
      </c>
      <c r="F51" s="11">
        <v>8</v>
      </c>
      <c r="G51" s="12">
        <v>1</v>
      </c>
      <c r="H51" s="18">
        <f>COUNTIFS('Rote Karten'!$A$2:$A$4,$A51,'Rote Karten'!$D$2:$D$4,"&lt;&gt;"&amp;$B51,'Rote Karten'!$B$2:$B$4,"&lt;"&amp;$F51,'Rote Karten'!$C$2:$C$4,"&lt;="&amp;$G51)-COUNTIFS('Rote Karten'!$A$2:$A$4,$A51,'Rote Karten'!$D$2:$D$4,$B51,'Rote Karten'!$B$2:$B$4,"&lt;"&amp;$F51,'Rote Karten'!$C$2:$C$4,"&lt;="&amp;$G51)</f>
        <v>0</v>
      </c>
      <c r="I51" s="17" t="str">
        <f>IF(OR($L51="Tor",$L51="ET"),_xlfn.IFNA(IF(VLOOKUP($A51,Spiele!$A$2:$C$15,3,FALSE)=$B51,COUNTIFS($L$2:$L51,"Tor",$B$2:$B51,$B51,$A$2:$A51,$A51)+COUNTIFS($L$2:$L51,"ET",$B$2:$B51,$B51,$A$2:$A51,$A51)&amp;":"&amp;COUNTIFS($L$2:$L51,"Tor",$B$2:$B51,"&lt;&gt;"&amp;$B51,$A$2:$A51,$A51)+COUNTIFS($L$2:$L51,"ET",$B$2:$B51,"&lt;&gt;"&amp;$B51,$A$2:$A51,$A51),COUNTIFS($L$2:$L51,"Tor",$B$2:$B51,"&lt;&gt;"&amp;$B51,$A$2:$A51,$A51)+COUNTIFS($L$2:$L51,"ET",$B$2:$B51,"&lt;&gt;"&amp;$B51,$A$2:$A51,$A51)&amp;":"&amp;COUNTIFS($L$2:$L51,"Tor",$B$2:$B51,$B51,$A$2:$A51,$A51)+COUNTIFS($L$2:$L51,"ET",$B$2:$B51,$B51,$A$2:$A51,$A51)),""),"")</f>
        <v/>
      </c>
      <c r="J51" s="18">
        <f>_xlfn.IFNA(IF(VLOOKUP($A51,Spiele!$A$2:$D$15,3,FALSE)=$B51,(COUNTIFS($L$1:$L50,"Tor",$B$1:$B50,$B51,$A$1:$A50,$A51)+COUNTIFS($L$1:$L50,"ET",$B$1:$B50,$B51,$A$1:$A50,$A51))-(COUNTIFS($L$1:$L50,"Tor",$B$1:$B50,"&lt;&gt;"&amp;$B51,$A$1:$A50,$A51)+COUNTIFS($L$1:$L50,"ET",$B$1:$B50,"&lt;&gt;"&amp;$B51,$A$1:$A50,$A51)),(COUNTIFS($L$1:$L50,"Tor",$B$1:$B50,$B51,$A$1:$A50,$A51)+COUNTIFS($L$1:$L50,"ET",$B$1:$B50,$B51,$A$1:$A50,$A51))-(COUNTIFS($L$1:$L50,"Tor",$B$1:$B50,"&lt;&gt;"&amp;$B51,$A$1:$A50,$A51)+COUNTIFS($L$1:$L50,"ET",$B$1:$B50,"&lt;&gt;"&amp;$B51,$A$1:$A50,$A51))),"")</f>
        <v>0</v>
      </c>
      <c r="K51" s="3">
        <v>4</v>
      </c>
      <c r="L51" s="17" t="s">
        <v>18</v>
      </c>
      <c r="M51" s="2" t="s">
        <v>163</v>
      </c>
      <c r="N51" s="2" t="s">
        <v>164</v>
      </c>
      <c r="X51" s="2" t="s">
        <v>151</v>
      </c>
      <c r="Y51" s="17" t="s">
        <v>143</v>
      </c>
      <c r="Z51" s="14" t="s">
        <v>150</v>
      </c>
      <c r="AA51" s="14" t="s">
        <v>156</v>
      </c>
      <c r="AB51" s="18"/>
      <c r="AC51" s="13">
        <v>-10</v>
      </c>
      <c r="AD51" s="13">
        <v>19.5</v>
      </c>
      <c r="AE51" s="19">
        <f t="shared" si="0"/>
        <v>20.504770176717418</v>
      </c>
      <c r="AF51" s="19">
        <f t="shared" si="1"/>
        <v>17.000930002754252</v>
      </c>
      <c r="AG51" s="2" t="s">
        <v>146</v>
      </c>
      <c r="AH51" s="13">
        <v>-1.5</v>
      </c>
      <c r="AI51" s="13">
        <v>1.5</v>
      </c>
      <c r="AJ51" s="19">
        <f>IF(Abschlüsse[[#This Row],[Ergeb]]="ET","",SQRT(($AC51-$AH51)^2+($AD51-$AI51)^2))</f>
        <v>19.906029237394382</v>
      </c>
      <c r="AK51" s="3">
        <v>1</v>
      </c>
      <c r="AL51" s="13">
        <v>-10.5</v>
      </c>
      <c r="AM51" s="13">
        <v>18.5</v>
      </c>
      <c r="AN51" s="19">
        <f t="shared" si="2"/>
        <v>1.1180339887498949</v>
      </c>
      <c r="AO51" s="3">
        <v>1</v>
      </c>
      <c r="AP51" s="13">
        <v>-9</v>
      </c>
      <c r="AQ51" s="13">
        <v>16.5</v>
      </c>
      <c r="AR51" s="19">
        <f t="shared" si="3"/>
        <v>3.1622776601683795</v>
      </c>
      <c r="AS51" s="1"/>
    </row>
    <row r="52" spans="1:45" ht="25.05" customHeight="1">
      <c r="A52" s="3">
        <v>3</v>
      </c>
      <c r="B52" s="2" t="s">
        <v>58</v>
      </c>
      <c r="C52" s="17" t="str">
        <f>IF($A52="","",IF(VLOOKUP($A52,Spiele!$A$2:$D$15,3,FALSE)=$B52,"H","G"))</f>
        <v>G</v>
      </c>
      <c r="D52" s="17" t="str">
        <f>IF($B52="","",IF(VLOOKUP($A52,Spiele!$A$2:$F$15,3,FALSE)=$B52,VLOOKUP($A52,Spiele!$A$2:$F$15,4,FALSE),VLOOKUP($A52,Spiele!$A$2:$F$15,3,FALSE)))</f>
        <v>FCN</v>
      </c>
      <c r="E52" s="18">
        <f>IF(Abschlüsse[[#This Row],[Ergeb]]="ET",0,COUNTIFS($A$2:$A52,$A52,$B$2:$B52,$B52,$L$2:$L52,"&lt;&gt;ET"))</f>
        <v>3</v>
      </c>
      <c r="F52" s="11">
        <v>10</v>
      </c>
      <c r="G52" s="12">
        <v>1</v>
      </c>
      <c r="H52" s="18">
        <f>COUNTIFS('Rote Karten'!$A$2:$A$4,$A52,'Rote Karten'!$D$2:$D$4,"&lt;&gt;"&amp;$B52,'Rote Karten'!$B$2:$B$4,"&lt;"&amp;$F52,'Rote Karten'!$C$2:$C$4,"&lt;="&amp;$G52)-COUNTIFS('Rote Karten'!$A$2:$A$4,$A52,'Rote Karten'!$D$2:$D$4,$B52,'Rote Karten'!$B$2:$B$4,"&lt;"&amp;$F52,'Rote Karten'!$C$2:$C$4,"&lt;="&amp;$G52)</f>
        <v>0</v>
      </c>
      <c r="I52" s="17" t="str">
        <f>IF(OR($L52="Tor",$L52="ET"),_xlfn.IFNA(IF(VLOOKUP($A52,Spiele!$A$2:$C$15,3,FALSE)=$B52,COUNTIFS($L$2:$L52,"Tor",$B$2:$B52,$B52,$A$2:$A52,$A52)+COUNTIFS($L$2:$L52,"ET",$B$2:$B52,$B52,$A$2:$A52,$A52)&amp;":"&amp;COUNTIFS($L$2:$L52,"Tor",$B$2:$B52,"&lt;&gt;"&amp;$B52,$A$2:$A52,$A52)+COUNTIFS($L$2:$L52,"ET",$B$2:$B52,"&lt;&gt;"&amp;$B52,$A$2:$A52,$A52),COUNTIFS($L$2:$L52,"Tor",$B$2:$B52,"&lt;&gt;"&amp;$B52,$A$2:$A52,$A52)+COUNTIFS($L$2:$L52,"ET",$B$2:$B52,"&lt;&gt;"&amp;$B52,$A$2:$A52,$A52)&amp;":"&amp;COUNTIFS($L$2:$L52,"Tor",$B$2:$B52,$B52,$A$2:$A52,$A52)+COUNTIFS($L$2:$L52,"ET",$B$2:$B52,$B52,$A$2:$A52,$A52)),""),"")</f>
        <v/>
      </c>
      <c r="J52" s="18">
        <f>_xlfn.IFNA(IF(VLOOKUP($A52,Spiele!$A$2:$D$15,3,FALSE)=$B52,(COUNTIFS($L$1:$L51,"Tor",$B$1:$B51,$B52,$A$1:$A51,$A52)+COUNTIFS($L$1:$L51,"ET",$B$1:$B51,$B52,$A$1:$A51,$A52))-(COUNTIFS($L$1:$L51,"Tor",$B$1:$B51,"&lt;&gt;"&amp;$B52,$A$1:$A51,$A52)+COUNTIFS($L$1:$L51,"ET",$B$1:$B51,"&lt;&gt;"&amp;$B52,$A$1:$A51,$A52)),(COUNTIFS($L$1:$L51,"Tor",$B$1:$B51,$B52,$A$1:$A51,$A52)+COUNTIFS($L$1:$L51,"ET",$B$1:$B51,$B52,$A$1:$A51,$A52))-(COUNTIFS($L$1:$L51,"Tor",$B$1:$B51,"&lt;&gt;"&amp;$B52,$A$1:$A51,$A52)+COUNTIFS($L$1:$L51,"ET",$B$1:$B51,"&lt;&gt;"&amp;$B52,$A$1:$A51,$A52))),"")</f>
        <v>0</v>
      </c>
      <c r="K52" s="3">
        <v>5</v>
      </c>
      <c r="L52" s="18" t="s">
        <v>18</v>
      </c>
      <c r="M52" s="3" t="s">
        <v>163</v>
      </c>
      <c r="N52" s="2" t="s">
        <v>158</v>
      </c>
      <c r="X52" s="22" t="s">
        <v>142</v>
      </c>
      <c r="Y52" s="18" t="s">
        <v>143</v>
      </c>
      <c r="Z52" s="14" t="s">
        <v>150</v>
      </c>
      <c r="AA52" s="14" t="s">
        <v>145</v>
      </c>
      <c r="AB52" s="18"/>
      <c r="AC52" s="13">
        <v>-15.5</v>
      </c>
      <c r="AD52" s="13">
        <v>17.5</v>
      </c>
      <c r="AE52" s="19">
        <f t="shared" si="0"/>
        <v>21.129022693915591</v>
      </c>
      <c r="AF52" s="19">
        <f t="shared" si="1"/>
        <v>13.511478004089192</v>
      </c>
      <c r="AG52" s="3" t="s">
        <v>146</v>
      </c>
      <c r="AH52" s="13">
        <v>-3</v>
      </c>
      <c r="AI52" s="13">
        <v>1</v>
      </c>
      <c r="AJ52" s="19">
        <f>IF(Abschlüsse[[#This Row],[Ergeb]]="ET","",SQRT(($AC52-$AH52)^2+($AD52-$AI52)^2))</f>
        <v>20.700241544484452</v>
      </c>
      <c r="AK52" s="3">
        <v>1</v>
      </c>
      <c r="AL52" s="13">
        <v>-15.5</v>
      </c>
      <c r="AM52" s="13">
        <v>19</v>
      </c>
      <c r="AN52" s="19">
        <f t="shared" si="2"/>
        <v>1.5</v>
      </c>
      <c r="AO52" s="3">
        <v>0</v>
      </c>
      <c r="AR52" s="19" t="str">
        <f t="shared" si="3"/>
        <v/>
      </c>
      <c r="AS52" s="1"/>
    </row>
    <row r="53" spans="1:45" ht="25.05" customHeight="1">
      <c r="A53" s="3">
        <v>3</v>
      </c>
      <c r="B53" s="2" t="s">
        <v>8</v>
      </c>
      <c r="C53" s="17" t="str">
        <f>IF($A53="","",IF(VLOOKUP($A53,Spiele!$A$2:$D$15,3,FALSE)=$B53,"H","G"))</f>
        <v>H</v>
      </c>
      <c r="D53" s="17" t="str">
        <f>IF($B53="","",IF(VLOOKUP($A53,Spiele!$A$2:$F$15,3,FALSE)=$B53,VLOOKUP($A53,Spiele!$A$2:$F$15,4,FALSE),VLOOKUP($A53,Spiele!$A$2:$F$15,3,FALSE)))</f>
        <v>TSV</v>
      </c>
      <c r="E53" s="18">
        <f>IF(Abschlüsse[[#This Row],[Ergeb]]="ET",0,COUNTIFS($A$2:$A53,$A53,$B$2:$B53,$B53,$L$2:$L53,"&lt;&gt;ET"))</f>
        <v>3</v>
      </c>
      <c r="F53" s="11">
        <v>11</v>
      </c>
      <c r="G53" s="12">
        <v>1</v>
      </c>
      <c r="H53" s="18">
        <f>COUNTIFS('Rote Karten'!$A$2:$A$4,$A53,'Rote Karten'!$D$2:$D$4,"&lt;&gt;"&amp;$B53,'Rote Karten'!$B$2:$B$4,"&lt;"&amp;$F53,'Rote Karten'!$C$2:$C$4,"&lt;="&amp;$G53)-COUNTIFS('Rote Karten'!$A$2:$A$4,$A53,'Rote Karten'!$D$2:$D$4,$B53,'Rote Karten'!$B$2:$B$4,"&lt;"&amp;$F53,'Rote Karten'!$C$2:$C$4,"&lt;="&amp;$G53)</f>
        <v>0</v>
      </c>
      <c r="I53" s="17" t="str">
        <f>IF(OR($L53="Tor",$L53="ET"),_xlfn.IFNA(IF(VLOOKUP($A53,Spiele!$A$2:$C$15,3,FALSE)=$B53,COUNTIFS($L$2:$L53,"Tor",$B$2:$B53,$B53,$A$2:$A53,$A53)+COUNTIFS($L$2:$L53,"ET",$B$2:$B53,$B53,$A$2:$A53,$A53)&amp;":"&amp;COUNTIFS($L$2:$L53,"Tor",$B$2:$B53,"&lt;&gt;"&amp;$B53,$A$2:$A53,$A53)+COUNTIFS($L$2:$L53,"ET",$B$2:$B53,"&lt;&gt;"&amp;$B53,$A$2:$A53,$A53),COUNTIFS($L$2:$L53,"Tor",$B$2:$B53,"&lt;&gt;"&amp;$B53,$A$2:$A53,$A53)+COUNTIFS($L$2:$L53,"ET",$B$2:$B53,"&lt;&gt;"&amp;$B53,$A$2:$A53,$A53)&amp;":"&amp;COUNTIFS($L$2:$L53,"Tor",$B$2:$B53,$B53,$A$2:$A53,$A53)+COUNTIFS($L$2:$L53,"ET",$B$2:$B53,$B53,$A$2:$A53,$A53)),""),"")</f>
        <v/>
      </c>
      <c r="J53" s="18">
        <f>_xlfn.IFNA(IF(VLOOKUP($A53,Spiele!$A$2:$D$15,3,FALSE)=$B53,(COUNTIFS($L$1:$L52,"Tor",$B$1:$B52,$B53,$A$1:$A52,$A53)+COUNTIFS($L$1:$L52,"ET",$B$1:$B52,$B53,$A$1:$A52,$A53))-(COUNTIFS($L$1:$L52,"Tor",$B$1:$B52,"&lt;&gt;"&amp;$B53,$A$1:$A52,$A53)+COUNTIFS($L$1:$L52,"ET",$B$1:$B52,"&lt;&gt;"&amp;$B53,$A$1:$A52,$A53)),(COUNTIFS($L$1:$L52,"Tor",$B$1:$B52,$B53,$A$1:$A52,$A53)+COUNTIFS($L$1:$L52,"ET",$B$1:$B52,$B53,$A$1:$A52,$A53))-(COUNTIFS($L$1:$L52,"Tor",$B$1:$B52,"&lt;&gt;"&amp;$B53,$A$1:$A52,$A53)+COUNTIFS($L$1:$L52,"ET",$B$1:$B52,"&lt;&gt;"&amp;$B53,$A$1:$A52,$A53))),"")</f>
        <v>0</v>
      </c>
      <c r="K53" s="3">
        <v>6</v>
      </c>
      <c r="L53" s="17" t="s">
        <v>20</v>
      </c>
      <c r="M53" s="2" t="s">
        <v>147</v>
      </c>
      <c r="N53" s="2" t="s">
        <v>3</v>
      </c>
      <c r="X53" s="2" t="s">
        <v>151</v>
      </c>
      <c r="Y53" s="17" t="s">
        <v>149</v>
      </c>
      <c r="Z53" s="14" t="s">
        <v>150</v>
      </c>
      <c r="AA53" s="14" t="s">
        <v>145</v>
      </c>
      <c r="AB53" s="18">
        <v>9</v>
      </c>
      <c r="AC53" s="13">
        <v>9.5</v>
      </c>
      <c r="AD53" s="13">
        <v>9</v>
      </c>
      <c r="AE53" s="19">
        <f t="shared" si="0"/>
        <v>10.728727790376638</v>
      </c>
      <c r="AF53" s="19">
        <f t="shared" si="1"/>
        <v>22.65305221349832</v>
      </c>
      <c r="AG53" s="2" t="s">
        <v>146</v>
      </c>
      <c r="AH53" s="13">
        <v>3</v>
      </c>
      <c r="AI53" s="13">
        <v>1.5</v>
      </c>
      <c r="AJ53" s="19">
        <f>IF(Abschlüsse[[#This Row],[Ergeb]]="ET","",SQRT(($AC53-$AH53)^2+($AD53-$AI53)^2))</f>
        <v>9.9247166206396038</v>
      </c>
      <c r="AK53" s="3">
        <v>1</v>
      </c>
      <c r="AL53" s="13">
        <v>11.5</v>
      </c>
      <c r="AM53" s="13">
        <v>9</v>
      </c>
      <c r="AN53" s="19">
        <f t="shared" si="2"/>
        <v>2</v>
      </c>
      <c r="AO53" s="3">
        <v>1</v>
      </c>
      <c r="AP53" s="13">
        <v>9</v>
      </c>
      <c r="AQ53" s="13">
        <v>8.5</v>
      </c>
      <c r="AR53" s="19">
        <f t="shared" si="3"/>
        <v>0.70710678118654757</v>
      </c>
      <c r="AS53" s="1"/>
    </row>
    <row r="54" spans="1:45" ht="24.6" customHeight="1">
      <c r="A54" s="3">
        <v>3</v>
      </c>
      <c r="B54" s="2" t="s">
        <v>8</v>
      </c>
      <c r="C54" s="17" t="str">
        <f>IF($A54="","",IF(VLOOKUP($A54,Spiele!$A$2:$D$15,3,FALSE)=$B54,"H","G"))</f>
        <v>H</v>
      </c>
      <c r="D54" s="17" t="str">
        <f>IF($B54="","",IF(VLOOKUP($A54,Spiele!$A$2:$F$15,3,FALSE)=$B54,VLOOKUP($A54,Spiele!$A$2:$F$15,4,FALSE),VLOOKUP($A54,Spiele!$A$2:$F$15,3,FALSE)))</f>
        <v>TSV</v>
      </c>
      <c r="E54" s="18">
        <f>IF(Abschlüsse[[#This Row],[Ergeb]]="ET",0,COUNTIFS($A$2:$A54,$A54,$B$2:$B54,$B54,$L$2:$L54,"&lt;&gt;ET"))</f>
        <v>4</v>
      </c>
      <c r="F54" s="11">
        <v>13</v>
      </c>
      <c r="G54" s="12">
        <v>1</v>
      </c>
      <c r="H54" s="18">
        <f>COUNTIFS('Rote Karten'!$A$2:$A$4,$A54,'Rote Karten'!$D$2:$D$4,"&lt;&gt;"&amp;$B54,'Rote Karten'!$B$2:$B$4,"&lt;"&amp;$F54,'Rote Karten'!$C$2:$C$4,"&lt;="&amp;$G54)-COUNTIFS('Rote Karten'!$A$2:$A$4,$A54,'Rote Karten'!$D$2:$D$4,$B54,'Rote Karten'!$B$2:$B$4,"&lt;"&amp;$F54,'Rote Karten'!$C$2:$C$4,"&lt;="&amp;$G54)</f>
        <v>0</v>
      </c>
      <c r="I54" s="17" t="str">
        <f>IF(OR($L54="Tor",$L54="ET"),_xlfn.IFNA(IF(VLOOKUP($A54,Spiele!$A$2:$C$15,3,FALSE)=$B54,COUNTIFS($L$2:$L54,"Tor",$B$2:$B54,$B54,$A$2:$A54,$A54)+COUNTIFS($L$2:$L54,"ET",$B$2:$B54,$B54,$A$2:$A54,$A54)&amp;":"&amp;COUNTIFS($L$2:$L54,"Tor",$B$2:$B54,"&lt;&gt;"&amp;$B54,$A$2:$A54,$A54)+COUNTIFS($L$2:$L54,"ET",$B$2:$B54,"&lt;&gt;"&amp;$B54,$A$2:$A54,$A54),COUNTIFS($L$2:$L54,"Tor",$B$2:$B54,"&lt;&gt;"&amp;$B54,$A$2:$A54,$A54)+COUNTIFS($L$2:$L54,"ET",$B$2:$B54,"&lt;&gt;"&amp;$B54,$A$2:$A54,$A54)&amp;":"&amp;COUNTIFS($L$2:$L54,"Tor",$B$2:$B54,$B54,$A$2:$A54,$A54)+COUNTIFS($L$2:$L54,"ET",$B$2:$B54,$B54,$A$2:$A54,$A54)),""),"")</f>
        <v>1:0</v>
      </c>
      <c r="J54" s="18">
        <f>_xlfn.IFNA(IF(VLOOKUP($A54,Spiele!$A$2:$D$15,3,FALSE)=$B54,(COUNTIFS($L$1:$L53,"Tor",$B$1:$B53,$B54,$A$1:$A53,$A54)+COUNTIFS($L$1:$L53,"ET",$B$1:$B53,$B54,$A$1:$A53,$A54))-(COUNTIFS($L$1:$L53,"Tor",$B$1:$B53,"&lt;&gt;"&amp;$B54,$A$1:$A53,$A54)+COUNTIFS($L$1:$L53,"ET",$B$1:$B53,"&lt;&gt;"&amp;$B54,$A$1:$A53,$A54)),(COUNTIFS($L$1:$L53,"Tor",$B$1:$B53,$B54,$A$1:$A53,$A54)+COUNTIFS($L$1:$L53,"ET",$B$1:$B53,$B54,$A$1:$A53,$A54))-(COUNTIFS($L$1:$L53,"Tor",$B$1:$B53,"&lt;&gt;"&amp;$B54,$A$1:$A53,$A54)+COUNTIFS($L$1:$L53,"ET",$B$1:$B53,"&lt;&gt;"&amp;$B54,$A$1:$A53,$A54))),"")</f>
        <v>0</v>
      </c>
      <c r="K54" s="3">
        <v>7</v>
      </c>
      <c r="L54" s="17" t="s">
        <v>0</v>
      </c>
      <c r="M54" s="2" t="s">
        <v>177</v>
      </c>
      <c r="X54" s="2" t="s">
        <v>142</v>
      </c>
      <c r="Y54" s="17" t="s">
        <v>143</v>
      </c>
      <c r="Z54" s="14" t="s">
        <v>150</v>
      </c>
      <c r="AA54" s="14" t="s">
        <v>145</v>
      </c>
      <c r="AB54" s="18">
        <v>7</v>
      </c>
      <c r="AC54" s="13">
        <v>0</v>
      </c>
      <c r="AD54" s="13">
        <v>11</v>
      </c>
      <c r="AE54" s="19">
        <f t="shared" si="0"/>
        <v>11</v>
      </c>
      <c r="AF54" s="19">
        <f t="shared" si="1"/>
        <v>36.807381798785883</v>
      </c>
      <c r="AG54" s="2" t="s">
        <v>146</v>
      </c>
      <c r="AH54" s="13">
        <v>0</v>
      </c>
      <c r="AI54" s="13">
        <v>0</v>
      </c>
      <c r="AJ54" s="19">
        <f>IF(Abschlüsse[[#This Row],[Ergeb]]="ET","",SQRT(($AC54-$AH54)^2+($AD54-$AI54)^2))</f>
        <v>11</v>
      </c>
      <c r="AK54" s="3">
        <v>0</v>
      </c>
      <c r="AL54" s="13"/>
      <c r="AM54" s="13"/>
      <c r="AN54" s="19" t="str">
        <f t="shared" si="2"/>
        <v/>
      </c>
      <c r="AO54" s="3">
        <v>0</v>
      </c>
      <c r="AR54" s="19" t="str">
        <f t="shared" si="3"/>
        <v/>
      </c>
      <c r="AS54" s="1"/>
    </row>
    <row r="55" spans="1:45" ht="25.05" customHeight="1">
      <c r="A55" s="3">
        <v>3</v>
      </c>
      <c r="B55" s="2" t="s">
        <v>8</v>
      </c>
      <c r="C55" s="17" t="str">
        <f>IF($A55="","",IF(VLOOKUP($A55,Spiele!$A$2:$D$15,3,FALSE)=$B55,"H","G"))</f>
        <v>H</v>
      </c>
      <c r="D55" s="17" t="str">
        <f>IF($B55="","",IF(VLOOKUP($A55,Spiele!$A$2:$F$15,3,FALSE)=$B55,VLOOKUP($A55,Spiele!$A$2:$F$15,4,FALSE),VLOOKUP($A55,Spiele!$A$2:$F$15,3,FALSE)))</f>
        <v>TSV</v>
      </c>
      <c r="E55" s="18">
        <f>IF(Abschlüsse[[#This Row],[Ergeb]]="ET",0,COUNTIFS($A$2:$A55,$A55,$B$2:$B55,$B55,$L$2:$L55,"&lt;&gt;ET"))</f>
        <v>5</v>
      </c>
      <c r="F55" s="11">
        <v>14</v>
      </c>
      <c r="G55" s="12">
        <v>1</v>
      </c>
      <c r="H55" s="18">
        <f>COUNTIFS('Rote Karten'!$A$2:$A$4,$A55,'Rote Karten'!$D$2:$D$4,"&lt;&gt;"&amp;$B55,'Rote Karten'!$B$2:$B$4,"&lt;"&amp;$F55,'Rote Karten'!$C$2:$C$4,"&lt;="&amp;$G55)-COUNTIFS('Rote Karten'!$A$2:$A$4,$A55,'Rote Karten'!$D$2:$D$4,$B55,'Rote Karten'!$B$2:$B$4,"&lt;"&amp;$F55,'Rote Karten'!$C$2:$C$4,"&lt;="&amp;$G55)</f>
        <v>0</v>
      </c>
      <c r="I55" s="17" t="str">
        <f>IF(OR($L55="Tor",$L55="ET"),_xlfn.IFNA(IF(VLOOKUP($A55,Spiele!$A$2:$C$15,3,FALSE)=$B55,COUNTIFS($L$2:$L55,"Tor",$B$2:$B55,$B55,$A$2:$A55,$A55)+COUNTIFS($L$2:$L55,"ET",$B$2:$B55,$B55,$A$2:$A55,$A55)&amp;":"&amp;COUNTIFS($L$2:$L55,"Tor",$B$2:$B55,"&lt;&gt;"&amp;$B55,$A$2:$A55,$A55)+COUNTIFS($L$2:$L55,"ET",$B$2:$B55,"&lt;&gt;"&amp;$B55,$A$2:$A55,$A55),COUNTIFS($L$2:$L55,"Tor",$B$2:$B55,"&lt;&gt;"&amp;$B55,$A$2:$A55,$A55)+COUNTIFS($L$2:$L55,"ET",$B$2:$B55,"&lt;&gt;"&amp;$B55,$A$2:$A55,$A55)&amp;":"&amp;COUNTIFS($L$2:$L55,"Tor",$B$2:$B55,$B55,$A$2:$A55,$A55)+COUNTIFS($L$2:$L55,"ET",$B$2:$B55,$B55,$A$2:$A55,$A55)),""),"")</f>
        <v/>
      </c>
      <c r="J55" s="18">
        <f>_xlfn.IFNA(IF(VLOOKUP($A55,Spiele!$A$2:$D$15,3,FALSE)=$B55,(COUNTIFS($L$1:$L54,"Tor",$B$1:$B54,$B55,$A$1:$A54,$A55)+COUNTIFS($L$1:$L54,"ET",$B$1:$B54,$B55,$A$1:$A54,$A55))-(COUNTIFS($L$1:$L54,"Tor",$B$1:$B54,"&lt;&gt;"&amp;$B55,$A$1:$A54,$A55)+COUNTIFS($L$1:$L54,"ET",$B$1:$B54,"&lt;&gt;"&amp;$B55,$A$1:$A54,$A55)),(COUNTIFS($L$1:$L54,"Tor",$B$1:$B54,$B55,$A$1:$A54,$A55)+COUNTIFS($L$1:$L54,"ET",$B$1:$B54,$B55,$A$1:$A54,$A55))-(COUNTIFS($L$1:$L54,"Tor",$B$1:$B54,"&lt;&gt;"&amp;$B55,$A$1:$A54,$A55)+COUNTIFS($L$1:$L54,"ET",$B$1:$B54,"&lt;&gt;"&amp;$B55,$A$1:$A54,$A55))),"")</f>
        <v>1</v>
      </c>
      <c r="K55" s="3">
        <v>8</v>
      </c>
      <c r="L55" s="17" t="s">
        <v>18</v>
      </c>
      <c r="M55" s="2" t="s">
        <v>147</v>
      </c>
      <c r="N55" s="2" t="s">
        <v>158</v>
      </c>
      <c r="O55" s="2">
        <v>9</v>
      </c>
      <c r="X55" s="2" t="s">
        <v>151</v>
      </c>
      <c r="Y55" s="17" t="s">
        <v>143</v>
      </c>
      <c r="Z55" s="14" t="s">
        <v>150</v>
      </c>
      <c r="AA55" s="14" t="s">
        <v>156</v>
      </c>
      <c r="AB55" s="18">
        <v>7</v>
      </c>
      <c r="AC55" s="13">
        <v>-3</v>
      </c>
      <c r="AD55" s="13">
        <v>12</v>
      </c>
      <c r="AE55" s="19">
        <f t="shared" si="0"/>
        <v>12</v>
      </c>
      <c r="AF55" s="19">
        <f t="shared" si="1"/>
        <v>32.17837078204991</v>
      </c>
      <c r="AG55" s="2" t="s">
        <v>146</v>
      </c>
      <c r="AH55" s="13">
        <v>-0.5</v>
      </c>
      <c r="AI55" s="13">
        <v>2</v>
      </c>
      <c r="AJ55" s="19">
        <f>IF(Abschlüsse[[#This Row],[Ergeb]]="ET","",SQRT(($AC55-$AH55)^2+($AD55-$AI55)^2))</f>
        <v>10.307764064044152</v>
      </c>
      <c r="AK55" s="3">
        <v>1</v>
      </c>
      <c r="AL55" s="13">
        <v>-5</v>
      </c>
      <c r="AM55" s="13">
        <v>11</v>
      </c>
      <c r="AN55" s="19">
        <f t="shared" si="2"/>
        <v>2.2360679774997898</v>
      </c>
      <c r="AO55" s="3">
        <v>1</v>
      </c>
      <c r="AP55" s="13">
        <v>-3</v>
      </c>
      <c r="AQ55" s="13">
        <v>11.5</v>
      </c>
      <c r="AR55" s="19">
        <f t="shared" si="3"/>
        <v>0.5</v>
      </c>
    </row>
    <row r="56" spans="1:45" ht="25.05" customHeight="1">
      <c r="A56" s="3">
        <v>3</v>
      </c>
      <c r="B56" s="2" t="s">
        <v>58</v>
      </c>
      <c r="C56" s="17" t="str">
        <f>IF($A56="","",IF(VLOOKUP($A56,Spiele!$A$2:$D$15,3,FALSE)=$B56,"H","G"))</f>
        <v>G</v>
      </c>
      <c r="D56" s="17" t="str">
        <f>IF($B56="","",IF(VLOOKUP($A56,Spiele!$A$2:$F$15,3,FALSE)=$B56,VLOOKUP($A56,Spiele!$A$2:$F$15,4,FALSE),VLOOKUP($A56,Spiele!$A$2:$F$15,3,FALSE)))</f>
        <v>FCN</v>
      </c>
      <c r="E56" s="18">
        <f>IF(Abschlüsse[[#This Row],[Ergeb]]="ET",0,COUNTIFS($A$2:$A56,$A56,$B$2:$B56,$B56,$L$2:$L56,"&lt;&gt;ET"))</f>
        <v>4</v>
      </c>
      <c r="F56" s="11">
        <v>16</v>
      </c>
      <c r="G56" s="12">
        <v>1</v>
      </c>
      <c r="H56" s="18">
        <f>COUNTIFS('Rote Karten'!$A$2:$A$4,$A56,'Rote Karten'!$D$2:$D$4,"&lt;&gt;"&amp;$B56,'Rote Karten'!$B$2:$B$4,"&lt;"&amp;$F56,'Rote Karten'!$C$2:$C$4,"&lt;="&amp;$G56)-COUNTIFS('Rote Karten'!$A$2:$A$4,$A56,'Rote Karten'!$D$2:$D$4,$B56,'Rote Karten'!$B$2:$B$4,"&lt;"&amp;$F56,'Rote Karten'!$C$2:$C$4,"&lt;="&amp;$G56)</f>
        <v>0</v>
      </c>
      <c r="I56" s="17" t="str">
        <f>IF(OR($L56="Tor",$L56="ET"),_xlfn.IFNA(IF(VLOOKUP($A56,Spiele!$A$2:$C$15,3,FALSE)=$B56,COUNTIFS($L$2:$L56,"Tor",$B$2:$B56,$B56,$A$2:$A56,$A56)+COUNTIFS($L$2:$L56,"ET",$B$2:$B56,$B56,$A$2:$A56,$A56)&amp;":"&amp;COUNTIFS($L$2:$L56,"Tor",$B$2:$B56,"&lt;&gt;"&amp;$B56,$A$2:$A56,$A56)+COUNTIFS($L$2:$L56,"ET",$B$2:$B56,"&lt;&gt;"&amp;$B56,$A$2:$A56,$A56),COUNTIFS($L$2:$L56,"Tor",$B$2:$B56,"&lt;&gt;"&amp;$B56,$A$2:$A56,$A56)+COUNTIFS($L$2:$L56,"ET",$B$2:$B56,"&lt;&gt;"&amp;$B56,$A$2:$A56,$A56)&amp;":"&amp;COUNTIFS($L$2:$L56,"Tor",$B$2:$B56,$B56,$A$2:$A56,$A56)+COUNTIFS($L$2:$L56,"ET",$B$2:$B56,$B56,$A$2:$A56,$A56)),""),"")</f>
        <v>1:1</v>
      </c>
      <c r="J56" s="18">
        <f>_xlfn.IFNA(IF(VLOOKUP($A56,Spiele!$A$2:$D$15,3,FALSE)=$B56,(COUNTIFS($L$1:$L55,"Tor",$B$1:$B55,$B56,$A$1:$A55,$A56)+COUNTIFS($L$1:$L55,"ET",$B$1:$B55,$B56,$A$1:$A55,$A56))-(COUNTIFS($L$1:$L55,"Tor",$B$1:$B55,"&lt;&gt;"&amp;$B56,$A$1:$A55,$A56)+COUNTIFS($L$1:$L55,"ET",$B$1:$B55,"&lt;&gt;"&amp;$B56,$A$1:$A55,$A56)),(COUNTIFS($L$1:$L55,"Tor",$B$1:$B55,$B56,$A$1:$A55,$A56)+COUNTIFS($L$1:$L55,"ET",$B$1:$B55,$B56,$A$1:$A55,$A56))-(COUNTIFS($L$1:$L55,"Tor",$B$1:$B55,"&lt;&gt;"&amp;$B56,$A$1:$A55,$A56)+COUNTIFS($L$1:$L55,"ET",$B$1:$B55,"&lt;&gt;"&amp;$B56,$A$1:$A55,$A56))),"")</f>
        <v>-1</v>
      </c>
      <c r="K56" s="3">
        <v>9</v>
      </c>
      <c r="L56" s="17" t="s">
        <v>0</v>
      </c>
      <c r="M56" s="2" t="s">
        <v>163</v>
      </c>
      <c r="N56" s="2" t="s">
        <v>158</v>
      </c>
      <c r="X56" s="2" t="s">
        <v>142</v>
      </c>
      <c r="Y56" s="17" t="s">
        <v>143</v>
      </c>
      <c r="Z56" s="14" t="s">
        <v>150</v>
      </c>
      <c r="AA56" s="14" t="s">
        <v>145</v>
      </c>
      <c r="AB56" s="18"/>
      <c r="AC56" s="13">
        <v>5</v>
      </c>
      <c r="AD56" s="13">
        <v>6</v>
      </c>
      <c r="AE56" s="19">
        <f t="shared" si="0"/>
        <v>6.1478126191353617</v>
      </c>
      <c r="AF56" s="19">
        <f t="shared" si="1"/>
        <v>42.694749722725838</v>
      </c>
      <c r="AG56" s="2" t="s">
        <v>146</v>
      </c>
      <c r="AH56" s="13">
        <v>1</v>
      </c>
      <c r="AI56" s="13">
        <v>0.5</v>
      </c>
      <c r="AJ56" s="19">
        <f>IF(Abschlüsse[[#This Row],[Ergeb]]="ET","",SQRT(($AC56-$AH56)^2+($AD56-$AI56)^2))</f>
        <v>6.800735254367722</v>
      </c>
      <c r="AK56" s="3">
        <v>1</v>
      </c>
      <c r="AL56" s="13">
        <v>3</v>
      </c>
      <c r="AM56" s="13">
        <v>6.5</v>
      </c>
      <c r="AN56" s="19">
        <f t="shared" si="2"/>
        <v>2.0615528128088303</v>
      </c>
      <c r="AO56" s="3">
        <v>2</v>
      </c>
      <c r="AP56" s="13">
        <v>4</v>
      </c>
      <c r="AQ56" s="13">
        <v>3</v>
      </c>
      <c r="AR56" s="19">
        <f t="shared" si="3"/>
        <v>3.1622776601683795</v>
      </c>
    </row>
    <row r="57" spans="1:45" ht="25.05" customHeight="1">
      <c r="A57" s="3">
        <v>3</v>
      </c>
      <c r="B57" s="2" t="s">
        <v>58</v>
      </c>
      <c r="C57" s="17" t="str">
        <f>IF($A57="","",IF(VLOOKUP($A57,Spiele!$A$2:$D$15,3,FALSE)=$B57,"H","G"))</f>
        <v>G</v>
      </c>
      <c r="D57" s="17" t="str">
        <f>IF($B57="","",IF(VLOOKUP($A57,Spiele!$A$2:$F$15,3,FALSE)=$B57,VLOOKUP($A57,Spiele!$A$2:$F$15,4,FALSE),VLOOKUP($A57,Spiele!$A$2:$F$15,3,FALSE)))</f>
        <v>FCN</v>
      </c>
      <c r="E57" s="18">
        <f>IF(Abschlüsse[[#This Row],[Ergeb]]="ET",0,COUNTIFS($A$2:$A57,$A57,$B$2:$B57,$B57,$L$2:$L57,"&lt;&gt;ET"))</f>
        <v>5</v>
      </c>
      <c r="F57" s="11">
        <v>19</v>
      </c>
      <c r="G57" s="12">
        <v>1</v>
      </c>
      <c r="H57" s="18">
        <f>COUNTIFS('Rote Karten'!$A$2:$A$4,$A57,'Rote Karten'!$D$2:$D$4,"&lt;&gt;"&amp;$B57,'Rote Karten'!$B$2:$B$4,"&lt;"&amp;$F57,'Rote Karten'!$C$2:$C$4,"&lt;="&amp;$G57)-COUNTIFS('Rote Karten'!$A$2:$A$4,$A57,'Rote Karten'!$D$2:$D$4,$B57,'Rote Karten'!$B$2:$B$4,"&lt;"&amp;$F57,'Rote Karten'!$C$2:$C$4,"&lt;="&amp;$G57)</f>
        <v>0</v>
      </c>
      <c r="I57" s="17" t="str">
        <f>IF(OR($L57="Tor",$L57="ET"),_xlfn.IFNA(IF(VLOOKUP($A57,Spiele!$A$2:$C$15,3,FALSE)=$B57,COUNTIFS($L$2:$L57,"Tor",$B$2:$B57,$B57,$A$2:$A57,$A57)+COUNTIFS($L$2:$L57,"ET",$B$2:$B57,$B57,$A$2:$A57,$A57)&amp;":"&amp;COUNTIFS($L$2:$L57,"Tor",$B$2:$B57,"&lt;&gt;"&amp;$B57,$A$2:$A57,$A57)+COUNTIFS($L$2:$L57,"ET",$B$2:$B57,"&lt;&gt;"&amp;$B57,$A$2:$A57,$A57),COUNTIFS($L$2:$L57,"Tor",$B$2:$B57,"&lt;&gt;"&amp;$B57,$A$2:$A57,$A57)+COUNTIFS($L$2:$L57,"ET",$B$2:$B57,"&lt;&gt;"&amp;$B57,$A$2:$A57,$A57)&amp;":"&amp;COUNTIFS($L$2:$L57,"Tor",$B$2:$B57,$B57,$A$2:$A57,$A57)+COUNTIFS($L$2:$L57,"ET",$B$2:$B57,$B57,$A$2:$A57,$A57)),""),"")</f>
        <v/>
      </c>
      <c r="J57" s="18">
        <f>_xlfn.IFNA(IF(VLOOKUP($A57,Spiele!$A$2:$D$15,3,FALSE)=$B57,(COUNTIFS($L$1:$L56,"Tor",$B$1:$B56,$B57,$A$1:$A56,$A57)+COUNTIFS($L$1:$L56,"ET",$B$1:$B56,$B57,$A$1:$A56,$A57))-(COUNTIFS($L$1:$L56,"Tor",$B$1:$B56,"&lt;&gt;"&amp;$B57,$A$1:$A56,$A57)+COUNTIFS($L$1:$L56,"ET",$B$1:$B56,"&lt;&gt;"&amp;$B57,$A$1:$A56,$A57)),(COUNTIFS($L$1:$L56,"Tor",$B$1:$B56,$B57,$A$1:$A56,$A57)+COUNTIFS($L$1:$L56,"ET",$B$1:$B56,$B57,$A$1:$A56,$A57))-(COUNTIFS($L$1:$L56,"Tor",$B$1:$B56,"&lt;&gt;"&amp;$B57,$A$1:$A56,$A57)+COUNTIFS($L$1:$L56,"ET",$B$1:$B56,"&lt;&gt;"&amp;$B57,$A$1:$A56,$A57))),"")</f>
        <v>0</v>
      </c>
      <c r="K57" s="3">
        <v>10</v>
      </c>
      <c r="L57" s="17" t="s">
        <v>19</v>
      </c>
      <c r="M57" s="2" t="s">
        <v>163</v>
      </c>
      <c r="N57" s="2" t="s">
        <v>148</v>
      </c>
      <c r="X57" s="2" t="s">
        <v>141</v>
      </c>
      <c r="Y57" s="17" t="s">
        <v>143</v>
      </c>
      <c r="Z57" s="14" t="s">
        <v>144</v>
      </c>
      <c r="AA57" s="14" t="s">
        <v>145</v>
      </c>
      <c r="AB57" s="18"/>
      <c r="AC57" s="13">
        <v>-8.5</v>
      </c>
      <c r="AD57" s="13">
        <v>17</v>
      </c>
      <c r="AE57" s="19">
        <f t="shared" si="0"/>
        <v>17.675565054617064</v>
      </c>
      <c r="AF57" s="19">
        <f t="shared" si="1"/>
        <v>19.683952486172121</v>
      </c>
      <c r="AG57" s="2" t="s">
        <v>146</v>
      </c>
      <c r="AH57" s="13">
        <v>-3.5</v>
      </c>
      <c r="AI57" s="13">
        <v>6</v>
      </c>
      <c r="AJ57" s="19">
        <f>IF(Abschlüsse[[#This Row],[Ergeb]]="ET","",SQRT(($AC57-$AH57)^2+($AD57-$AI57)^2))</f>
        <v>12.083045973594572</v>
      </c>
      <c r="AK57" s="3">
        <v>1</v>
      </c>
      <c r="AL57" s="13">
        <v>-6.5</v>
      </c>
      <c r="AM57" s="13">
        <v>18.5</v>
      </c>
      <c r="AN57" s="19">
        <f t="shared" si="2"/>
        <v>2.5</v>
      </c>
      <c r="AO57" s="3">
        <v>0</v>
      </c>
      <c r="AR57" s="19" t="str">
        <f t="shared" si="3"/>
        <v/>
      </c>
    </row>
    <row r="58" spans="1:45" ht="25.05" customHeight="1">
      <c r="A58" s="3">
        <v>3</v>
      </c>
      <c r="B58" s="2" t="s">
        <v>8</v>
      </c>
      <c r="C58" s="17" t="str">
        <f>IF($A58="","",IF(VLOOKUP($A58,Spiele!$A$2:$D$15,3,FALSE)=$B58,"H","G"))</f>
        <v>H</v>
      </c>
      <c r="D58" s="17" t="str">
        <f>IF($B58="","",IF(VLOOKUP($A58,Spiele!$A$2:$F$15,3,FALSE)=$B58,VLOOKUP($A58,Spiele!$A$2:$F$15,4,FALSE),VLOOKUP($A58,Spiele!$A$2:$F$15,3,FALSE)))</f>
        <v>TSV</v>
      </c>
      <c r="E58" s="18">
        <f>IF(Abschlüsse[[#This Row],[Ergeb]]="ET",0,COUNTIFS($A$2:$A58,$A58,$B$2:$B58,$B58,$L$2:$L58,"&lt;&gt;ET"))</f>
        <v>6</v>
      </c>
      <c r="F58" s="11">
        <v>20</v>
      </c>
      <c r="G58" s="12">
        <v>1</v>
      </c>
      <c r="H58" s="18">
        <f>COUNTIFS('Rote Karten'!$A$2:$A$4,$A58,'Rote Karten'!$D$2:$D$4,"&lt;&gt;"&amp;$B58,'Rote Karten'!$B$2:$B$4,"&lt;"&amp;$F58,'Rote Karten'!$C$2:$C$4,"&lt;="&amp;$G58)-COUNTIFS('Rote Karten'!$A$2:$A$4,$A58,'Rote Karten'!$D$2:$D$4,$B58,'Rote Karten'!$B$2:$B$4,"&lt;"&amp;$F58,'Rote Karten'!$C$2:$C$4,"&lt;="&amp;$G58)</f>
        <v>0</v>
      </c>
      <c r="I58" s="17" t="str">
        <f>IF(OR($L58="Tor",$L58="ET"),_xlfn.IFNA(IF(VLOOKUP($A58,Spiele!$A$2:$C$15,3,FALSE)=$B58,COUNTIFS($L$2:$L58,"Tor",$B$2:$B58,$B58,$A$2:$A58,$A58)+COUNTIFS($L$2:$L58,"ET",$B$2:$B58,$B58,$A$2:$A58,$A58)&amp;":"&amp;COUNTIFS($L$2:$L58,"Tor",$B$2:$B58,"&lt;&gt;"&amp;$B58,$A$2:$A58,$A58)+COUNTIFS($L$2:$L58,"ET",$B$2:$B58,"&lt;&gt;"&amp;$B58,$A$2:$A58,$A58),COUNTIFS($L$2:$L58,"Tor",$B$2:$B58,"&lt;&gt;"&amp;$B58,$A$2:$A58,$A58)+COUNTIFS($L$2:$L58,"ET",$B$2:$B58,"&lt;&gt;"&amp;$B58,$A$2:$A58,$A58)&amp;":"&amp;COUNTIFS($L$2:$L58,"Tor",$B$2:$B58,$B58,$A$2:$A58,$A58)+COUNTIFS($L$2:$L58,"ET",$B$2:$B58,$B58,$A$2:$A58,$A58)),""),"")</f>
        <v/>
      </c>
      <c r="J58" s="18">
        <f>_xlfn.IFNA(IF(VLOOKUP($A58,Spiele!$A$2:$D$15,3,FALSE)=$B58,(COUNTIFS($L$1:$L57,"Tor",$B$1:$B57,$B58,$A$1:$A57,$A58)+COUNTIFS($L$1:$L57,"ET",$B$1:$B57,$B58,$A$1:$A57,$A58))-(COUNTIFS($L$1:$L57,"Tor",$B$1:$B57,"&lt;&gt;"&amp;$B58,$A$1:$A57,$A58)+COUNTIFS($L$1:$L57,"ET",$B$1:$B57,"&lt;&gt;"&amp;$B58,$A$1:$A57,$A58)),(COUNTIFS($L$1:$L57,"Tor",$B$1:$B57,$B58,$A$1:$A57,$A58)+COUNTIFS($L$1:$L57,"ET",$B$1:$B57,$B58,$A$1:$A57,$A58))-(COUNTIFS($L$1:$L57,"Tor",$B$1:$B57,"&lt;&gt;"&amp;$B58,$A$1:$A57,$A58)+COUNTIFS($L$1:$L57,"ET",$B$1:$B57,"&lt;&gt;"&amp;$B58,$A$1:$A57,$A58))),"")</f>
        <v>0</v>
      </c>
      <c r="K58" s="3">
        <v>11</v>
      </c>
      <c r="L58" s="17" t="s">
        <v>18</v>
      </c>
      <c r="M58" s="2" t="s">
        <v>163</v>
      </c>
      <c r="N58" s="2" t="s">
        <v>164</v>
      </c>
      <c r="X58" s="2" t="s">
        <v>151</v>
      </c>
      <c r="Y58" s="17" t="s">
        <v>149</v>
      </c>
      <c r="Z58" s="14" t="s">
        <v>150</v>
      </c>
      <c r="AA58" s="14" t="s">
        <v>145</v>
      </c>
      <c r="AB58" s="18">
        <v>27</v>
      </c>
      <c r="AC58" s="13">
        <v>0.5</v>
      </c>
      <c r="AD58" s="13">
        <v>12.5</v>
      </c>
      <c r="AE58" s="19">
        <f t="shared" si="0"/>
        <v>12.5</v>
      </c>
      <c r="AF58" s="19">
        <f t="shared" si="1"/>
        <v>32.594577388569007</v>
      </c>
      <c r="AG58" s="2" t="s">
        <v>146</v>
      </c>
      <c r="AH58" s="13">
        <v>0</v>
      </c>
      <c r="AI58" s="13">
        <v>2.5</v>
      </c>
      <c r="AJ58" s="19">
        <f>IF(Abschlüsse[[#This Row],[Ergeb]]="ET","",SQRT(($AC58-$AH58)^2+($AD58-$AI58)^2))</f>
        <v>10.012492197250394</v>
      </c>
      <c r="AK58" s="3">
        <v>1</v>
      </c>
      <c r="AL58" s="13">
        <v>-2</v>
      </c>
      <c r="AM58" s="13">
        <v>14</v>
      </c>
      <c r="AN58" s="19">
        <f t="shared" si="2"/>
        <v>2.9154759474226504</v>
      </c>
      <c r="AO58" s="3">
        <v>0</v>
      </c>
      <c r="AR58" s="19" t="str">
        <f t="shared" si="3"/>
        <v/>
      </c>
    </row>
    <row r="59" spans="1:45" ht="25.05" customHeight="1">
      <c r="A59" s="3">
        <v>3</v>
      </c>
      <c r="B59" s="2" t="s">
        <v>58</v>
      </c>
      <c r="C59" s="17" t="str">
        <f>IF($A59="","",IF(VLOOKUP($A59,Spiele!$A$2:$D$15,3,FALSE)=$B59,"H","G"))</f>
        <v>G</v>
      </c>
      <c r="D59" s="17" t="str">
        <f>IF($B59="","",IF(VLOOKUP($A59,Spiele!$A$2:$F$15,3,FALSE)=$B59,VLOOKUP($A59,Spiele!$A$2:$F$15,4,FALSE),VLOOKUP($A59,Spiele!$A$2:$F$15,3,FALSE)))</f>
        <v>FCN</v>
      </c>
      <c r="E59" s="18">
        <f>IF(Abschlüsse[[#This Row],[Ergeb]]="ET",0,COUNTIFS($A$2:$A59,$A59,$B$2:$B59,$B59,$L$2:$L59,"&lt;&gt;ET"))</f>
        <v>6</v>
      </c>
      <c r="F59" s="11">
        <v>25</v>
      </c>
      <c r="G59" s="12">
        <v>1</v>
      </c>
      <c r="H59" s="18">
        <f>COUNTIFS('Rote Karten'!$A$2:$A$4,$A59,'Rote Karten'!$D$2:$D$4,"&lt;&gt;"&amp;$B59,'Rote Karten'!$B$2:$B$4,"&lt;"&amp;$F59,'Rote Karten'!$C$2:$C$4,"&lt;="&amp;$G59)-COUNTIFS('Rote Karten'!$A$2:$A$4,$A59,'Rote Karten'!$D$2:$D$4,$B59,'Rote Karten'!$B$2:$B$4,"&lt;"&amp;$F59,'Rote Karten'!$C$2:$C$4,"&lt;="&amp;$G59)</f>
        <v>0</v>
      </c>
      <c r="I59" s="17" t="str">
        <f>IF(OR($L59="Tor",$L59="ET"),_xlfn.IFNA(IF(VLOOKUP($A59,Spiele!$A$2:$C$15,3,FALSE)=$B59,COUNTIFS($L$2:$L59,"Tor",$B$2:$B59,$B59,$A$2:$A59,$A59)+COUNTIFS($L$2:$L59,"ET",$B$2:$B59,$B59,$A$2:$A59,$A59)&amp;":"&amp;COUNTIFS($L$2:$L59,"Tor",$B$2:$B59,"&lt;&gt;"&amp;$B59,$A$2:$A59,$A59)+COUNTIFS($L$2:$L59,"ET",$B$2:$B59,"&lt;&gt;"&amp;$B59,$A$2:$A59,$A59),COUNTIFS($L$2:$L59,"Tor",$B$2:$B59,"&lt;&gt;"&amp;$B59,$A$2:$A59,$A59)+COUNTIFS($L$2:$L59,"ET",$B$2:$B59,"&lt;&gt;"&amp;$B59,$A$2:$A59,$A59)&amp;":"&amp;COUNTIFS($L$2:$L59,"Tor",$B$2:$B59,$B59,$A$2:$A59,$A59)+COUNTIFS($L$2:$L59,"ET",$B$2:$B59,$B59,$A$2:$A59,$A59)),""),"")</f>
        <v/>
      </c>
      <c r="J59" s="18">
        <f>_xlfn.IFNA(IF(VLOOKUP($A59,Spiele!$A$2:$D$15,3,FALSE)=$B59,(COUNTIFS($L$1:$L58,"Tor",$B$1:$B58,$B59,$A$1:$A58,$A59)+COUNTIFS($L$1:$L58,"ET",$B$1:$B58,$B59,$A$1:$A58,$A59))-(COUNTIFS($L$1:$L58,"Tor",$B$1:$B58,"&lt;&gt;"&amp;$B59,$A$1:$A58,$A59)+COUNTIFS($L$1:$L58,"ET",$B$1:$B58,"&lt;&gt;"&amp;$B59,$A$1:$A58,$A59)),(COUNTIFS($L$1:$L58,"Tor",$B$1:$B58,$B59,$A$1:$A58,$A59)+COUNTIFS($L$1:$L58,"ET",$B$1:$B58,$B59,$A$1:$A58,$A59))-(COUNTIFS($L$1:$L58,"Tor",$B$1:$B58,"&lt;&gt;"&amp;$B59,$A$1:$A58,$A59)+COUNTIFS($L$1:$L58,"ET",$B$1:$B58,"&lt;&gt;"&amp;$B59,$A$1:$A58,$A59))),"")</f>
        <v>0</v>
      </c>
      <c r="K59" s="3">
        <v>12</v>
      </c>
      <c r="L59" s="17" t="s">
        <v>19</v>
      </c>
      <c r="M59" s="2" t="s">
        <v>163</v>
      </c>
      <c r="N59" s="2" t="s">
        <v>158</v>
      </c>
      <c r="X59" s="2" t="s">
        <v>151</v>
      </c>
      <c r="Y59" s="17" t="s">
        <v>149</v>
      </c>
      <c r="Z59" s="14" t="s">
        <v>150</v>
      </c>
      <c r="AA59" s="14" t="s">
        <v>145</v>
      </c>
      <c r="AB59" s="18"/>
      <c r="AC59" s="13">
        <v>11.5</v>
      </c>
      <c r="AD59" s="13">
        <v>12.5</v>
      </c>
      <c r="AE59" s="19">
        <f t="shared" si="0"/>
        <v>14.755188917801087</v>
      </c>
      <c r="AF59" s="19">
        <f t="shared" si="1"/>
        <v>18.397177154580994</v>
      </c>
      <c r="AG59" s="2" t="s">
        <v>146</v>
      </c>
      <c r="AH59" s="13">
        <v>2</v>
      </c>
      <c r="AI59" s="13">
        <v>1</v>
      </c>
      <c r="AJ59" s="19">
        <f>IF(Abschlüsse[[#This Row],[Ergeb]]="ET","",SQRT(($AC59-$AH59)^2+($AD59-$AI59)^2))</f>
        <v>14.916433890176299</v>
      </c>
      <c r="AK59" s="3">
        <v>2</v>
      </c>
      <c r="AL59" s="13">
        <v>13</v>
      </c>
      <c r="AM59" s="13">
        <v>10</v>
      </c>
      <c r="AN59" s="19">
        <f t="shared" si="2"/>
        <v>2.9154759474226504</v>
      </c>
      <c r="AO59" s="3">
        <v>1</v>
      </c>
      <c r="AP59" s="13">
        <v>6.5</v>
      </c>
      <c r="AQ59" s="13">
        <v>8</v>
      </c>
      <c r="AR59" s="19">
        <f t="shared" si="3"/>
        <v>6.7268120235368549</v>
      </c>
    </row>
    <row r="60" spans="1:45" ht="25.05" customHeight="1">
      <c r="A60" s="3">
        <v>3</v>
      </c>
      <c r="B60" s="2" t="s">
        <v>58</v>
      </c>
      <c r="C60" s="17" t="str">
        <f>IF($A60="","",IF(VLOOKUP($A60,Spiele!$A$2:$D$15,3,FALSE)=$B60,"H","G"))</f>
        <v>G</v>
      </c>
      <c r="D60" s="17" t="str">
        <f>IF($B60="","",IF(VLOOKUP($A60,Spiele!$A$2:$F$15,3,FALSE)=$B60,VLOOKUP($A60,Spiele!$A$2:$F$15,4,FALSE),VLOOKUP($A60,Spiele!$A$2:$F$15,3,FALSE)))</f>
        <v>FCN</v>
      </c>
      <c r="E60" s="18">
        <f>IF(Abschlüsse[[#This Row],[Ergeb]]="ET",0,COUNTIFS($A$2:$A60,$A60,$B$2:$B60,$B60,$L$2:$L60,"&lt;&gt;ET"))</f>
        <v>7</v>
      </c>
      <c r="F60" s="11">
        <v>26</v>
      </c>
      <c r="G60" s="12">
        <v>1</v>
      </c>
      <c r="H60" s="18">
        <f>COUNTIFS('Rote Karten'!$A$2:$A$4,$A60,'Rote Karten'!$D$2:$D$4,"&lt;&gt;"&amp;$B60,'Rote Karten'!$B$2:$B$4,"&lt;"&amp;$F60,'Rote Karten'!$C$2:$C$4,"&lt;="&amp;$G60)-COUNTIFS('Rote Karten'!$A$2:$A$4,$A60,'Rote Karten'!$D$2:$D$4,$B60,'Rote Karten'!$B$2:$B$4,"&lt;"&amp;$F60,'Rote Karten'!$C$2:$C$4,"&lt;="&amp;$G60)</f>
        <v>0</v>
      </c>
      <c r="I60" s="17" t="str">
        <f>IF(OR($L60="Tor",$L60="ET"),_xlfn.IFNA(IF(VLOOKUP($A60,Spiele!$A$2:$C$15,3,FALSE)=$B60,COUNTIFS($L$2:$L60,"Tor",$B$2:$B60,$B60,$A$2:$A60,$A60)+COUNTIFS($L$2:$L60,"ET",$B$2:$B60,$B60,$A$2:$A60,$A60)&amp;":"&amp;COUNTIFS($L$2:$L60,"Tor",$B$2:$B60,"&lt;&gt;"&amp;$B60,$A$2:$A60,$A60)+COUNTIFS($L$2:$L60,"ET",$B$2:$B60,"&lt;&gt;"&amp;$B60,$A$2:$A60,$A60),COUNTIFS($L$2:$L60,"Tor",$B$2:$B60,"&lt;&gt;"&amp;$B60,$A$2:$A60,$A60)+COUNTIFS($L$2:$L60,"ET",$B$2:$B60,"&lt;&gt;"&amp;$B60,$A$2:$A60,$A60)&amp;":"&amp;COUNTIFS($L$2:$L60,"Tor",$B$2:$B60,$B60,$A$2:$A60,$A60)+COUNTIFS($L$2:$L60,"ET",$B$2:$B60,$B60,$A$2:$A60,$A60)),""),"")</f>
        <v/>
      </c>
      <c r="J60" s="18">
        <f>_xlfn.IFNA(IF(VLOOKUP($A60,Spiele!$A$2:$D$15,3,FALSE)=$B60,(COUNTIFS($L$1:$L59,"Tor",$B$1:$B59,$B60,$A$1:$A59,$A60)+COUNTIFS($L$1:$L59,"ET",$B$1:$B59,$B60,$A$1:$A59,$A60))-(COUNTIFS($L$1:$L59,"Tor",$B$1:$B59,"&lt;&gt;"&amp;$B60,$A$1:$A59,$A60)+COUNTIFS($L$1:$L59,"ET",$B$1:$B59,"&lt;&gt;"&amp;$B60,$A$1:$A59,$A60)),(COUNTIFS($L$1:$L59,"Tor",$B$1:$B59,$B60,$A$1:$A59,$A60)+COUNTIFS($L$1:$L59,"ET",$B$1:$B59,$B60,$A$1:$A59,$A60))-(COUNTIFS($L$1:$L59,"Tor",$B$1:$B59,"&lt;&gt;"&amp;$B60,$A$1:$A59,$A60)+COUNTIFS($L$1:$L59,"ET",$B$1:$B59,"&lt;&gt;"&amp;$B60,$A$1:$A59,$A60))),"")</f>
        <v>0</v>
      </c>
      <c r="K60" s="3">
        <v>13</v>
      </c>
      <c r="L60" s="17" t="s">
        <v>19</v>
      </c>
      <c r="M60" s="2" t="s">
        <v>163</v>
      </c>
      <c r="N60" s="2" t="s">
        <v>178</v>
      </c>
      <c r="X60" s="2" t="s">
        <v>142</v>
      </c>
      <c r="Y60" s="17" t="s">
        <v>149</v>
      </c>
      <c r="Z60" s="14" t="s">
        <v>150</v>
      </c>
      <c r="AA60" s="14" t="s">
        <v>156</v>
      </c>
      <c r="AB60" s="18"/>
      <c r="AC60" s="13">
        <v>3.5</v>
      </c>
      <c r="AD60" s="13">
        <v>4</v>
      </c>
      <c r="AE60" s="19">
        <f t="shared" si="0"/>
        <v>4</v>
      </c>
      <c r="AF60" s="19">
        <f t="shared" si="1"/>
        <v>63.100298524399463</v>
      </c>
      <c r="AG60" s="2" t="s">
        <v>169</v>
      </c>
      <c r="AH60" s="13">
        <v>3.5</v>
      </c>
      <c r="AI60" s="13">
        <v>0.5</v>
      </c>
      <c r="AJ60" s="19">
        <f>IF(Abschlüsse[[#This Row],[Ergeb]]="ET","",SQRT(($AC60-$AH60)^2+($AD60-$AI60)^2))</f>
        <v>3.5</v>
      </c>
      <c r="AK60" s="3">
        <v>0</v>
      </c>
      <c r="AL60" s="13"/>
      <c r="AM60" s="13"/>
      <c r="AN60" s="19" t="str">
        <f t="shared" si="2"/>
        <v/>
      </c>
      <c r="AO60" s="3">
        <v>0</v>
      </c>
      <c r="AR60" s="19" t="str">
        <f t="shared" si="3"/>
        <v/>
      </c>
    </row>
    <row r="61" spans="1:45" ht="25.05" customHeight="1">
      <c r="A61" s="3">
        <v>3</v>
      </c>
      <c r="B61" s="2" t="s">
        <v>8</v>
      </c>
      <c r="C61" s="17" t="str">
        <f>IF($A61="","",IF(VLOOKUP($A61,Spiele!$A$2:$D$15,3,FALSE)=$B61,"H","G"))</f>
        <v>H</v>
      </c>
      <c r="D61" s="17" t="str">
        <f>IF($B61="","",IF(VLOOKUP($A61,Spiele!$A$2:$F$15,3,FALSE)=$B61,VLOOKUP($A61,Spiele!$A$2:$F$15,4,FALSE),VLOOKUP($A61,Spiele!$A$2:$F$15,3,FALSE)))</f>
        <v>TSV</v>
      </c>
      <c r="E61" s="18">
        <f>IF(Abschlüsse[[#This Row],[Ergeb]]="ET",0,COUNTIFS($A$2:$A61,$A61,$B$2:$B61,$B61,$L$2:$L61,"&lt;&gt;ET"))</f>
        <v>7</v>
      </c>
      <c r="F61" s="11">
        <v>29</v>
      </c>
      <c r="G61" s="12">
        <v>1</v>
      </c>
      <c r="H61" s="18">
        <f>COUNTIFS('Rote Karten'!$A$2:$A$4,$A61,'Rote Karten'!$D$2:$D$4,"&lt;&gt;"&amp;$B61,'Rote Karten'!$B$2:$B$4,"&lt;"&amp;$F61,'Rote Karten'!$C$2:$C$4,"&lt;="&amp;$G61)-COUNTIFS('Rote Karten'!$A$2:$A$4,$A61,'Rote Karten'!$D$2:$D$4,$B61,'Rote Karten'!$B$2:$B$4,"&lt;"&amp;$F61,'Rote Karten'!$C$2:$C$4,"&lt;="&amp;$G61)</f>
        <v>0</v>
      </c>
      <c r="I61" s="17" t="str">
        <f>IF(OR($L61="Tor",$L61="ET"),_xlfn.IFNA(IF(VLOOKUP($A61,Spiele!$A$2:$C$15,3,FALSE)=$B61,COUNTIFS($L$2:$L61,"Tor",$B$2:$B61,$B61,$A$2:$A61,$A61)+COUNTIFS($L$2:$L61,"ET",$B$2:$B61,$B61,$A$2:$A61,$A61)&amp;":"&amp;COUNTIFS($L$2:$L61,"Tor",$B$2:$B61,"&lt;&gt;"&amp;$B61,$A$2:$A61,$A61)+COUNTIFS($L$2:$L61,"ET",$B$2:$B61,"&lt;&gt;"&amp;$B61,$A$2:$A61,$A61),COUNTIFS($L$2:$L61,"Tor",$B$2:$B61,"&lt;&gt;"&amp;$B61,$A$2:$A61,$A61)+COUNTIFS($L$2:$L61,"ET",$B$2:$B61,"&lt;&gt;"&amp;$B61,$A$2:$A61,$A61)&amp;":"&amp;COUNTIFS($L$2:$L61,"Tor",$B$2:$B61,$B61,$A$2:$A61,$A61)+COUNTIFS($L$2:$L61,"ET",$B$2:$B61,$B61,$A$2:$A61,$A61)),""),"")</f>
        <v/>
      </c>
      <c r="J61" s="18">
        <f>_xlfn.IFNA(IF(VLOOKUP($A61,Spiele!$A$2:$D$15,3,FALSE)=$B61,(COUNTIFS($L$1:$L60,"Tor",$B$1:$B60,$B61,$A$1:$A60,$A61)+COUNTIFS($L$1:$L60,"ET",$B$1:$B60,$B61,$A$1:$A60,$A61))-(COUNTIFS($L$1:$L60,"Tor",$B$1:$B60,"&lt;&gt;"&amp;$B61,$A$1:$A60,$A61)+COUNTIFS($L$1:$L60,"ET",$B$1:$B60,"&lt;&gt;"&amp;$B61,$A$1:$A60,$A61)),(COUNTIFS($L$1:$L60,"Tor",$B$1:$B60,$B61,$A$1:$A60,$A61)+COUNTIFS($L$1:$L60,"ET",$B$1:$B60,$B61,$A$1:$A60,$A61))-(COUNTIFS($L$1:$L60,"Tor",$B$1:$B60,"&lt;&gt;"&amp;$B61,$A$1:$A60,$A61)+COUNTIFS($L$1:$L60,"ET",$B$1:$B60,"&lt;&gt;"&amp;$B61,$A$1:$A60,$A61))),"")</f>
        <v>0</v>
      </c>
      <c r="K61" s="3">
        <v>14</v>
      </c>
      <c r="L61" s="17" t="s">
        <v>18</v>
      </c>
      <c r="M61" s="2" t="s">
        <v>174</v>
      </c>
      <c r="X61" s="2" t="s">
        <v>142</v>
      </c>
      <c r="Y61" s="17" t="s">
        <v>149</v>
      </c>
      <c r="Z61" s="14" t="s">
        <v>150</v>
      </c>
      <c r="AA61" s="14" t="s">
        <v>145</v>
      </c>
      <c r="AB61" s="18">
        <v>20</v>
      </c>
      <c r="AC61" s="13">
        <v>13.5</v>
      </c>
      <c r="AD61" s="13">
        <v>20</v>
      </c>
      <c r="AE61" s="19">
        <f t="shared" si="0"/>
        <v>22.289585011839051</v>
      </c>
      <c r="AF61" s="19">
        <f t="shared" si="1"/>
        <v>14.432407454590555</v>
      </c>
      <c r="AG61" s="2" t="s">
        <v>146</v>
      </c>
      <c r="AH61" s="13">
        <v>0.5</v>
      </c>
      <c r="AI61" s="13">
        <v>1</v>
      </c>
      <c r="AJ61" s="19">
        <f>IF(Abschlüsse[[#This Row],[Ergeb]]="ET","",SQRT(($AC61-$AH61)^2+($AD61-$AI61)^2))</f>
        <v>23.021728866442675</v>
      </c>
      <c r="AK61" s="3">
        <v>0</v>
      </c>
      <c r="AL61" s="13"/>
      <c r="AM61" s="13"/>
      <c r="AN61" s="19" t="str">
        <f t="shared" si="2"/>
        <v/>
      </c>
      <c r="AO61" s="3">
        <v>4</v>
      </c>
      <c r="AP61" s="13">
        <v>9</v>
      </c>
      <c r="AQ61" s="13">
        <v>12.5</v>
      </c>
      <c r="AR61" s="19">
        <f t="shared" si="3"/>
        <v>8.7464278422679502</v>
      </c>
    </row>
    <row r="62" spans="1:45" ht="25.05" customHeight="1">
      <c r="A62" s="3">
        <v>3</v>
      </c>
      <c r="B62" s="2" t="s">
        <v>8</v>
      </c>
      <c r="C62" s="17" t="str">
        <f>IF($A62="","",IF(VLOOKUP($A62,Spiele!$A$2:$D$15,3,FALSE)=$B62,"H","G"))</f>
        <v>H</v>
      </c>
      <c r="D62" s="17" t="str">
        <f>IF($B62="","",IF(VLOOKUP($A62,Spiele!$A$2:$F$15,3,FALSE)=$B62,VLOOKUP($A62,Spiele!$A$2:$F$15,4,FALSE),VLOOKUP($A62,Spiele!$A$2:$F$15,3,FALSE)))</f>
        <v>TSV</v>
      </c>
      <c r="E62" s="18">
        <f>IF(Abschlüsse[[#This Row],[Ergeb]]="ET",0,COUNTIFS($A$2:$A62,$A62,$B$2:$B62,$B62,$L$2:$L62,"&lt;&gt;ET"))</f>
        <v>8</v>
      </c>
      <c r="F62" s="11">
        <v>31</v>
      </c>
      <c r="G62" s="12">
        <v>1</v>
      </c>
      <c r="H62" s="18">
        <f>COUNTIFS('Rote Karten'!$A$2:$A$4,$A62,'Rote Karten'!$D$2:$D$4,"&lt;&gt;"&amp;$B62,'Rote Karten'!$B$2:$B$4,"&lt;"&amp;$F62,'Rote Karten'!$C$2:$C$4,"&lt;="&amp;$G62)-COUNTIFS('Rote Karten'!$A$2:$A$4,$A62,'Rote Karten'!$D$2:$D$4,$B62,'Rote Karten'!$B$2:$B$4,"&lt;"&amp;$F62,'Rote Karten'!$C$2:$C$4,"&lt;="&amp;$G62)</f>
        <v>0</v>
      </c>
      <c r="I62" s="17" t="str">
        <f>IF(OR($L62="Tor",$L62="ET"),_xlfn.IFNA(IF(VLOOKUP($A62,Spiele!$A$2:$C$15,3,FALSE)=$B62,COUNTIFS($L$2:$L62,"Tor",$B$2:$B62,$B62,$A$2:$A62,$A62)+COUNTIFS($L$2:$L62,"ET",$B$2:$B62,$B62,$A$2:$A62,$A62)&amp;":"&amp;COUNTIFS($L$2:$L62,"Tor",$B$2:$B62,"&lt;&gt;"&amp;$B62,$A$2:$A62,$A62)+COUNTIFS($L$2:$L62,"ET",$B$2:$B62,"&lt;&gt;"&amp;$B62,$A$2:$A62,$A62),COUNTIFS($L$2:$L62,"Tor",$B$2:$B62,"&lt;&gt;"&amp;$B62,$A$2:$A62,$A62)+COUNTIFS($L$2:$L62,"ET",$B$2:$B62,"&lt;&gt;"&amp;$B62,$A$2:$A62,$A62)&amp;":"&amp;COUNTIFS($L$2:$L62,"Tor",$B$2:$B62,$B62,$A$2:$A62,$A62)+COUNTIFS($L$2:$L62,"ET",$B$2:$B62,$B62,$A$2:$A62,$A62)),""),"")</f>
        <v/>
      </c>
      <c r="J62" s="18">
        <f>_xlfn.IFNA(IF(VLOOKUP($A62,Spiele!$A$2:$D$15,3,FALSE)=$B62,(COUNTIFS($L$1:$L61,"Tor",$B$1:$B61,$B62,$A$1:$A61,$A62)+COUNTIFS($L$1:$L61,"ET",$B$1:$B61,$B62,$A$1:$A61,$A62))-(COUNTIFS($L$1:$L61,"Tor",$B$1:$B61,"&lt;&gt;"&amp;$B62,$A$1:$A61,$A62)+COUNTIFS($L$1:$L61,"ET",$B$1:$B61,"&lt;&gt;"&amp;$B62,$A$1:$A61,$A62)),(COUNTIFS($L$1:$L61,"Tor",$B$1:$B61,$B62,$A$1:$A61,$A62)+COUNTIFS($L$1:$L61,"ET",$B$1:$B61,$B62,$A$1:$A61,$A62))-(COUNTIFS($L$1:$L61,"Tor",$B$1:$B61,"&lt;&gt;"&amp;$B62,$A$1:$A61,$A62)+COUNTIFS($L$1:$L61,"ET",$B$1:$B61,"&lt;&gt;"&amp;$B62,$A$1:$A61,$A62))),"")</f>
        <v>0</v>
      </c>
      <c r="K62" s="3">
        <v>15</v>
      </c>
      <c r="L62" s="17" t="s">
        <v>19</v>
      </c>
      <c r="M62" s="2" t="s">
        <v>147</v>
      </c>
      <c r="N62" s="2" t="s">
        <v>152</v>
      </c>
      <c r="O62" s="2">
        <v>27</v>
      </c>
      <c r="P62" s="2">
        <v>7</v>
      </c>
      <c r="Q62" s="2">
        <v>20</v>
      </c>
      <c r="R62" s="2">
        <v>21</v>
      </c>
      <c r="S62" s="2">
        <v>6</v>
      </c>
      <c r="T62" s="2">
        <v>8</v>
      </c>
      <c r="X62" s="2" t="s">
        <v>142</v>
      </c>
      <c r="Y62" s="17" t="s">
        <v>143</v>
      </c>
      <c r="Z62" s="14" t="s">
        <v>150</v>
      </c>
      <c r="AA62" s="14" t="s">
        <v>156</v>
      </c>
      <c r="AB62" s="18">
        <v>7</v>
      </c>
      <c r="AC62" s="13">
        <v>13</v>
      </c>
      <c r="AD62" s="13">
        <v>11.5</v>
      </c>
      <c r="AE62" s="19">
        <f t="shared" si="0"/>
        <v>14.815046405597249</v>
      </c>
      <c r="AF62" s="19">
        <f t="shared" si="1"/>
        <v>16.30100534020518</v>
      </c>
      <c r="AG62" s="2" t="s">
        <v>146</v>
      </c>
      <c r="AH62" s="13">
        <v>3.5</v>
      </c>
      <c r="AI62" s="13">
        <v>2.5</v>
      </c>
      <c r="AJ62" s="19">
        <f>IF(Abschlüsse[[#This Row],[Ergeb]]="ET","",SQRT(($AC62-$AH62)^2+($AD62-$AI62)^2))</f>
        <v>13.0862523283024</v>
      </c>
      <c r="AK62" s="3">
        <v>2</v>
      </c>
      <c r="AL62" s="13">
        <v>9.5</v>
      </c>
      <c r="AM62" s="13">
        <v>11</v>
      </c>
      <c r="AN62" s="19">
        <f t="shared" si="2"/>
        <v>3.5355339059327378</v>
      </c>
      <c r="AO62" s="3">
        <v>0</v>
      </c>
      <c r="AR62" s="19" t="str">
        <f t="shared" si="3"/>
        <v/>
      </c>
    </row>
    <row r="63" spans="1:45" ht="25.05" customHeight="1">
      <c r="A63" s="3">
        <v>3</v>
      </c>
      <c r="B63" s="2" t="s">
        <v>8</v>
      </c>
      <c r="C63" s="17" t="str">
        <f>IF($A63="","",IF(VLOOKUP($A63,Spiele!$A$2:$D$15,3,FALSE)=$B63,"H","G"))</f>
        <v>H</v>
      </c>
      <c r="D63" s="17" t="str">
        <f>IF($B63="","",IF(VLOOKUP($A63,Spiele!$A$2:$F$15,3,FALSE)=$B63,VLOOKUP($A63,Spiele!$A$2:$F$15,4,FALSE),VLOOKUP($A63,Spiele!$A$2:$F$15,3,FALSE)))</f>
        <v>TSV</v>
      </c>
      <c r="E63" s="18">
        <f>IF(Abschlüsse[[#This Row],[Ergeb]]="ET",0,COUNTIFS($A$2:$A63,$A63,$B$2:$B63,$B63,$L$2:$L63,"&lt;&gt;ET"))</f>
        <v>9</v>
      </c>
      <c r="F63" s="11">
        <v>32</v>
      </c>
      <c r="G63" s="12">
        <v>1</v>
      </c>
      <c r="H63" s="18">
        <f>COUNTIFS('Rote Karten'!$A$2:$A$4,$A63,'Rote Karten'!$D$2:$D$4,"&lt;&gt;"&amp;$B63,'Rote Karten'!$B$2:$B$4,"&lt;"&amp;$F63,'Rote Karten'!$C$2:$C$4,"&lt;="&amp;$G63)-COUNTIFS('Rote Karten'!$A$2:$A$4,$A63,'Rote Karten'!$D$2:$D$4,$B63,'Rote Karten'!$B$2:$B$4,"&lt;"&amp;$F63,'Rote Karten'!$C$2:$C$4,"&lt;="&amp;$G63)</f>
        <v>0</v>
      </c>
      <c r="I63" s="17" t="str">
        <f>IF(OR($L63="Tor",$L63="ET"),_xlfn.IFNA(IF(VLOOKUP($A63,Spiele!$A$2:$C$15,3,FALSE)=$B63,COUNTIFS($L$2:$L63,"Tor",$B$2:$B63,$B63,$A$2:$A63,$A63)+COUNTIFS($L$2:$L63,"ET",$B$2:$B63,$B63,$A$2:$A63,$A63)&amp;":"&amp;COUNTIFS($L$2:$L63,"Tor",$B$2:$B63,"&lt;&gt;"&amp;$B63,$A$2:$A63,$A63)+COUNTIFS($L$2:$L63,"ET",$B$2:$B63,"&lt;&gt;"&amp;$B63,$A$2:$A63,$A63),COUNTIFS($L$2:$L63,"Tor",$B$2:$B63,"&lt;&gt;"&amp;$B63,$A$2:$A63,$A63)+COUNTIFS($L$2:$L63,"ET",$B$2:$B63,"&lt;&gt;"&amp;$B63,$A$2:$A63,$A63)&amp;":"&amp;COUNTIFS($L$2:$L63,"Tor",$B$2:$B63,$B63,$A$2:$A63,$A63)+COUNTIFS($L$2:$L63,"ET",$B$2:$B63,$B63,$A$2:$A63,$A63)),""),"")</f>
        <v>2:1</v>
      </c>
      <c r="J63" s="18">
        <f>_xlfn.IFNA(IF(VLOOKUP($A63,Spiele!$A$2:$D$15,3,FALSE)=$B63,(COUNTIFS($L$1:$L62,"Tor",$B$1:$B62,$B63,$A$1:$A62,$A63)+COUNTIFS($L$1:$L62,"ET",$B$1:$B62,$B63,$A$1:$A62,$A63))-(COUNTIFS($L$1:$L62,"Tor",$B$1:$B62,"&lt;&gt;"&amp;$B63,$A$1:$A62,$A63)+COUNTIFS($L$1:$L62,"ET",$B$1:$B62,"&lt;&gt;"&amp;$B63,$A$1:$A62,$A63)),(COUNTIFS($L$1:$L62,"Tor",$B$1:$B62,$B63,$A$1:$A62,$A63)+COUNTIFS($L$1:$L62,"ET",$B$1:$B62,$B63,$A$1:$A62,$A63))-(COUNTIFS($L$1:$L62,"Tor",$B$1:$B62,"&lt;&gt;"&amp;$B63,$A$1:$A62,$A63)+COUNTIFS($L$1:$L62,"ET",$B$1:$B62,"&lt;&gt;"&amp;$B63,$A$1:$A62,$A63))),"")</f>
        <v>0</v>
      </c>
      <c r="K63" s="3">
        <v>16</v>
      </c>
      <c r="L63" s="17" t="s">
        <v>0</v>
      </c>
      <c r="M63" s="2" t="s">
        <v>163</v>
      </c>
      <c r="N63" s="2" t="s">
        <v>164</v>
      </c>
      <c r="O63" s="2">
        <v>8</v>
      </c>
      <c r="P63" s="2">
        <v>7</v>
      </c>
      <c r="Q63" s="2">
        <v>6</v>
      </c>
      <c r="X63" s="2" t="s">
        <v>151</v>
      </c>
      <c r="Y63" s="17" t="s">
        <v>143</v>
      </c>
      <c r="Z63" s="14" t="s">
        <v>150</v>
      </c>
      <c r="AA63" s="14" t="s">
        <v>156</v>
      </c>
      <c r="AB63" s="18">
        <v>27</v>
      </c>
      <c r="AC63" s="13">
        <v>10</v>
      </c>
      <c r="AD63" s="13">
        <v>3</v>
      </c>
      <c r="AE63" s="19">
        <f t="shared" si="0"/>
        <v>7.0139575134156606</v>
      </c>
      <c r="AF63" s="19">
        <f t="shared" si="1"/>
        <v>12.936250064949594</v>
      </c>
      <c r="AG63" s="2" t="s">
        <v>146</v>
      </c>
      <c r="AH63" s="13">
        <v>4</v>
      </c>
      <c r="AI63" s="13">
        <v>1</v>
      </c>
      <c r="AJ63" s="19">
        <f>IF(Abschlüsse[[#This Row],[Ergeb]]="ET","",SQRT(($AC63-$AH63)^2+($AD63-$AI63)^2))</f>
        <v>6.324555320336759</v>
      </c>
      <c r="AK63" s="3">
        <v>0</v>
      </c>
      <c r="AL63" s="13"/>
      <c r="AM63" s="13"/>
      <c r="AN63" s="19" t="str">
        <f t="shared" si="2"/>
        <v/>
      </c>
      <c r="AO63" s="3">
        <v>0</v>
      </c>
      <c r="AR63" s="19" t="str">
        <f t="shared" si="3"/>
        <v/>
      </c>
    </row>
    <row r="64" spans="1:45" ht="25.05" customHeight="1">
      <c r="A64" s="3">
        <v>3</v>
      </c>
      <c r="B64" s="2" t="s">
        <v>8</v>
      </c>
      <c r="C64" s="17" t="str">
        <f>IF($A64="","",IF(VLOOKUP($A64,Spiele!$A$2:$D$15,3,FALSE)=$B64,"H","G"))</f>
        <v>H</v>
      </c>
      <c r="D64" s="17" t="str">
        <f>IF($B64="","",IF(VLOOKUP($A64,Spiele!$A$2:$F$15,3,FALSE)=$B64,VLOOKUP($A64,Spiele!$A$2:$F$15,4,FALSE),VLOOKUP($A64,Spiele!$A$2:$F$15,3,FALSE)))</f>
        <v>TSV</v>
      </c>
      <c r="E64" s="18">
        <f>IF(Abschlüsse[[#This Row],[Ergeb]]="ET",0,COUNTIFS($A$2:$A64,$A64,$B$2:$B64,$B64,$L$2:$L64,"&lt;&gt;ET"))</f>
        <v>10</v>
      </c>
      <c r="F64" s="11">
        <v>34</v>
      </c>
      <c r="G64" s="12">
        <v>1</v>
      </c>
      <c r="H64" s="18">
        <f>COUNTIFS('Rote Karten'!$A$2:$A$4,$A64,'Rote Karten'!$D$2:$D$4,"&lt;&gt;"&amp;$B64,'Rote Karten'!$B$2:$B$4,"&lt;"&amp;$F64,'Rote Karten'!$C$2:$C$4,"&lt;="&amp;$G64)-COUNTIFS('Rote Karten'!$A$2:$A$4,$A64,'Rote Karten'!$D$2:$D$4,$B64,'Rote Karten'!$B$2:$B$4,"&lt;"&amp;$F64,'Rote Karten'!$C$2:$C$4,"&lt;="&amp;$G64)</f>
        <v>0</v>
      </c>
      <c r="I64" s="17" t="str">
        <f>IF(OR($L64="Tor",$L64="ET"),_xlfn.IFNA(IF(VLOOKUP($A64,Spiele!$A$2:$C$15,3,FALSE)=$B64,COUNTIFS($L$2:$L64,"Tor",$B$2:$B64,$B64,$A$2:$A64,$A64)+COUNTIFS($L$2:$L64,"ET",$B$2:$B64,$B64,$A$2:$A64,$A64)&amp;":"&amp;COUNTIFS($L$2:$L64,"Tor",$B$2:$B64,"&lt;&gt;"&amp;$B64,$A$2:$A64,$A64)+COUNTIFS($L$2:$L64,"ET",$B$2:$B64,"&lt;&gt;"&amp;$B64,$A$2:$A64,$A64),COUNTIFS($L$2:$L64,"Tor",$B$2:$B64,"&lt;&gt;"&amp;$B64,$A$2:$A64,$A64)+COUNTIFS($L$2:$L64,"ET",$B$2:$B64,"&lt;&gt;"&amp;$B64,$A$2:$A64,$A64)&amp;":"&amp;COUNTIFS($L$2:$L64,"Tor",$B$2:$B64,$B64,$A$2:$A64,$A64)+COUNTIFS($L$2:$L64,"ET",$B$2:$B64,$B64,$A$2:$A64,$A64)),""),"")</f>
        <v/>
      </c>
      <c r="J64" s="18">
        <f>_xlfn.IFNA(IF(VLOOKUP($A64,Spiele!$A$2:$D$15,3,FALSE)=$B64,(COUNTIFS($L$1:$L63,"Tor",$B$1:$B63,$B64,$A$1:$A63,$A64)+COUNTIFS($L$1:$L63,"ET",$B$1:$B63,$B64,$A$1:$A63,$A64))-(COUNTIFS($L$1:$L63,"Tor",$B$1:$B63,"&lt;&gt;"&amp;$B64,$A$1:$A63,$A64)+COUNTIFS($L$1:$L63,"ET",$B$1:$B63,"&lt;&gt;"&amp;$B64,$A$1:$A63,$A64)),(COUNTIFS($L$1:$L63,"Tor",$B$1:$B63,$B64,$A$1:$A63,$A64)+COUNTIFS($L$1:$L63,"ET",$B$1:$B63,$B64,$A$1:$A63,$A64))-(COUNTIFS($L$1:$L63,"Tor",$B$1:$B63,"&lt;&gt;"&amp;$B64,$A$1:$A63,$A64)+COUNTIFS($L$1:$L63,"ET",$B$1:$B63,"&lt;&gt;"&amp;$B64,$A$1:$A63,$A64))),"")</f>
        <v>1</v>
      </c>
      <c r="K64" s="3">
        <v>17</v>
      </c>
      <c r="L64" s="17" t="s">
        <v>18</v>
      </c>
      <c r="M64" s="2" t="s">
        <v>147</v>
      </c>
      <c r="N64" s="2" t="s">
        <v>3</v>
      </c>
      <c r="X64" s="2" t="s">
        <v>151</v>
      </c>
      <c r="Y64" s="17" t="s">
        <v>149</v>
      </c>
      <c r="Z64" s="14" t="s">
        <v>150</v>
      </c>
      <c r="AA64" s="14" t="s">
        <v>156</v>
      </c>
      <c r="AB64" s="18">
        <v>9</v>
      </c>
      <c r="AC64" s="13">
        <v>-7.5</v>
      </c>
      <c r="AD64" s="13">
        <v>6</v>
      </c>
      <c r="AE64" s="19">
        <f t="shared" si="0"/>
        <v>7.1235945982347983</v>
      </c>
      <c r="AF64" s="19">
        <f t="shared" si="1"/>
        <v>29.11675278028325</v>
      </c>
      <c r="AG64" s="2" t="s">
        <v>146</v>
      </c>
      <c r="AH64" s="13">
        <v>-5.5</v>
      </c>
      <c r="AI64" s="13">
        <v>5</v>
      </c>
      <c r="AJ64" s="19">
        <f>IF(Abschlüsse[[#This Row],[Ergeb]]="ET","",SQRT(($AC64-$AH64)^2+($AD64-$AI64)^2))</f>
        <v>2.2360679774997898</v>
      </c>
      <c r="AK64" s="3">
        <v>1</v>
      </c>
      <c r="AL64" s="13">
        <v>-6.5</v>
      </c>
      <c r="AM64" s="13">
        <v>7</v>
      </c>
      <c r="AN64" s="19">
        <f t="shared" si="2"/>
        <v>1.4142135623730951</v>
      </c>
      <c r="AO64" s="3">
        <v>0</v>
      </c>
      <c r="AR64" s="19" t="str">
        <f t="shared" si="3"/>
        <v/>
      </c>
    </row>
    <row r="65" spans="1:44" ht="25.05" customHeight="1">
      <c r="A65" s="3">
        <v>3</v>
      </c>
      <c r="B65" s="2" t="s">
        <v>58</v>
      </c>
      <c r="C65" s="17" t="str">
        <f>IF($A65="","",IF(VLOOKUP($A65,Spiele!$A$2:$D$15,3,FALSE)=$B65,"H","G"))</f>
        <v>G</v>
      </c>
      <c r="D65" s="17" t="str">
        <f>IF($B65="","",IF(VLOOKUP($A65,Spiele!$A$2:$F$15,3,FALSE)=$B65,VLOOKUP($A65,Spiele!$A$2:$F$15,4,FALSE),VLOOKUP($A65,Spiele!$A$2:$F$15,3,FALSE)))</f>
        <v>FCN</v>
      </c>
      <c r="E65" s="18">
        <f>IF(Abschlüsse[[#This Row],[Ergeb]]="ET",0,COUNTIFS($A$2:$A65,$A65,$B$2:$B65,$B65,$L$2:$L65,"&lt;&gt;ET"))</f>
        <v>8</v>
      </c>
      <c r="F65" s="11">
        <v>36</v>
      </c>
      <c r="G65" s="12">
        <v>1</v>
      </c>
      <c r="H65" s="18">
        <f>COUNTIFS('Rote Karten'!$A$2:$A$4,$A65,'Rote Karten'!$D$2:$D$4,"&lt;&gt;"&amp;$B65,'Rote Karten'!$B$2:$B$4,"&lt;"&amp;$F65,'Rote Karten'!$C$2:$C$4,"&lt;="&amp;$G65)-COUNTIFS('Rote Karten'!$A$2:$A$4,$A65,'Rote Karten'!$D$2:$D$4,$B65,'Rote Karten'!$B$2:$B$4,"&lt;"&amp;$F65,'Rote Karten'!$C$2:$C$4,"&lt;="&amp;$G65)</f>
        <v>0</v>
      </c>
      <c r="I65" s="17" t="str">
        <f>IF(OR($L65="Tor",$L65="ET"),_xlfn.IFNA(IF(VLOOKUP($A65,Spiele!$A$2:$C$15,3,FALSE)=$B65,COUNTIFS($L$2:$L65,"Tor",$B$2:$B65,$B65,$A$2:$A65,$A65)+COUNTIFS($L$2:$L65,"ET",$B$2:$B65,$B65,$A$2:$A65,$A65)&amp;":"&amp;COUNTIFS($L$2:$L65,"Tor",$B$2:$B65,"&lt;&gt;"&amp;$B65,$A$2:$A65,$A65)+COUNTIFS($L$2:$L65,"ET",$B$2:$B65,"&lt;&gt;"&amp;$B65,$A$2:$A65,$A65),COUNTIFS($L$2:$L65,"Tor",$B$2:$B65,"&lt;&gt;"&amp;$B65,$A$2:$A65,$A65)+COUNTIFS($L$2:$L65,"ET",$B$2:$B65,"&lt;&gt;"&amp;$B65,$A$2:$A65,$A65)&amp;":"&amp;COUNTIFS($L$2:$L65,"Tor",$B$2:$B65,$B65,$A$2:$A65,$A65)+COUNTIFS($L$2:$L65,"ET",$B$2:$B65,$B65,$A$2:$A65,$A65)),""),"")</f>
        <v/>
      </c>
      <c r="J65" s="18">
        <f>_xlfn.IFNA(IF(VLOOKUP($A65,Spiele!$A$2:$D$15,3,FALSE)=$B65,(COUNTIFS($L$1:$L64,"Tor",$B$1:$B64,$B65,$A$1:$A64,$A65)+COUNTIFS($L$1:$L64,"ET",$B$1:$B64,$B65,$A$1:$A64,$A65))-(COUNTIFS($L$1:$L64,"Tor",$B$1:$B64,"&lt;&gt;"&amp;$B65,$A$1:$A64,$A65)+COUNTIFS($L$1:$L64,"ET",$B$1:$B64,"&lt;&gt;"&amp;$B65,$A$1:$A64,$A65)),(COUNTIFS($L$1:$L64,"Tor",$B$1:$B64,$B65,$A$1:$A64,$A65)+COUNTIFS($L$1:$L64,"ET",$B$1:$B64,$B65,$A$1:$A64,$A65))-(COUNTIFS($L$1:$L64,"Tor",$B$1:$B64,"&lt;&gt;"&amp;$B65,$A$1:$A64,$A65)+COUNTIFS($L$1:$L64,"ET",$B$1:$B64,"&lt;&gt;"&amp;$B65,$A$1:$A64,$A65))),"")</f>
        <v>-1</v>
      </c>
      <c r="K65" s="3">
        <v>18</v>
      </c>
      <c r="L65" s="17" t="s">
        <v>18</v>
      </c>
      <c r="M65" s="2" t="s">
        <v>163</v>
      </c>
      <c r="N65" s="2" t="s">
        <v>178</v>
      </c>
      <c r="X65" s="2" t="s">
        <v>142</v>
      </c>
      <c r="Y65" s="17" t="s">
        <v>143</v>
      </c>
      <c r="Z65" s="14" t="s">
        <v>150</v>
      </c>
      <c r="AA65" s="14" t="s">
        <v>156</v>
      </c>
      <c r="AB65" s="18"/>
      <c r="AC65" s="13">
        <v>5.5</v>
      </c>
      <c r="AD65" s="13">
        <v>3</v>
      </c>
      <c r="AE65" s="19">
        <f t="shared" si="0"/>
        <v>3.5193181157718607</v>
      </c>
      <c r="AF65" s="19">
        <f t="shared" si="1"/>
        <v>40.343636414562809</v>
      </c>
      <c r="AG65" s="2" t="s">
        <v>146</v>
      </c>
      <c r="AH65" s="13">
        <v>4.5</v>
      </c>
      <c r="AI65" s="13">
        <v>2</v>
      </c>
      <c r="AJ65" s="19">
        <f>IF(Abschlüsse[[#This Row],[Ergeb]]="ET","",SQRT(($AC65-$AH65)^2+($AD65-$AI65)^2))</f>
        <v>1.4142135623730951</v>
      </c>
      <c r="AK65" s="3">
        <v>1</v>
      </c>
      <c r="AL65" s="13">
        <v>4</v>
      </c>
      <c r="AM65" s="13">
        <v>5.5</v>
      </c>
      <c r="AN65" s="19">
        <f t="shared" si="2"/>
        <v>2.9154759474226504</v>
      </c>
      <c r="AO65" s="3">
        <v>0</v>
      </c>
      <c r="AR65" s="19" t="str">
        <f t="shared" si="3"/>
        <v/>
      </c>
    </row>
    <row r="66" spans="1:44" ht="25.05" customHeight="1">
      <c r="A66" s="3">
        <v>3</v>
      </c>
      <c r="B66" s="2" t="s">
        <v>58</v>
      </c>
      <c r="C66" s="17" t="str">
        <f>IF($A66="","",IF(VLOOKUP($A66,Spiele!$A$2:$D$15,3,FALSE)=$B66,"H","G"))</f>
        <v>G</v>
      </c>
      <c r="D66" s="17" t="str">
        <f>IF($B66="","",IF(VLOOKUP($A66,Spiele!$A$2:$F$15,3,FALSE)=$B66,VLOOKUP($A66,Spiele!$A$2:$F$15,4,FALSE),VLOOKUP($A66,Spiele!$A$2:$F$15,3,FALSE)))</f>
        <v>FCN</v>
      </c>
      <c r="E66" s="18">
        <f>IF(Abschlüsse[[#This Row],[Ergeb]]="ET",0,COUNTIFS($A$2:$A66,$A66,$B$2:$B66,$B66,$L$2:$L66,"&lt;&gt;ET"))</f>
        <v>9</v>
      </c>
      <c r="F66" s="11">
        <v>40</v>
      </c>
      <c r="G66" s="12">
        <v>1</v>
      </c>
      <c r="H66" s="18">
        <f>COUNTIFS('Rote Karten'!$A$2:$A$4,$A66,'Rote Karten'!$D$2:$D$4,"&lt;&gt;"&amp;$B66,'Rote Karten'!$B$2:$B$4,"&lt;"&amp;$F66,'Rote Karten'!$C$2:$C$4,"&lt;="&amp;$G66)-COUNTIFS('Rote Karten'!$A$2:$A$4,$A66,'Rote Karten'!$D$2:$D$4,$B66,'Rote Karten'!$B$2:$B$4,"&lt;"&amp;$F66,'Rote Karten'!$C$2:$C$4,"&lt;="&amp;$G66)</f>
        <v>0</v>
      </c>
      <c r="I66" s="17" t="str">
        <f>IF(OR($L66="Tor",$L66="ET"),_xlfn.IFNA(IF(VLOOKUP($A66,Spiele!$A$2:$C$15,3,FALSE)=$B66,COUNTIFS($L$2:$L66,"Tor",$B$2:$B66,$B66,$A$2:$A66,$A66)+COUNTIFS($L$2:$L66,"ET",$B$2:$B66,$B66,$A$2:$A66,$A66)&amp;":"&amp;COUNTIFS($L$2:$L66,"Tor",$B$2:$B66,"&lt;&gt;"&amp;$B66,$A$2:$A66,$A66)+COUNTIFS($L$2:$L66,"ET",$B$2:$B66,"&lt;&gt;"&amp;$B66,$A$2:$A66,$A66),COUNTIFS($L$2:$L66,"Tor",$B$2:$B66,"&lt;&gt;"&amp;$B66,$A$2:$A66,$A66)+COUNTIFS($L$2:$L66,"ET",$B$2:$B66,"&lt;&gt;"&amp;$B66,$A$2:$A66,$A66)&amp;":"&amp;COUNTIFS($L$2:$L66,"Tor",$B$2:$B66,$B66,$A$2:$A66,$A66)+COUNTIFS($L$2:$L66,"ET",$B$2:$B66,$B66,$A$2:$A66,$A66)),""),"")</f>
        <v/>
      </c>
      <c r="J66" s="18">
        <f>_xlfn.IFNA(IF(VLOOKUP($A66,Spiele!$A$2:$D$15,3,FALSE)=$B66,(COUNTIFS($L$1:$L65,"Tor",$B$1:$B65,$B66,$A$1:$A65,$A66)+COUNTIFS($L$1:$L65,"ET",$B$1:$B65,$B66,$A$1:$A65,$A66))-(COUNTIFS($L$1:$L65,"Tor",$B$1:$B65,"&lt;&gt;"&amp;$B66,$A$1:$A65,$A66)+COUNTIFS($L$1:$L65,"ET",$B$1:$B65,"&lt;&gt;"&amp;$B66,$A$1:$A65,$A66)),(COUNTIFS($L$1:$L65,"Tor",$B$1:$B65,$B66,$A$1:$A65,$A66)+COUNTIFS($L$1:$L65,"ET",$B$1:$B65,$B66,$A$1:$A65,$A66))-(COUNTIFS($L$1:$L65,"Tor",$B$1:$B65,"&lt;&gt;"&amp;$B66,$A$1:$A65,$A66)+COUNTIFS($L$1:$L65,"ET",$B$1:$B65,"&lt;&gt;"&amp;$B66,$A$1:$A65,$A66))),"")</f>
        <v>-1</v>
      </c>
      <c r="K66" s="3">
        <v>19</v>
      </c>
      <c r="L66" s="17" t="s">
        <v>19</v>
      </c>
      <c r="M66" s="2" t="s">
        <v>147</v>
      </c>
      <c r="N66" s="2" t="s">
        <v>153</v>
      </c>
      <c r="X66" s="2" t="s">
        <v>154</v>
      </c>
      <c r="Y66" s="17" t="s">
        <v>160</v>
      </c>
      <c r="Z66" s="14" t="s">
        <v>161</v>
      </c>
      <c r="AA66" s="14" t="s">
        <v>156</v>
      </c>
      <c r="AB66" s="18"/>
      <c r="AC66" s="13">
        <v>-4.5</v>
      </c>
      <c r="AD66" s="13">
        <v>8</v>
      </c>
      <c r="AE66" s="19">
        <f t="shared" si="0"/>
        <v>8.0439791148411128</v>
      </c>
      <c r="AF66" s="19">
        <f t="shared" si="1"/>
        <v>39.573173460749466</v>
      </c>
      <c r="AG66" s="2" t="s">
        <v>146</v>
      </c>
      <c r="AH66" s="13">
        <v>-1</v>
      </c>
      <c r="AI66" s="13">
        <v>2</v>
      </c>
      <c r="AJ66" s="19">
        <f>IF(Abschlüsse[[#This Row],[Ergeb]]="ET","",SQRT(($AC66-$AH66)^2+($AD66-$AI66)^2))</f>
        <v>6.946221994724902</v>
      </c>
      <c r="AK66" s="3">
        <v>1</v>
      </c>
      <c r="AL66" s="13">
        <v>-5.5</v>
      </c>
      <c r="AM66" s="13">
        <v>7.5</v>
      </c>
      <c r="AN66" s="19">
        <f t="shared" si="2"/>
        <v>1.1180339887498949</v>
      </c>
      <c r="AO66" s="3">
        <v>0</v>
      </c>
      <c r="AR66" s="19" t="str">
        <f t="shared" si="3"/>
        <v/>
      </c>
    </row>
    <row r="67" spans="1:44" ht="25.05" customHeight="1">
      <c r="A67" s="3">
        <v>3</v>
      </c>
      <c r="B67" s="2" t="s">
        <v>58</v>
      </c>
      <c r="C67" s="17" t="str">
        <f>IF($A67="","",IF(VLOOKUP($A67,Spiele!$A$2:$D$15,3,FALSE)=$B67,"H","G"))</f>
        <v>G</v>
      </c>
      <c r="D67" s="17" t="str">
        <f>IF($B67="","",IF(VLOOKUP($A67,Spiele!$A$2:$F$15,3,FALSE)=$B67,VLOOKUP($A67,Spiele!$A$2:$F$15,4,FALSE),VLOOKUP($A67,Spiele!$A$2:$F$15,3,FALSE)))</f>
        <v>FCN</v>
      </c>
      <c r="E67" s="18">
        <f>IF(Abschlüsse[[#This Row],[Ergeb]]="ET",0,COUNTIFS($A$2:$A67,$A67,$B$2:$B67,$B67,$L$2:$L67,"&lt;&gt;ET"))</f>
        <v>10</v>
      </c>
      <c r="F67" s="11">
        <v>44</v>
      </c>
      <c r="G67" s="12">
        <v>2</v>
      </c>
      <c r="H67" s="18">
        <f>COUNTIFS('Rote Karten'!$A$2:$A$4,$A67,'Rote Karten'!$D$2:$D$4,"&lt;&gt;"&amp;$B67,'Rote Karten'!$B$2:$B$4,"&lt;"&amp;$F67,'Rote Karten'!$C$2:$C$4,"&lt;="&amp;$G67)-COUNTIFS('Rote Karten'!$A$2:$A$4,$A67,'Rote Karten'!$D$2:$D$4,$B67,'Rote Karten'!$B$2:$B$4,"&lt;"&amp;$F67,'Rote Karten'!$C$2:$C$4,"&lt;="&amp;$G67)</f>
        <v>0</v>
      </c>
      <c r="I67" s="17" t="str">
        <f>IF(OR($L67="Tor",$L67="ET"),_xlfn.IFNA(IF(VLOOKUP($A67,Spiele!$A$2:$C$15,3,FALSE)=$B67,COUNTIFS($L$2:$L67,"Tor",$B$2:$B67,$B67,$A$2:$A67,$A67)+COUNTIFS($L$2:$L67,"ET",$B$2:$B67,$B67,$A$2:$A67,$A67)&amp;":"&amp;COUNTIFS($L$2:$L67,"Tor",$B$2:$B67,"&lt;&gt;"&amp;$B67,$A$2:$A67,$A67)+COUNTIFS($L$2:$L67,"ET",$B$2:$B67,"&lt;&gt;"&amp;$B67,$A$2:$A67,$A67),COUNTIFS($L$2:$L67,"Tor",$B$2:$B67,"&lt;&gt;"&amp;$B67,$A$2:$A67,$A67)+COUNTIFS($L$2:$L67,"ET",$B$2:$B67,"&lt;&gt;"&amp;$B67,$A$2:$A67,$A67)&amp;":"&amp;COUNTIFS($L$2:$L67,"Tor",$B$2:$B67,$B67,$A$2:$A67,$A67)+COUNTIFS($L$2:$L67,"ET",$B$2:$B67,$B67,$A$2:$A67,$A67)),""),"")</f>
        <v/>
      </c>
      <c r="J67" s="18">
        <f>_xlfn.IFNA(IF(VLOOKUP($A67,Spiele!$A$2:$D$15,3,FALSE)=$B67,(COUNTIFS($L$1:$L66,"Tor",$B$1:$B66,$B67,$A$1:$A66,$A67)+COUNTIFS($L$1:$L66,"ET",$B$1:$B66,$B67,$A$1:$A66,$A67))-(COUNTIFS($L$1:$L66,"Tor",$B$1:$B66,"&lt;&gt;"&amp;$B67,$A$1:$A66,$A67)+COUNTIFS($L$1:$L66,"ET",$B$1:$B66,"&lt;&gt;"&amp;$B67,$A$1:$A66,$A67)),(COUNTIFS($L$1:$L66,"Tor",$B$1:$B66,$B67,$A$1:$A66,$A67)+COUNTIFS($L$1:$L66,"ET",$B$1:$B66,$B67,$A$1:$A66,$A67))-(COUNTIFS($L$1:$L66,"Tor",$B$1:$B66,"&lt;&gt;"&amp;$B67,$A$1:$A66,$A67)+COUNTIFS($L$1:$L66,"ET",$B$1:$B66,"&lt;&gt;"&amp;$B67,$A$1:$A66,$A67))),"")</f>
        <v>-1</v>
      </c>
      <c r="K67" s="3">
        <v>20</v>
      </c>
      <c r="L67" s="17" t="s">
        <v>19</v>
      </c>
      <c r="M67" s="2" t="s">
        <v>163</v>
      </c>
      <c r="N67" s="2" t="s">
        <v>153</v>
      </c>
      <c r="X67" s="2" t="s">
        <v>154</v>
      </c>
      <c r="Y67" s="17" t="s">
        <v>160</v>
      </c>
      <c r="Z67" s="14" t="s">
        <v>161</v>
      </c>
      <c r="AA67" s="14" t="s">
        <v>156</v>
      </c>
      <c r="AB67" s="18"/>
      <c r="AC67" s="13">
        <v>-2.5</v>
      </c>
      <c r="AD67" s="13">
        <v>10.5</v>
      </c>
      <c r="AE67" s="19">
        <f t="shared" si="0"/>
        <v>10.5</v>
      </c>
      <c r="AF67" s="19">
        <f t="shared" si="1"/>
        <v>36.702982325223644</v>
      </c>
      <c r="AG67" s="2" t="s">
        <v>146</v>
      </c>
      <c r="AH67" s="13">
        <v>0</v>
      </c>
      <c r="AI67" s="13">
        <v>0.5</v>
      </c>
      <c r="AJ67" s="19">
        <f>IF(Abschlüsse[[#This Row],[Ergeb]]="ET","",SQRT(($AC67-$AH67)^2+($AD67-$AI67)^2))</f>
        <v>10.307764064044152</v>
      </c>
      <c r="AK67" s="3">
        <v>1</v>
      </c>
      <c r="AL67" s="13">
        <v>-2.5</v>
      </c>
      <c r="AM67" s="13">
        <v>10</v>
      </c>
      <c r="AN67" s="19">
        <f t="shared" si="2"/>
        <v>0.5</v>
      </c>
      <c r="AO67" s="3">
        <v>0</v>
      </c>
      <c r="AR67" s="19" t="str">
        <f t="shared" si="3"/>
        <v/>
      </c>
    </row>
    <row r="68" spans="1:44" ht="25.05" customHeight="1">
      <c r="A68" s="3">
        <v>3</v>
      </c>
      <c r="B68" s="2" t="s">
        <v>8</v>
      </c>
      <c r="C68" s="17" t="str">
        <f>IF($A68="","",IF(VLOOKUP($A68,Spiele!$A$2:$D$15,3,FALSE)=$B68,"H","G"))</f>
        <v>H</v>
      </c>
      <c r="D68" s="17" t="str">
        <f>IF($B68="","",IF(VLOOKUP($A68,Spiele!$A$2:$F$15,3,FALSE)=$B68,VLOOKUP($A68,Spiele!$A$2:$F$15,4,FALSE),VLOOKUP($A68,Spiele!$A$2:$F$15,3,FALSE)))</f>
        <v>TSV</v>
      </c>
      <c r="E68" s="18">
        <f>IF(Abschlüsse[[#This Row],[Ergeb]]="ET",0,COUNTIFS($A$2:$A68,$A68,$B$2:$B68,$B68,$L$2:$L68,"&lt;&gt;ET"))</f>
        <v>11</v>
      </c>
      <c r="F68" s="11">
        <v>45</v>
      </c>
      <c r="G68" s="12">
        <v>2</v>
      </c>
      <c r="H68" s="18">
        <f>COUNTIFS('Rote Karten'!$A$2:$A$4,$A68,'Rote Karten'!$D$2:$D$4,"&lt;&gt;"&amp;$B68,'Rote Karten'!$B$2:$B$4,"&lt;"&amp;$F68,'Rote Karten'!$C$2:$C$4,"&lt;="&amp;$G68)-COUNTIFS('Rote Karten'!$A$2:$A$4,$A68,'Rote Karten'!$D$2:$D$4,$B68,'Rote Karten'!$B$2:$B$4,"&lt;"&amp;$F68,'Rote Karten'!$C$2:$C$4,"&lt;="&amp;$G68)</f>
        <v>0</v>
      </c>
      <c r="I68" s="17" t="str">
        <f>IF(OR($L68="Tor",$L68="ET"),_xlfn.IFNA(IF(VLOOKUP($A68,Spiele!$A$2:$C$15,3,FALSE)=$B68,COUNTIFS($L$2:$L68,"Tor",$B$2:$B68,$B68,$A$2:$A68,$A68)+COUNTIFS($L$2:$L68,"ET",$B$2:$B68,$B68,$A$2:$A68,$A68)&amp;":"&amp;COUNTIFS($L$2:$L68,"Tor",$B$2:$B68,"&lt;&gt;"&amp;$B68,$A$2:$A68,$A68)+COUNTIFS($L$2:$L68,"ET",$B$2:$B68,"&lt;&gt;"&amp;$B68,$A$2:$A68,$A68),COUNTIFS($L$2:$L68,"Tor",$B$2:$B68,"&lt;&gt;"&amp;$B68,$A$2:$A68,$A68)+COUNTIFS($L$2:$L68,"ET",$B$2:$B68,"&lt;&gt;"&amp;$B68,$A$2:$A68,$A68)&amp;":"&amp;COUNTIFS($L$2:$L68,"Tor",$B$2:$B68,$B68,$A$2:$A68,$A68)+COUNTIFS($L$2:$L68,"ET",$B$2:$B68,$B68,$A$2:$A68,$A68)),""),"")</f>
        <v>3:1</v>
      </c>
      <c r="J68" s="18">
        <f>_xlfn.IFNA(IF(VLOOKUP($A68,Spiele!$A$2:$D$15,3,FALSE)=$B68,(COUNTIFS($L$1:$L67,"Tor",$B$1:$B67,$B68,$A$1:$A67,$A68)+COUNTIFS($L$1:$L67,"ET",$B$1:$B67,$B68,$A$1:$A67,$A68))-(COUNTIFS($L$1:$L67,"Tor",$B$1:$B67,"&lt;&gt;"&amp;$B68,$A$1:$A67,$A68)+COUNTIFS($L$1:$L67,"ET",$B$1:$B67,"&lt;&gt;"&amp;$B68,$A$1:$A67,$A68)),(COUNTIFS($L$1:$L67,"Tor",$B$1:$B67,$B68,$A$1:$A67,$A68)+COUNTIFS($L$1:$L67,"ET",$B$1:$B67,$B68,$A$1:$A67,$A68))-(COUNTIFS($L$1:$L67,"Tor",$B$1:$B67,"&lt;&gt;"&amp;$B68,$A$1:$A67,$A68)+COUNTIFS($L$1:$L67,"ET",$B$1:$B67,"&lt;&gt;"&amp;$B68,$A$1:$A67,$A68))),"")</f>
        <v>1</v>
      </c>
      <c r="K68" s="3">
        <v>21</v>
      </c>
      <c r="L68" s="17" t="s">
        <v>0</v>
      </c>
      <c r="M68" s="2" t="s">
        <v>163</v>
      </c>
      <c r="N68" s="2" t="s">
        <v>158</v>
      </c>
      <c r="O68" s="2">
        <v>8</v>
      </c>
      <c r="X68" s="2" t="s">
        <v>142</v>
      </c>
      <c r="Y68" s="17" t="s">
        <v>143</v>
      </c>
      <c r="Z68" s="14" t="s">
        <v>150</v>
      </c>
      <c r="AA68" s="14" t="s">
        <v>156</v>
      </c>
      <c r="AB68" s="18">
        <v>9</v>
      </c>
      <c r="AC68" s="13">
        <v>-1.5</v>
      </c>
      <c r="AD68" s="13">
        <v>13</v>
      </c>
      <c r="AE68" s="19">
        <f t="shared" ref="AE68:AE134" si="4">IF($L68="ET","",IF($AC68&gt;3.66,SQRT($AD68^2+($AC68-(7.32/2))^2),IF($AC68&lt;-3.66,SQRT($AD68^2+($AC68+(7.32/2))^2),$AD68)))</f>
        <v>13</v>
      </c>
      <c r="AF68" s="19">
        <f t="shared" ref="AF68:AF134" si="5">IF($L68="ET","",IF(DEGREES(ATAN((7.32*$AD68)/($AD68^2+$AC68^2-(7.32/2)^2)))&lt;=0,180+DEGREES(ATAN((7.32*$AD68)/($AD68^2+$AC68^2-(7.32/2)^2))),DEGREES(ATAN((7.32*$AD68)/($AD68^2+$AC68^2-(7.32/2)^2)))))</f>
        <v>31.083001729640074</v>
      </c>
      <c r="AG68" s="2" t="s">
        <v>146</v>
      </c>
      <c r="AH68" s="13">
        <v>-1</v>
      </c>
      <c r="AI68" s="13">
        <v>8.5</v>
      </c>
      <c r="AJ68" s="19">
        <f>IF(Abschlüsse[[#This Row],[Ergeb]]="ET","",SQRT(($AC68-$AH68)^2+($AD68-$AI68)^2))</f>
        <v>4.5276925690687087</v>
      </c>
      <c r="AK68" s="3">
        <v>1</v>
      </c>
      <c r="AL68" s="13">
        <v>0.5</v>
      </c>
      <c r="AM68" s="13">
        <v>16</v>
      </c>
      <c r="AN68" s="19">
        <f t="shared" ref="AN68:AN134" si="6">IF(AK68=0,"",SQRT(($AC68-$AL68)^2+($AD68-$AM68)^2))</f>
        <v>3.6055512754639891</v>
      </c>
      <c r="AO68" s="3">
        <v>0</v>
      </c>
      <c r="AR68" s="19" t="str">
        <f t="shared" ref="AR68:AR134" si="7">IF(AO68=0,"",SQRT(($AC68-$AP68)^2+($AD68-$AQ68)^2))</f>
        <v/>
      </c>
    </row>
    <row r="69" spans="1:44" ht="25.05" customHeight="1">
      <c r="A69" s="3">
        <v>3</v>
      </c>
      <c r="B69" s="2" t="s">
        <v>8</v>
      </c>
      <c r="C69" s="17" t="str">
        <f>IF($A69="","",IF(VLOOKUP($A69,Spiele!$A$2:$D$15,3,FALSE)=$B69,"H","G"))</f>
        <v>H</v>
      </c>
      <c r="D69" s="17" t="str">
        <f>IF($B69="","",IF(VLOOKUP($A69,Spiele!$A$2:$F$15,3,FALSE)=$B69,VLOOKUP($A69,Spiele!$A$2:$F$15,4,FALSE),VLOOKUP($A69,Spiele!$A$2:$F$15,3,FALSE)))</f>
        <v>TSV</v>
      </c>
      <c r="E69" s="18">
        <f>IF(Abschlüsse[[#This Row],[Ergeb]]="ET",0,COUNTIFS($A$2:$A69,$A69,$B$2:$B69,$B69,$L$2:$L69,"&lt;&gt;ET"))</f>
        <v>12</v>
      </c>
      <c r="F69" s="11">
        <v>48</v>
      </c>
      <c r="G69" s="12">
        <v>2</v>
      </c>
      <c r="H69" s="18">
        <f>COUNTIFS('Rote Karten'!$A$2:$A$4,$A69,'Rote Karten'!$D$2:$D$4,"&lt;&gt;"&amp;$B69,'Rote Karten'!$B$2:$B$4,"&lt;"&amp;$F69,'Rote Karten'!$C$2:$C$4,"&lt;="&amp;$G69)-COUNTIFS('Rote Karten'!$A$2:$A$4,$A69,'Rote Karten'!$D$2:$D$4,$B69,'Rote Karten'!$B$2:$B$4,"&lt;"&amp;$F69,'Rote Karten'!$C$2:$C$4,"&lt;="&amp;$G69)</f>
        <v>0</v>
      </c>
      <c r="I69" s="17" t="str">
        <f>IF(OR($L69="Tor",$L69="ET"),_xlfn.IFNA(IF(VLOOKUP($A69,Spiele!$A$2:$C$15,3,FALSE)=$B69,COUNTIFS($L$2:$L69,"Tor",$B$2:$B69,$B69,$A$2:$A69,$A69)+COUNTIFS($L$2:$L69,"ET",$B$2:$B69,$B69,$A$2:$A69,$A69)&amp;":"&amp;COUNTIFS($L$2:$L69,"Tor",$B$2:$B69,"&lt;&gt;"&amp;$B69,$A$2:$A69,$A69)+COUNTIFS($L$2:$L69,"ET",$B$2:$B69,"&lt;&gt;"&amp;$B69,$A$2:$A69,$A69),COUNTIFS($L$2:$L69,"Tor",$B$2:$B69,"&lt;&gt;"&amp;$B69,$A$2:$A69,$A69)+COUNTIFS($L$2:$L69,"ET",$B$2:$B69,"&lt;&gt;"&amp;$B69,$A$2:$A69,$A69)&amp;":"&amp;COUNTIFS($L$2:$L69,"Tor",$B$2:$B69,$B69,$A$2:$A69,$A69)+COUNTIFS($L$2:$L69,"ET",$B$2:$B69,$B69,$A$2:$A69,$A69)),""),"")</f>
        <v/>
      </c>
      <c r="J69" s="18">
        <f>_xlfn.IFNA(IF(VLOOKUP($A69,Spiele!$A$2:$D$15,3,FALSE)=$B69,(COUNTIFS($L$1:$L68,"Tor",$B$1:$B68,$B69,$A$1:$A68,$A69)+COUNTIFS($L$1:$L68,"ET",$B$1:$B68,$B69,$A$1:$A68,$A69))-(COUNTIFS($L$1:$L68,"Tor",$B$1:$B68,"&lt;&gt;"&amp;$B69,$A$1:$A68,$A69)+COUNTIFS($L$1:$L68,"ET",$B$1:$B68,"&lt;&gt;"&amp;$B69,$A$1:$A68,$A69)),(COUNTIFS($L$1:$L68,"Tor",$B$1:$B68,$B69,$A$1:$A68,$A69)+COUNTIFS($L$1:$L68,"ET",$B$1:$B68,$B69,$A$1:$A68,$A69))-(COUNTIFS($L$1:$L68,"Tor",$B$1:$B68,"&lt;&gt;"&amp;$B69,$A$1:$A68,$A69)+COUNTIFS($L$1:$L68,"ET",$B$1:$B68,"&lt;&gt;"&amp;$B69,$A$1:$A68,$A69))),"")</f>
        <v>2</v>
      </c>
      <c r="K69" s="3">
        <v>22</v>
      </c>
      <c r="L69" s="17" t="s">
        <v>20</v>
      </c>
      <c r="M69" s="2" t="s">
        <v>163</v>
      </c>
      <c r="N69" s="2" t="s">
        <v>164</v>
      </c>
      <c r="O69" s="2">
        <v>8</v>
      </c>
      <c r="P69" s="2">
        <v>21</v>
      </c>
      <c r="Q69" s="2">
        <v>20</v>
      </c>
      <c r="X69" s="2" t="s">
        <v>151</v>
      </c>
      <c r="Y69" s="17" t="s">
        <v>149</v>
      </c>
      <c r="Z69" s="14" t="s">
        <v>150</v>
      </c>
      <c r="AA69" s="14" t="s">
        <v>156</v>
      </c>
      <c r="AB69" s="18">
        <v>27</v>
      </c>
      <c r="AC69" s="13">
        <v>13</v>
      </c>
      <c r="AD69" s="13">
        <v>14</v>
      </c>
      <c r="AE69" s="19">
        <f t="shared" si="4"/>
        <v>16.829604867613497</v>
      </c>
      <c r="AF69" s="19">
        <f t="shared" si="5"/>
        <v>16.249498826123144</v>
      </c>
      <c r="AG69" s="2" t="s">
        <v>146</v>
      </c>
      <c r="AH69" s="13">
        <v>1.5</v>
      </c>
      <c r="AI69" s="13">
        <v>3</v>
      </c>
      <c r="AJ69" s="19">
        <f>IF(Abschlüsse[[#This Row],[Ergeb]]="ET","",SQRT(($AC69-$AH69)^2+($AD69-$AI69)^2))</f>
        <v>15.913830462839549</v>
      </c>
      <c r="AK69" s="3">
        <v>2</v>
      </c>
      <c r="AL69" s="13">
        <v>12</v>
      </c>
      <c r="AM69" s="13">
        <v>14.5</v>
      </c>
      <c r="AN69" s="19">
        <f t="shared" si="6"/>
        <v>1.1180339887498949</v>
      </c>
      <c r="AO69" s="3">
        <v>1</v>
      </c>
      <c r="AP69" s="13">
        <v>7</v>
      </c>
      <c r="AQ69" s="13">
        <v>10.5</v>
      </c>
      <c r="AR69" s="19">
        <f t="shared" si="7"/>
        <v>6.946221994724902</v>
      </c>
    </row>
    <row r="70" spans="1:44" ht="25.05" customHeight="1">
      <c r="A70" s="3">
        <v>3</v>
      </c>
      <c r="B70" s="2" t="s">
        <v>58</v>
      </c>
      <c r="C70" s="17" t="str">
        <f>IF($A70="","",IF(VLOOKUP($A70,Spiele!$A$2:$D$15,3,FALSE)=$B70,"H","G"))</f>
        <v>G</v>
      </c>
      <c r="D70" s="17" t="str">
        <f>IF($B70="","",IF(VLOOKUP($A70,Spiele!$A$2:$F$15,3,FALSE)=$B70,VLOOKUP($A70,Spiele!$A$2:$F$15,4,FALSE),VLOOKUP($A70,Spiele!$A$2:$F$15,3,FALSE)))</f>
        <v>FCN</v>
      </c>
      <c r="E70" s="18">
        <f>IF(Abschlüsse[[#This Row],[Ergeb]]="ET",0,COUNTIFS($A$2:$A70,$A70,$B$2:$B70,$B70,$L$2:$L70,"&lt;&gt;ET"))</f>
        <v>11</v>
      </c>
      <c r="F70" s="11">
        <v>52</v>
      </c>
      <c r="G70" s="12">
        <v>2</v>
      </c>
      <c r="H70" s="18">
        <f>COUNTIFS('Rote Karten'!$A$2:$A$4,$A70,'Rote Karten'!$D$2:$D$4,"&lt;&gt;"&amp;$B70,'Rote Karten'!$B$2:$B$4,"&lt;"&amp;$F70,'Rote Karten'!$C$2:$C$4,"&lt;="&amp;$G70)-COUNTIFS('Rote Karten'!$A$2:$A$4,$A70,'Rote Karten'!$D$2:$D$4,$B70,'Rote Karten'!$B$2:$B$4,"&lt;"&amp;$F70,'Rote Karten'!$C$2:$C$4,"&lt;="&amp;$G70)</f>
        <v>0</v>
      </c>
      <c r="I70" s="17" t="str">
        <f>IF(OR($L70="Tor",$L70="ET"),_xlfn.IFNA(IF(VLOOKUP($A70,Spiele!$A$2:$C$15,3,FALSE)=$B70,COUNTIFS($L$2:$L70,"Tor",$B$2:$B70,$B70,$A$2:$A70,$A70)+COUNTIFS($L$2:$L70,"ET",$B$2:$B70,$B70,$A$2:$A70,$A70)&amp;":"&amp;COUNTIFS($L$2:$L70,"Tor",$B$2:$B70,"&lt;&gt;"&amp;$B70,$A$2:$A70,$A70)+COUNTIFS($L$2:$L70,"ET",$B$2:$B70,"&lt;&gt;"&amp;$B70,$A$2:$A70,$A70),COUNTIFS($L$2:$L70,"Tor",$B$2:$B70,"&lt;&gt;"&amp;$B70,$A$2:$A70,$A70)+COUNTIFS($L$2:$L70,"ET",$B$2:$B70,"&lt;&gt;"&amp;$B70,$A$2:$A70,$A70)&amp;":"&amp;COUNTIFS($L$2:$L70,"Tor",$B$2:$B70,$B70,$A$2:$A70,$A70)+COUNTIFS($L$2:$L70,"ET",$B$2:$B70,$B70,$A$2:$A70,$A70)),""),"")</f>
        <v/>
      </c>
      <c r="J70" s="18">
        <f>_xlfn.IFNA(IF(VLOOKUP($A70,Spiele!$A$2:$D$15,3,FALSE)=$B70,(COUNTIFS($L$1:$L69,"Tor",$B$1:$B69,$B70,$A$1:$A69,$A70)+COUNTIFS($L$1:$L69,"ET",$B$1:$B69,$B70,$A$1:$A69,$A70))-(COUNTIFS($L$1:$L69,"Tor",$B$1:$B69,"&lt;&gt;"&amp;$B70,$A$1:$A69,$A70)+COUNTIFS($L$1:$L69,"ET",$B$1:$B69,"&lt;&gt;"&amp;$B70,$A$1:$A69,$A70)),(COUNTIFS($L$1:$L69,"Tor",$B$1:$B69,$B70,$A$1:$A69,$A70)+COUNTIFS($L$1:$L69,"ET",$B$1:$B69,$B70,$A$1:$A69,$A70))-(COUNTIFS($L$1:$L69,"Tor",$B$1:$B69,"&lt;&gt;"&amp;$B70,$A$1:$A69,$A70)+COUNTIFS($L$1:$L69,"ET",$B$1:$B69,"&lt;&gt;"&amp;$B70,$A$1:$A69,$A70))),"")</f>
        <v>-2</v>
      </c>
      <c r="K70" s="3">
        <v>23</v>
      </c>
      <c r="L70" s="17" t="s">
        <v>19</v>
      </c>
      <c r="M70" s="2" t="s">
        <v>157</v>
      </c>
      <c r="N70" s="2" t="s">
        <v>164</v>
      </c>
      <c r="X70" s="2" t="s">
        <v>151</v>
      </c>
      <c r="Y70" s="17" t="s">
        <v>149</v>
      </c>
      <c r="Z70" s="14" t="s">
        <v>150</v>
      </c>
      <c r="AA70" s="14" t="s">
        <v>145</v>
      </c>
      <c r="AB70" s="18"/>
      <c r="AC70" s="13">
        <v>17</v>
      </c>
      <c r="AD70" s="13">
        <v>5</v>
      </c>
      <c r="AE70" s="19">
        <f t="shared" si="4"/>
        <v>14.246248629025116</v>
      </c>
      <c r="AF70" s="19">
        <f t="shared" si="5"/>
        <v>6.9418627437857081</v>
      </c>
      <c r="AG70" s="2" t="s">
        <v>146</v>
      </c>
      <c r="AH70" s="13">
        <v>4</v>
      </c>
      <c r="AI70" s="13">
        <v>0.5</v>
      </c>
      <c r="AJ70" s="19">
        <f>IF(Abschlüsse[[#This Row],[Ergeb]]="ET","",SQRT(($AC70-$AH70)^2+($AD70-$AI70)^2))</f>
        <v>13.756816492197604</v>
      </c>
      <c r="AK70" s="3">
        <v>1</v>
      </c>
      <c r="AL70" s="13">
        <v>18</v>
      </c>
      <c r="AM70" s="13">
        <v>5</v>
      </c>
      <c r="AN70" s="19">
        <f t="shared" si="6"/>
        <v>1</v>
      </c>
      <c r="AO70" s="3">
        <v>0</v>
      </c>
      <c r="AR70" s="19" t="str">
        <f t="shared" si="7"/>
        <v/>
      </c>
    </row>
    <row r="71" spans="1:44" ht="25.05" customHeight="1">
      <c r="A71" s="3">
        <v>3</v>
      </c>
      <c r="B71" s="2" t="s">
        <v>8</v>
      </c>
      <c r="C71" s="17" t="str">
        <f>IF($A71="","",IF(VLOOKUP($A71,Spiele!$A$2:$D$15,3,FALSE)=$B71,"H","G"))</f>
        <v>H</v>
      </c>
      <c r="D71" s="17" t="str">
        <f>IF($B71="","",IF(VLOOKUP($A71,Spiele!$A$2:$F$15,3,FALSE)=$B71,VLOOKUP($A71,Spiele!$A$2:$F$15,4,FALSE),VLOOKUP($A71,Spiele!$A$2:$F$15,3,FALSE)))</f>
        <v>TSV</v>
      </c>
      <c r="E71" s="18">
        <f>IF(Abschlüsse[[#This Row],[Ergeb]]="ET",0,COUNTIFS($A$2:$A71,$A71,$B$2:$B71,$B71,$L$2:$L71,"&lt;&gt;ET"))</f>
        <v>13</v>
      </c>
      <c r="F71" s="11">
        <v>56</v>
      </c>
      <c r="G71" s="12">
        <v>2</v>
      </c>
      <c r="H71" s="18">
        <f>COUNTIFS('Rote Karten'!$A$2:$A$4,$A71,'Rote Karten'!$D$2:$D$4,"&lt;&gt;"&amp;$B71,'Rote Karten'!$B$2:$B$4,"&lt;"&amp;$F71,'Rote Karten'!$C$2:$C$4,"&lt;="&amp;$G71)-COUNTIFS('Rote Karten'!$A$2:$A$4,$A71,'Rote Karten'!$D$2:$D$4,$B71,'Rote Karten'!$B$2:$B$4,"&lt;"&amp;$F71,'Rote Karten'!$C$2:$C$4,"&lt;="&amp;$G71)</f>
        <v>1</v>
      </c>
      <c r="I71" s="17" t="str">
        <f>IF(OR($L71="Tor",$L71="ET"),_xlfn.IFNA(IF(VLOOKUP($A71,Spiele!$A$2:$C$15,3,FALSE)=$B71,COUNTIFS($L$2:$L71,"Tor",$B$2:$B71,$B71,$A$2:$A71,$A71)+COUNTIFS($L$2:$L71,"ET",$B$2:$B71,$B71,$A$2:$A71,$A71)&amp;":"&amp;COUNTIFS($L$2:$L71,"Tor",$B$2:$B71,"&lt;&gt;"&amp;$B71,$A$2:$A71,$A71)+COUNTIFS($L$2:$L71,"ET",$B$2:$B71,"&lt;&gt;"&amp;$B71,$A$2:$A71,$A71),COUNTIFS($L$2:$L71,"Tor",$B$2:$B71,"&lt;&gt;"&amp;$B71,$A$2:$A71,$A71)+COUNTIFS($L$2:$L71,"ET",$B$2:$B71,"&lt;&gt;"&amp;$B71,$A$2:$A71,$A71)&amp;":"&amp;COUNTIFS($L$2:$L71,"Tor",$B$2:$B71,$B71,$A$2:$A71,$A71)+COUNTIFS($L$2:$L71,"ET",$B$2:$B71,$B71,$A$2:$A71,$A71)),""),"")</f>
        <v/>
      </c>
      <c r="J71" s="18">
        <f>_xlfn.IFNA(IF(VLOOKUP($A71,Spiele!$A$2:$D$15,3,FALSE)=$B71,(COUNTIFS($L$1:$L70,"Tor",$B$1:$B70,$B71,$A$1:$A70,$A71)+COUNTIFS($L$1:$L70,"ET",$B$1:$B70,$B71,$A$1:$A70,$A71))-(COUNTIFS($L$1:$L70,"Tor",$B$1:$B70,"&lt;&gt;"&amp;$B71,$A$1:$A70,$A71)+COUNTIFS($L$1:$L70,"ET",$B$1:$B70,"&lt;&gt;"&amp;$B71,$A$1:$A70,$A71)),(COUNTIFS($L$1:$L70,"Tor",$B$1:$B70,$B71,$A$1:$A70,$A71)+COUNTIFS($L$1:$L70,"ET",$B$1:$B70,$B71,$A$1:$A70,$A71))-(COUNTIFS($L$1:$L70,"Tor",$B$1:$B70,"&lt;&gt;"&amp;$B71,$A$1:$A70,$A71)+COUNTIFS($L$1:$L70,"ET",$B$1:$B70,"&lt;&gt;"&amp;$B71,$A$1:$A70,$A71))),"")</f>
        <v>2</v>
      </c>
      <c r="K71" s="3">
        <v>24</v>
      </c>
      <c r="L71" s="17" t="s">
        <v>18</v>
      </c>
      <c r="M71" s="2" t="s">
        <v>174</v>
      </c>
      <c r="X71" s="2" t="s">
        <v>142</v>
      </c>
      <c r="Y71" s="17" t="s">
        <v>143</v>
      </c>
      <c r="Z71" s="14" t="s">
        <v>150</v>
      </c>
      <c r="AA71" s="14" t="s">
        <v>145</v>
      </c>
      <c r="AB71" s="18">
        <v>9</v>
      </c>
      <c r="AC71" s="13">
        <v>-9</v>
      </c>
      <c r="AD71" s="13">
        <v>17</v>
      </c>
      <c r="AE71" s="19">
        <f t="shared" si="4"/>
        <v>17.818967422384496</v>
      </c>
      <c r="AF71" s="19">
        <f t="shared" si="5"/>
        <v>19.236848116129863</v>
      </c>
      <c r="AG71" s="2" t="s">
        <v>146</v>
      </c>
      <c r="AH71" s="13">
        <v>0</v>
      </c>
      <c r="AI71" s="13">
        <v>0.5</v>
      </c>
      <c r="AJ71" s="19">
        <f>IF(Abschlüsse[[#This Row],[Ergeb]]="ET","",SQRT(($AC71-$AH71)^2+($AD71-$AI71)^2))</f>
        <v>18.794946129212502</v>
      </c>
      <c r="AK71" s="3">
        <v>0</v>
      </c>
      <c r="AL71" s="13"/>
      <c r="AM71" s="13"/>
      <c r="AN71" s="19" t="str">
        <f t="shared" si="6"/>
        <v/>
      </c>
      <c r="AO71" s="3">
        <v>5</v>
      </c>
      <c r="AP71" s="13">
        <v>-6.5</v>
      </c>
      <c r="AQ71" s="13">
        <v>8.5</v>
      </c>
      <c r="AR71" s="19">
        <f t="shared" si="7"/>
        <v>8.8600225733346747</v>
      </c>
    </row>
    <row r="72" spans="1:44" ht="25.05" customHeight="1">
      <c r="A72" s="3">
        <v>3</v>
      </c>
      <c r="B72" s="2" t="s">
        <v>8</v>
      </c>
      <c r="C72" s="17" t="str">
        <f>IF($A72="","",IF(VLOOKUP($A72,Spiele!$A$2:$D$15,3,FALSE)=$B72,"H","G"))</f>
        <v>H</v>
      </c>
      <c r="D72" s="17" t="str">
        <f>IF($B72="","",IF(VLOOKUP($A72,Spiele!$A$2:$F$15,3,FALSE)=$B72,VLOOKUP($A72,Spiele!$A$2:$F$15,4,FALSE),VLOOKUP($A72,Spiele!$A$2:$F$15,3,FALSE)))</f>
        <v>TSV</v>
      </c>
      <c r="E72" s="18">
        <f>IF(Abschlüsse[[#This Row],[Ergeb]]="ET",0,COUNTIFS($A$2:$A72,$A72,$B$2:$B72,$B72,$L$2:$L72,"&lt;&gt;ET"))</f>
        <v>14</v>
      </c>
      <c r="F72" s="11">
        <v>57</v>
      </c>
      <c r="G72" s="12">
        <v>2</v>
      </c>
      <c r="H72" s="18">
        <f>COUNTIFS('Rote Karten'!$A$2:$A$4,$A72,'Rote Karten'!$D$2:$D$4,"&lt;&gt;"&amp;$B72,'Rote Karten'!$B$2:$B$4,"&lt;"&amp;$F72,'Rote Karten'!$C$2:$C$4,"&lt;="&amp;$G72)-COUNTIFS('Rote Karten'!$A$2:$A$4,$A72,'Rote Karten'!$D$2:$D$4,$B72,'Rote Karten'!$B$2:$B$4,"&lt;"&amp;$F72,'Rote Karten'!$C$2:$C$4,"&lt;="&amp;$G72)</f>
        <v>1</v>
      </c>
      <c r="I72" s="17" t="str">
        <f>IF(OR($L72="Tor",$L72="ET"),_xlfn.IFNA(IF(VLOOKUP($A72,Spiele!$A$2:$C$15,3,FALSE)=$B72,COUNTIFS($L$2:$L72,"Tor",$B$2:$B72,$B72,$A$2:$A72,$A72)+COUNTIFS($L$2:$L72,"ET",$B$2:$B72,$B72,$A$2:$A72,$A72)&amp;":"&amp;COUNTIFS($L$2:$L72,"Tor",$B$2:$B72,"&lt;&gt;"&amp;$B72,$A$2:$A72,$A72)+COUNTIFS($L$2:$L72,"ET",$B$2:$B72,"&lt;&gt;"&amp;$B72,$A$2:$A72,$A72),COUNTIFS($L$2:$L72,"Tor",$B$2:$B72,"&lt;&gt;"&amp;$B72,$A$2:$A72,$A72)+COUNTIFS($L$2:$L72,"ET",$B$2:$B72,"&lt;&gt;"&amp;$B72,$A$2:$A72,$A72)&amp;":"&amp;COUNTIFS($L$2:$L72,"Tor",$B$2:$B72,$B72,$A$2:$A72,$A72)+COUNTIFS($L$2:$L72,"ET",$B$2:$B72,$B72,$A$2:$A72,$A72)),""),"")</f>
        <v>4:1</v>
      </c>
      <c r="J72" s="18">
        <f>_xlfn.IFNA(IF(VLOOKUP($A72,Spiele!$A$2:$D$15,3,FALSE)=$B72,(COUNTIFS($L$1:$L71,"Tor",$B$1:$B71,$B72,$A$1:$A71,$A72)+COUNTIFS($L$1:$L71,"ET",$B$1:$B71,$B72,$A$1:$A71,$A72))-(COUNTIFS($L$1:$L71,"Tor",$B$1:$B71,"&lt;&gt;"&amp;$B72,$A$1:$A71,$A72)+COUNTIFS($L$1:$L71,"ET",$B$1:$B71,"&lt;&gt;"&amp;$B72,$A$1:$A71,$A72)),(COUNTIFS($L$1:$L71,"Tor",$B$1:$B71,$B72,$A$1:$A71,$A72)+COUNTIFS($L$1:$L71,"ET",$B$1:$B71,$B72,$A$1:$A71,$A72))-(COUNTIFS($L$1:$L71,"Tor",$B$1:$B71,"&lt;&gt;"&amp;$B72,$A$1:$A71,$A72)+COUNTIFS($L$1:$L71,"ET",$B$1:$B71,"&lt;&gt;"&amp;$B72,$A$1:$A71,$A72))),"")</f>
        <v>2</v>
      </c>
      <c r="K72" s="3">
        <v>25</v>
      </c>
      <c r="L72" s="17" t="s">
        <v>0</v>
      </c>
      <c r="M72" s="2" t="s">
        <v>147</v>
      </c>
      <c r="N72" s="2" t="s">
        <v>153</v>
      </c>
      <c r="O72" s="2">
        <v>13</v>
      </c>
      <c r="P72" s="2">
        <v>20</v>
      </c>
      <c r="Q72" s="2">
        <v>6</v>
      </c>
      <c r="R72" s="2">
        <v>16</v>
      </c>
      <c r="S72" s="2">
        <v>10</v>
      </c>
      <c r="T72" s="2">
        <v>23</v>
      </c>
      <c r="X72" s="2" t="s">
        <v>141</v>
      </c>
      <c r="Y72" s="17" t="s">
        <v>143</v>
      </c>
      <c r="Z72" s="14" t="s">
        <v>144</v>
      </c>
      <c r="AA72" s="14" t="s">
        <v>145</v>
      </c>
      <c r="AB72" s="18">
        <v>10</v>
      </c>
      <c r="AC72" s="13">
        <v>3</v>
      </c>
      <c r="AD72" s="13">
        <v>7</v>
      </c>
      <c r="AE72" s="19">
        <f t="shared" si="4"/>
        <v>7</v>
      </c>
      <c r="AF72" s="19">
        <f t="shared" si="5"/>
        <v>48.960441803790069</v>
      </c>
      <c r="AG72" s="2" t="s">
        <v>169</v>
      </c>
      <c r="AH72" s="13">
        <v>-1</v>
      </c>
      <c r="AI72" s="13">
        <v>1</v>
      </c>
      <c r="AJ72" s="19">
        <f>IF(Abschlüsse[[#This Row],[Ergeb]]="ET","",SQRT(($AC72-$AH72)^2+($AD72-$AI72)^2))</f>
        <v>7.2111025509279782</v>
      </c>
      <c r="AK72" s="3">
        <v>0</v>
      </c>
      <c r="AL72" s="13"/>
      <c r="AM72" s="13"/>
      <c r="AN72" s="19" t="str">
        <f t="shared" si="6"/>
        <v/>
      </c>
      <c r="AO72" s="3">
        <v>0</v>
      </c>
      <c r="AR72" s="19" t="str">
        <f t="shared" si="7"/>
        <v/>
      </c>
    </row>
    <row r="73" spans="1:44" ht="25.05" customHeight="1">
      <c r="A73" s="3">
        <v>3</v>
      </c>
      <c r="B73" s="2" t="s">
        <v>8</v>
      </c>
      <c r="C73" s="17" t="str">
        <f>IF($A73="","",IF(VLOOKUP($A73,Spiele!$A$2:$D$15,3,FALSE)=$B73,"H","G"))</f>
        <v>H</v>
      </c>
      <c r="D73" s="17" t="str">
        <f>IF($B73="","",IF(VLOOKUP($A73,Spiele!$A$2:$F$15,3,FALSE)=$B73,VLOOKUP($A73,Spiele!$A$2:$F$15,4,FALSE),VLOOKUP($A73,Spiele!$A$2:$F$15,3,FALSE)))</f>
        <v>TSV</v>
      </c>
      <c r="E73" s="18">
        <f>IF(Abschlüsse[[#This Row],[Ergeb]]="ET",0,COUNTIFS($A$2:$A73,$A73,$B$2:$B73,$B73,$L$2:$L73,"&lt;&gt;ET"))</f>
        <v>15</v>
      </c>
      <c r="F73" s="11">
        <v>59</v>
      </c>
      <c r="G73" s="12">
        <v>2</v>
      </c>
      <c r="H73" s="18">
        <f>COUNTIFS('Rote Karten'!$A$2:$A$4,$A73,'Rote Karten'!$D$2:$D$4,"&lt;&gt;"&amp;$B73,'Rote Karten'!$B$2:$B$4,"&lt;"&amp;$F73,'Rote Karten'!$C$2:$C$4,"&lt;="&amp;$G73)-COUNTIFS('Rote Karten'!$A$2:$A$4,$A73,'Rote Karten'!$D$2:$D$4,$B73,'Rote Karten'!$B$2:$B$4,"&lt;"&amp;$F73,'Rote Karten'!$C$2:$C$4,"&lt;="&amp;$G73)</f>
        <v>1</v>
      </c>
      <c r="I73" s="17" t="str">
        <f>IF(OR($L73="Tor",$L73="ET"),_xlfn.IFNA(IF(VLOOKUP($A73,Spiele!$A$2:$C$15,3,FALSE)=$B73,COUNTIFS($L$2:$L73,"Tor",$B$2:$B73,$B73,$A$2:$A73,$A73)+COUNTIFS($L$2:$L73,"ET",$B$2:$B73,$B73,$A$2:$A73,$A73)&amp;":"&amp;COUNTIFS($L$2:$L73,"Tor",$B$2:$B73,"&lt;&gt;"&amp;$B73,$A$2:$A73,$A73)+COUNTIFS($L$2:$L73,"ET",$B$2:$B73,"&lt;&gt;"&amp;$B73,$A$2:$A73,$A73),COUNTIFS($L$2:$L73,"Tor",$B$2:$B73,"&lt;&gt;"&amp;$B73,$A$2:$A73,$A73)+COUNTIFS($L$2:$L73,"ET",$B$2:$B73,"&lt;&gt;"&amp;$B73,$A$2:$A73,$A73)&amp;":"&amp;COUNTIFS($L$2:$L73,"Tor",$B$2:$B73,$B73,$A$2:$A73,$A73)+COUNTIFS($L$2:$L73,"ET",$B$2:$B73,$B73,$A$2:$A73,$A73)),""),"")</f>
        <v/>
      </c>
      <c r="J73" s="18">
        <f>_xlfn.IFNA(IF(VLOOKUP($A73,Spiele!$A$2:$D$15,3,FALSE)=$B73,(COUNTIFS($L$1:$L72,"Tor",$B$1:$B72,$B73,$A$1:$A72,$A73)+COUNTIFS($L$1:$L72,"ET",$B$1:$B72,$B73,$A$1:$A72,$A73))-(COUNTIFS($L$1:$L72,"Tor",$B$1:$B72,"&lt;&gt;"&amp;$B73,$A$1:$A72,$A73)+COUNTIFS($L$1:$L72,"ET",$B$1:$B72,"&lt;&gt;"&amp;$B73,$A$1:$A72,$A73)),(COUNTIFS($L$1:$L72,"Tor",$B$1:$B72,$B73,$A$1:$A72,$A73)+COUNTIFS($L$1:$L72,"ET",$B$1:$B72,$B73,$A$1:$A72,$A73))-(COUNTIFS($L$1:$L72,"Tor",$B$1:$B72,"&lt;&gt;"&amp;$B73,$A$1:$A72,$A73)+COUNTIFS($L$1:$L72,"ET",$B$1:$B72,"&lt;&gt;"&amp;$B73,$A$1:$A72,$A73))),"")</f>
        <v>3</v>
      </c>
      <c r="K73" s="3">
        <v>26</v>
      </c>
      <c r="L73" s="17" t="s">
        <v>18</v>
      </c>
      <c r="M73" s="2" t="s">
        <v>163</v>
      </c>
      <c r="N73" s="2" t="s">
        <v>3</v>
      </c>
      <c r="X73" s="2" t="s">
        <v>154</v>
      </c>
      <c r="Y73" s="17" t="s">
        <v>143</v>
      </c>
      <c r="Z73" s="14" t="s">
        <v>144</v>
      </c>
      <c r="AA73" s="14" t="s">
        <v>145</v>
      </c>
      <c r="AB73" s="18">
        <v>9</v>
      </c>
      <c r="AC73" s="13">
        <v>-8</v>
      </c>
      <c r="AD73" s="13">
        <v>14.5</v>
      </c>
      <c r="AE73" s="19">
        <f t="shared" si="4"/>
        <v>15.135573989776535</v>
      </c>
      <c r="AF73" s="19">
        <f t="shared" si="5"/>
        <v>22.141095680440266</v>
      </c>
      <c r="AG73" s="2" t="s">
        <v>146</v>
      </c>
      <c r="AH73" s="13">
        <v>-2</v>
      </c>
      <c r="AI73" s="13">
        <v>1.5</v>
      </c>
      <c r="AJ73" s="19">
        <f>IF(Abschlüsse[[#This Row],[Ergeb]]="ET","",SQRT(($AC73-$AH73)^2+($AD73-$AI73)^2))</f>
        <v>14.317821063276353</v>
      </c>
      <c r="AK73" s="3">
        <v>0</v>
      </c>
      <c r="AL73" s="13"/>
      <c r="AM73" s="13"/>
      <c r="AN73" s="19" t="str">
        <f t="shared" si="6"/>
        <v/>
      </c>
      <c r="AO73" s="3">
        <v>1</v>
      </c>
      <c r="AP73" s="13">
        <v>-5.5</v>
      </c>
      <c r="AQ73" s="13">
        <v>8.5</v>
      </c>
      <c r="AR73" s="19">
        <f t="shared" si="7"/>
        <v>6.5</v>
      </c>
    </row>
    <row r="74" spans="1:44" ht="25.05" customHeight="1">
      <c r="A74" s="3">
        <v>3</v>
      </c>
      <c r="B74" s="2" t="s">
        <v>58</v>
      </c>
      <c r="C74" s="17" t="str">
        <f>IF($A74="","",IF(VLOOKUP($A74,Spiele!$A$2:$D$15,3,FALSE)=$B74,"H","G"))</f>
        <v>G</v>
      </c>
      <c r="D74" s="17" t="str">
        <f>IF($B74="","",IF(VLOOKUP($A74,Spiele!$A$2:$F$15,3,FALSE)=$B74,VLOOKUP($A74,Spiele!$A$2:$F$15,4,FALSE),VLOOKUP($A74,Spiele!$A$2:$F$15,3,FALSE)))</f>
        <v>FCN</v>
      </c>
      <c r="E74" s="18">
        <f>IF(Abschlüsse[[#This Row],[Ergeb]]="ET",0,COUNTIFS($A$2:$A74,$A74,$B$2:$B74,$B74,$L$2:$L74,"&lt;&gt;ET"))</f>
        <v>12</v>
      </c>
      <c r="F74" s="11">
        <v>63</v>
      </c>
      <c r="G74" s="12">
        <v>2</v>
      </c>
      <c r="H74" s="18">
        <f>COUNTIFS('Rote Karten'!$A$2:$A$4,$A74,'Rote Karten'!$D$2:$D$4,"&lt;&gt;"&amp;$B74,'Rote Karten'!$B$2:$B$4,"&lt;"&amp;$F74,'Rote Karten'!$C$2:$C$4,"&lt;="&amp;$G74)-COUNTIFS('Rote Karten'!$A$2:$A$4,$A74,'Rote Karten'!$D$2:$D$4,$B74,'Rote Karten'!$B$2:$B$4,"&lt;"&amp;$F74,'Rote Karten'!$C$2:$C$4,"&lt;="&amp;$G74)</f>
        <v>-1</v>
      </c>
      <c r="I74" s="17" t="str">
        <f>IF(OR($L74="Tor",$L74="ET"),_xlfn.IFNA(IF(VLOOKUP($A74,Spiele!$A$2:$C$15,3,FALSE)=$B74,COUNTIFS($L$2:$L74,"Tor",$B$2:$B74,$B74,$A$2:$A74,$A74)+COUNTIFS($L$2:$L74,"ET",$B$2:$B74,$B74,$A$2:$A74,$A74)&amp;":"&amp;COUNTIFS($L$2:$L74,"Tor",$B$2:$B74,"&lt;&gt;"&amp;$B74,$A$2:$A74,$A74)+COUNTIFS($L$2:$L74,"ET",$B$2:$B74,"&lt;&gt;"&amp;$B74,$A$2:$A74,$A74),COUNTIFS($L$2:$L74,"Tor",$B$2:$B74,"&lt;&gt;"&amp;$B74,$A$2:$A74,$A74)+COUNTIFS($L$2:$L74,"ET",$B$2:$B74,"&lt;&gt;"&amp;$B74,$A$2:$A74,$A74)&amp;":"&amp;COUNTIFS($L$2:$L74,"Tor",$B$2:$B74,$B74,$A$2:$A74,$A74)+COUNTIFS($L$2:$L74,"ET",$B$2:$B74,$B74,$A$2:$A74,$A74)),""),"")</f>
        <v/>
      </c>
      <c r="J74" s="18">
        <f>_xlfn.IFNA(IF(VLOOKUP($A74,Spiele!$A$2:$D$15,3,FALSE)=$B74,(COUNTIFS($L$1:$L73,"Tor",$B$1:$B73,$B74,$A$1:$A73,$A74)+COUNTIFS($L$1:$L73,"ET",$B$1:$B73,$B74,$A$1:$A73,$A74))-(COUNTIFS($L$1:$L73,"Tor",$B$1:$B73,"&lt;&gt;"&amp;$B74,$A$1:$A73,$A74)+COUNTIFS($L$1:$L73,"ET",$B$1:$B73,"&lt;&gt;"&amp;$B74,$A$1:$A73,$A74)),(COUNTIFS($L$1:$L73,"Tor",$B$1:$B73,$B74,$A$1:$A73,$A74)+COUNTIFS($L$1:$L73,"ET",$B$1:$B73,$B74,$A$1:$A73,$A74))-(COUNTIFS($L$1:$L73,"Tor",$B$1:$B73,"&lt;&gt;"&amp;$B74,$A$1:$A73,$A74)+COUNTIFS($L$1:$L73,"ET",$B$1:$B73,"&lt;&gt;"&amp;$B74,$A$1:$A73,$A74))),"")</f>
        <v>-3</v>
      </c>
      <c r="K74" s="3">
        <v>27</v>
      </c>
      <c r="L74" s="17" t="s">
        <v>18</v>
      </c>
      <c r="M74" s="2" t="s">
        <v>147</v>
      </c>
      <c r="N74" s="2" t="s">
        <v>152</v>
      </c>
      <c r="X74" s="2" t="s">
        <v>151</v>
      </c>
      <c r="Y74" s="17" t="s">
        <v>149</v>
      </c>
      <c r="Z74" s="14" t="s">
        <v>150</v>
      </c>
      <c r="AA74" s="14" t="s">
        <v>156</v>
      </c>
      <c r="AB74" s="18"/>
      <c r="AC74" s="13">
        <v>-16</v>
      </c>
      <c r="AD74" s="13">
        <v>8</v>
      </c>
      <c r="AE74" s="19">
        <f t="shared" si="4"/>
        <v>14.706311570206854</v>
      </c>
      <c r="AF74" s="19">
        <f t="shared" si="5"/>
        <v>10.812996704288254</v>
      </c>
      <c r="AG74" s="2" t="s">
        <v>146</v>
      </c>
      <c r="AH74" s="13">
        <v>-3.5</v>
      </c>
      <c r="AI74" s="13">
        <v>0.5</v>
      </c>
      <c r="AJ74" s="19">
        <f>IF(Abschlüsse[[#This Row],[Ergeb]]="ET","",SQRT(($AC74-$AH74)^2+($AD74-$AI74)^2))</f>
        <v>14.577379737113251</v>
      </c>
      <c r="AK74" s="3">
        <v>1</v>
      </c>
      <c r="AL74" s="13">
        <v>-14.5</v>
      </c>
      <c r="AM74" s="13">
        <v>8.5</v>
      </c>
      <c r="AN74" s="19">
        <f t="shared" si="6"/>
        <v>1.5811388300841898</v>
      </c>
      <c r="AO74" s="3">
        <v>0</v>
      </c>
      <c r="AR74" s="19" t="str">
        <f t="shared" si="7"/>
        <v/>
      </c>
    </row>
    <row r="75" spans="1:44" ht="25.05" customHeight="1">
      <c r="A75" s="3">
        <v>3</v>
      </c>
      <c r="B75" s="2" t="s">
        <v>8</v>
      </c>
      <c r="C75" s="17" t="str">
        <f>IF($A75="","",IF(VLOOKUP($A75,Spiele!$A$2:$D$15,3,FALSE)=$B75,"H","G"))</f>
        <v>H</v>
      </c>
      <c r="D75" s="17" t="str">
        <f>IF($B75="","",IF(VLOOKUP($A75,Spiele!$A$2:$F$15,3,FALSE)=$B75,VLOOKUP($A75,Spiele!$A$2:$F$15,4,FALSE),VLOOKUP($A75,Spiele!$A$2:$F$15,3,FALSE)))</f>
        <v>TSV</v>
      </c>
      <c r="E75" s="18">
        <f>IF(Abschlüsse[[#This Row],[Ergeb]]="ET",0,COUNTIFS($A$2:$A75,$A75,$B$2:$B75,$B75,$L$2:$L75,"&lt;&gt;ET"))</f>
        <v>16</v>
      </c>
      <c r="F75" s="11">
        <v>64</v>
      </c>
      <c r="G75" s="12">
        <v>2</v>
      </c>
      <c r="H75" s="18">
        <f>COUNTIFS('Rote Karten'!$A$2:$A$4,$A75,'Rote Karten'!$D$2:$D$4,"&lt;&gt;"&amp;$B75,'Rote Karten'!$B$2:$B$4,"&lt;"&amp;$F75,'Rote Karten'!$C$2:$C$4,"&lt;="&amp;$G75)-COUNTIFS('Rote Karten'!$A$2:$A$4,$A75,'Rote Karten'!$D$2:$D$4,$B75,'Rote Karten'!$B$2:$B$4,"&lt;"&amp;$F75,'Rote Karten'!$C$2:$C$4,"&lt;="&amp;$G75)</f>
        <v>1</v>
      </c>
      <c r="I75" s="17" t="str">
        <f>IF(OR($L75="Tor",$L75="ET"),_xlfn.IFNA(IF(VLOOKUP($A75,Spiele!$A$2:$C$15,3,FALSE)=$B75,COUNTIFS($L$2:$L75,"Tor",$B$2:$B75,$B75,$A$2:$A75,$A75)+COUNTIFS($L$2:$L75,"ET",$B$2:$B75,$B75,$A$2:$A75,$A75)&amp;":"&amp;COUNTIFS($L$2:$L75,"Tor",$B$2:$B75,"&lt;&gt;"&amp;$B75,$A$2:$A75,$A75)+COUNTIFS($L$2:$L75,"ET",$B$2:$B75,"&lt;&gt;"&amp;$B75,$A$2:$A75,$A75),COUNTIFS($L$2:$L75,"Tor",$B$2:$B75,"&lt;&gt;"&amp;$B75,$A$2:$A75,$A75)+COUNTIFS($L$2:$L75,"ET",$B$2:$B75,"&lt;&gt;"&amp;$B75,$A$2:$A75,$A75)&amp;":"&amp;COUNTIFS($L$2:$L75,"Tor",$B$2:$B75,$B75,$A$2:$A75,$A75)+COUNTIFS($L$2:$L75,"ET",$B$2:$B75,$B75,$A$2:$A75,$A75)),""),"")</f>
        <v/>
      </c>
      <c r="J75" s="18">
        <f>_xlfn.IFNA(IF(VLOOKUP($A75,Spiele!$A$2:$D$15,3,FALSE)=$B75,(COUNTIFS($L$1:$L74,"Tor",$B$1:$B74,$B75,$A$1:$A74,$A75)+COUNTIFS($L$1:$L74,"ET",$B$1:$B74,$B75,$A$1:$A74,$A75))-(COUNTIFS($L$1:$L74,"Tor",$B$1:$B74,"&lt;&gt;"&amp;$B75,$A$1:$A74,$A75)+COUNTIFS($L$1:$L74,"ET",$B$1:$B74,"&lt;&gt;"&amp;$B75,$A$1:$A74,$A75)),(COUNTIFS($L$1:$L74,"Tor",$B$1:$B74,$B75,$A$1:$A74,$A75)+COUNTIFS($L$1:$L74,"ET",$B$1:$B74,$B75,$A$1:$A74,$A75))-(COUNTIFS($L$1:$L74,"Tor",$B$1:$B74,"&lt;&gt;"&amp;$B75,$A$1:$A74,$A75)+COUNTIFS($L$1:$L74,"ET",$B$1:$B74,"&lt;&gt;"&amp;$B75,$A$1:$A74,$A75))),"")</f>
        <v>3</v>
      </c>
      <c r="K75" s="3">
        <v>28</v>
      </c>
      <c r="L75" s="17" t="s">
        <v>20</v>
      </c>
      <c r="M75" s="2" t="s">
        <v>163</v>
      </c>
      <c r="N75" s="2" t="s">
        <v>3</v>
      </c>
      <c r="X75" s="2" t="s">
        <v>151</v>
      </c>
      <c r="Y75" s="17" t="s">
        <v>149</v>
      </c>
      <c r="Z75" s="14" t="s">
        <v>150</v>
      </c>
      <c r="AA75" s="14" t="s">
        <v>145</v>
      </c>
      <c r="AB75" s="18">
        <v>26</v>
      </c>
      <c r="AC75" s="13">
        <v>-5</v>
      </c>
      <c r="AD75" s="13">
        <v>22.5</v>
      </c>
      <c r="AE75" s="19">
        <f t="shared" si="4"/>
        <v>22.539866902890086</v>
      </c>
      <c r="AF75" s="19">
        <f t="shared" si="5"/>
        <v>17.642904759009078</v>
      </c>
      <c r="AG75" s="2" t="s">
        <v>146</v>
      </c>
      <c r="AH75" s="13">
        <v>-0.5</v>
      </c>
      <c r="AI75" s="13">
        <v>1</v>
      </c>
      <c r="AJ75" s="19">
        <f>IF(Abschlüsse[[#This Row],[Ergeb]]="ET","",SQRT(($AC75-$AH75)^2+($AD75-$AI75)^2))</f>
        <v>21.965882636488796</v>
      </c>
      <c r="AK75" s="3">
        <v>1</v>
      </c>
      <c r="AL75" s="13">
        <v>-5.5</v>
      </c>
      <c r="AM75" s="13">
        <v>19</v>
      </c>
      <c r="AN75" s="19">
        <f t="shared" si="6"/>
        <v>3.5355339059327378</v>
      </c>
      <c r="AO75" s="3">
        <v>1</v>
      </c>
      <c r="AP75" s="13">
        <v>-2</v>
      </c>
      <c r="AQ75" s="13">
        <v>14</v>
      </c>
      <c r="AR75" s="19">
        <f t="shared" si="7"/>
        <v>9.013878188659973</v>
      </c>
    </row>
    <row r="76" spans="1:44" ht="25.05" customHeight="1">
      <c r="A76" s="3">
        <v>3</v>
      </c>
      <c r="B76" s="2" t="s">
        <v>8</v>
      </c>
      <c r="C76" s="17" t="str">
        <f>IF($A76="","",IF(VLOOKUP($A76,Spiele!$A$2:$D$15,3,FALSE)=$B76,"H","G"))</f>
        <v>H</v>
      </c>
      <c r="D76" s="17" t="str">
        <f>IF($B76="","",IF(VLOOKUP($A76,Spiele!$A$2:$F$15,3,FALSE)=$B76,VLOOKUP($A76,Spiele!$A$2:$F$15,4,FALSE),VLOOKUP($A76,Spiele!$A$2:$F$15,3,FALSE)))</f>
        <v>TSV</v>
      </c>
      <c r="E76" s="18">
        <f>IF(Abschlüsse[[#This Row],[Ergeb]]="ET",0,COUNTIFS($A$2:$A76,$A76,$B$2:$B76,$B76,$L$2:$L76,"&lt;&gt;ET"))</f>
        <v>17</v>
      </c>
      <c r="F76" s="11">
        <v>65</v>
      </c>
      <c r="G76" s="12">
        <v>2</v>
      </c>
      <c r="H76" s="18">
        <f>COUNTIFS('Rote Karten'!$A$2:$A$4,$A76,'Rote Karten'!$D$2:$D$4,"&lt;&gt;"&amp;$B76,'Rote Karten'!$B$2:$B$4,"&lt;"&amp;$F76,'Rote Karten'!$C$2:$C$4,"&lt;="&amp;$G76)-COUNTIFS('Rote Karten'!$A$2:$A$4,$A76,'Rote Karten'!$D$2:$D$4,$B76,'Rote Karten'!$B$2:$B$4,"&lt;"&amp;$F76,'Rote Karten'!$C$2:$C$4,"&lt;="&amp;$G76)</f>
        <v>1</v>
      </c>
      <c r="I76" s="17" t="str">
        <f>IF(OR($L76="Tor",$L76="ET"),_xlfn.IFNA(IF(VLOOKUP($A76,Spiele!$A$2:$C$15,3,FALSE)=$B76,COUNTIFS($L$2:$L76,"Tor",$B$2:$B76,$B76,$A$2:$A76,$A76)+COUNTIFS($L$2:$L76,"ET",$B$2:$B76,$B76,$A$2:$A76,$A76)&amp;":"&amp;COUNTIFS($L$2:$L76,"Tor",$B$2:$B76,"&lt;&gt;"&amp;$B76,$A$2:$A76,$A76)+COUNTIFS($L$2:$L76,"ET",$B$2:$B76,"&lt;&gt;"&amp;$B76,$A$2:$A76,$A76),COUNTIFS($L$2:$L76,"Tor",$B$2:$B76,"&lt;&gt;"&amp;$B76,$A$2:$A76,$A76)+COUNTIFS($L$2:$L76,"ET",$B$2:$B76,"&lt;&gt;"&amp;$B76,$A$2:$A76,$A76)&amp;":"&amp;COUNTIFS($L$2:$L76,"Tor",$B$2:$B76,$B76,$A$2:$A76,$A76)+COUNTIFS($L$2:$L76,"ET",$B$2:$B76,$B76,$A$2:$A76,$A76)),""),"")</f>
        <v/>
      </c>
      <c r="J76" s="18">
        <f>_xlfn.IFNA(IF(VLOOKUP($A76,Spiele!$A$2:$D$15,3,FALSE)=$B76,(COUNTIFS($L$1:$L75,"Tor",$B$1:$B75,$B76,$A$1:$A75,$A76)+COUNTIFS($L$1:$L75,"ET",$B$1:$B75,$B76,$A$1:$A75,$A76))-(COUNTIFS($L$1:$L75,"Tor",$B$1:$B75,"&lt;&gt;"&amp;$B76,$A$1:$A75,$A76)+COUNTIFS($L$1:$L75,"ET",$B$1:$B75,"&lt;&gt;"&amp;$B76,$A$1:$A75,$A76)),(COUNTIFS($L$1:$L75,"Tor",$B$1:$B75,$B76,$A$1:$A75,$A76)+COUNTIFS($L$1:$L75,"ET",$B$1:$B75,$B76,$A$1:$A75,$A76))-(COUNTIFS($L$1:$L75,"Tor",$B$1:$B75,"&lt;&gt;"&amp;$B76,$A$1:$A75,$A76)+COUNTIFS($L$1:$L75,"ET",$B$1:$B75,"&lt;&gt;"&amp;$B76,$A$1:$A75,$A76))),"")</f>
        <v>3</v>
      </c>
      <c r="K76" s="3">
        <v>28</v>
      </c>
      <c r="L76" s="17" t="s">
        <v>19</v>
      </c>
      <c r="M76" s="2" t="s">
        <v>163</v>
      </c>
      <c r="N76" s="2" t="s">
        <v>3</v>
      </c>
      <c r="X76" s="2" t="s">
        <v>151</v>
      </c>
      <c r="Y76" s="17" t="s">
        <v>143</v>
      </c>
      <c r="Z76" s="14" t="s">
        <v>150</v>
      </c>
      <c r="AA76" s="14" t="s">
        <v>156</v>
      </c>
      <c r="AB76" s="18">
        <v>23</v>
      </c>
      <c r="AC76" s="13">
        <v>14</v>
      </c>
      <c r="AD76" s="13">
        <v>25</v>
      </c>
      <c r="AE76" s="19">
        <f t="shared" si="4"/>
        <v>27.053938715092855</v>
      </c>
      <c r="AF76" s="19">
        <f t="shared" si="5"/>
        <v>12.767396414108195</v>
      </c>
      <c r="AG76" s="2" t="s">
        <v>146</v>
      </c>
      <c r="AH76" s="13">
        <v>0.5</v>
      </c>
      <c r="AI76" s="13">
        <v>1.5</v>
      </c>
      <c r="AJ76" s="19">
        <f>IF(Abschlüsse[[#This Row],[Ergeb]]="ET","",SQRT(($AC76-$AH76)^2+($AD76-$AI76)^2))</f>
        <v>27.101660465735304</v>
      </c>
      <c r="AK76" s="3">
        <v>0</v>
      </c>
      <c r="AL76" s="13"/>
      <c r="AM76" s="13"/>
      <c r="AN76" s="19" t="str">
        <f t="shared" si="6"/>
        <v/>
      </c>
      <c r="AO76" s="3">
        <v>1</v>
      </c>
      <c r="AP76" s="13">
        <v>8.5</v>
      </c>
      <c r="AQ76" s="13">
        <v>14</v>
      </c>
      <c r="AR76" s="19">
        <f t="shared" si="7"/>
        <v>12.298373876248844</v>
      </c>
    </row>
    <row r="77" spans="1:44" ht="25.05" customHeight="1">
      <c r="A77" s="3">
        <v>3</v>
      </c>
      <c r="B77" s="2" t="s">
        <v>8</v>
      </c>
      <c r="C77" s="17" t="str">
        <f>IF($A77="","",IF(VLOOKUP($A77,Spiele!$A$2:$D$15,3,FALSE)=$B77,"H","G"))</f>
        <v>H</v>
      </c>
      <c r="D77" s="17" t="str">
        <f>IF($B77="","",IF(VLOOKUP($A77,Spiele!$A$2:$F$15,3,FALSE)=$B77,VLOOKUP($A77,Spiele!$A$2:$F$15,4,FALSE),VLOOKUP($A77,Spiele!$A$2:$F$15,3,FALSE)))</f>
        <v>TSV</v>
      </c>
      <c r="E77" s="18">
        <f>IF(Abschlüsse[[#This Row],[Ergeb]]="ET",0,COUNTIFS($A$2:$A77,$A77,$B$2:$B77,$B77,$L$2:$L77,"&lt;&gt;ET"))</f>
        <v>18</v>
      </c>
      <c r="F77" s="11">
        <v>66</v>
      </c>
      <c r="G77" s="12">
        <v>2</v>
      </c>
      <c r="H77" s="18">
        <f>COUNTIFS('Rote Karten'!$A$2:$A$4,$A77,'Rote Karten'!$D$2:$D$4,"&lt;&gt;"&amp;$B77,'Rote Karten'!$B$2:$B$4,"&lt;"&amp;$F77,'Rote Karten'!$C$2:$C$4,"&lt;="&amp;$G77)-COUNTIFS('Rote Karten'!$A$2:$A$4,$A77,'Rote Karten'!$D$2:$D$4,$B77,'Rote Karten'!$B$2:$B$4,"&lt;"&amp;$F77,'Rote Karten'!$C$2:$C$4,"&lt;="&amp;$G77)</f>
        <v>1</v>
      </c>
      <c r="I77" s="17" t="str">
        <f>IF(OR($L77="Tor",$L77="ET"),_xlfn.IFNA(IF(VLOOKUP($A77,Spiele!$A$2:$C$15,3,FALSE)=$B77,COUNTIFS($L$2:$L77,"Tor",$B$2:$B77,$B77,$A$2:$A77,$A77)+COUNTIFS($L$2:$L77,"ET",$B$2:$B77,$B77,$A$2:$A77,$A77)&amp;":"&amp;COUNTIFS($L$2:$L77,"Tor",$B$2:$B77,"&lt;&gt;"&amp;$B77,$A$2:$A77,$A77)+COUNTIFS($L$2:$L77,"ET",$B$2:$B77,"&lt;&gt;"&amp;$B77,$A$2:$A77,$A77),COUNTIFS($L$2:$L77,"Tor",$B$2:$B77,"&lt;&gt;"&amp;$B77,$A$2:$A77,$A77)+COUNTIFS($L$2:$L77,"ET",$B$2:$B77,"&lt;&gt;"&amp;$B77,$A$2:$A77,$A77)&amp;":"&amp;COUNTIFS($L$2:$L77,"Tor",$B$2:$B77,$B77,$A$2:$A77,$A77)+COUNTIFS($L$2:$L77,"ET",$B$2:$B77,$B77,$A$2:$A77,$A77)),""),"")</f>
        <v/>
      </c>
      <c r="J77" s="18">
        <f>_xlfn.IFNA(IF(VLOOKUP($A77,Spiele!$A$2:$D$15,3,FALSE)=$B77,(COUNTIFS($L$1:$L76,"Tor",$B$1:$B76,$B77,$A$1:$A76,$A77)+COUNTIFS($L$1:$L76,"ET",$B$1:$B76,$B77,$A$1:$A76,$A77))-(COUNTIFS($L$1:$L76,"Tor",$B$1:$B76,"&lt;&gt;"&amp;$B77,$A$1:$A76,$A77)+COUNTIFS($L$1:$L76,"ET",$B$1:$B76,"&lt;&gt;"&amp;$B77,$A$1:$A76,$A77)),(COUNTIFS($L$1:$L76,"Tor",$B$1:$B76,$B77,$A$1:$A76,$A77)+COUNTIFS($L$1:$L76,"ET",$B$1:$B76,$B77,$A$1:$A76,$A77))-(COUNTIFS($L$1:$L76,"Tor",$B$1:$B76,"&lt;&gt;"&amp;$B77,$A$1:$A76,$A77)+COUNTIFS($L$1:$L76,"ET",$B$1:$B76,"&lt;&gt;"&amp;$B77,$A$1:$A76,$A77))),"")</f>
        <v>3</v>
      </c>
      <c r="K77" s="3">
        <v>29</v>
      </c>
      <c r="L77" s="17" t="s">
        <v>19</v>
      </c>
      <c r="M77" s="2" t="s">
        <v>163</v>
      </c>
      <c r="N77" s="2" t="s">
        <v>178</v>
      </c>
      <c r="O77" s="2">
        <v>10</v>
      </c>
      <c r="P77" s="2">
        <v>7</v>
      </c>
      <c r="Q77" s="2">
        <v>20</v>
      </c>
      <c r="R77" s="2">
        <v>19</v>
      </c>
      <c r="S77" s="2">
        <v>16</v>
      </c>
      <c r="X77" s="2" t="s">
        <v>142</v>
      </c>
      <c r="Y77" s="17" t="s">
        <v>149</v>
      </c>
      <c r="Z77" s="14" t="s">
        <v>150</v>
      </c>
      <c r="AA77" s="14" t="s">
        <v>156</v>
      </c>
      <c r="AB77" s="18">
        <v>9</v>
      </c>
      <c r="AC77" s="13">
        <v>-8.5</v>
      </c>
      <c r="AD77" s="13">
        <v>12.5</v>
      </c>
      <c r="AE77" s="19">
        <f t="shared" si="4"/>
        <v>13.404312738816564</v>
      </c>
      <c r="AF77" s="19">
        <f t="shared" si="5"/>
        <v>23.043680614333791</v>
      </c>
      <c r="AG77" s="2" t="s">
        <v>146</v>
      </c>
      <c r="AH77" s="13">
        <v>-3.5</v>
      </c>
      <c r="AI77" s="13">
        <v>2.5</v>
      </c>
      <c r="AJ77" s="19">
        <f>IF(Abschlüsse[[#This Row],[Ergeb]]="ET","",SQRT(($AC77-$AH77)^2+($AD77-$AI77)^2))</f>
        <v>11.180339887498949</v>
      </c>
      <c r="AK77" s="3">
        <v>1</v>
      </c>
      <c r="AL77" s="13">
        <v>-9</v>
      </c>
      <c r="AM77" s="13">
        <v>9</v>
      </c>
      <c r="AN77" s="19">
        <f t="shared" si="6"/>
        <v>3.5355339059327378</v>
      </c>
      <c r="AO77" s="3">
        <v>1</v>
      </c>
      <c r="AP77" s="13">
        <v>-6.5</v>
      </c>
      <c r="AQ77" s="13">
        <v>4.5</v>
      </c>
      <c r="AR77" s="19">
        <f t="shared" si="7"/>
        <v>8.2462112512353212</v>
      </c>
    </row>
    <row r="78" spans="1:44" ht="25.05" customHeight="1">
      <c r="A78" s="3">
        <v>3</v>
      </c>
      <c r="B78" s="2" t="s">
        <v>8</v>
      </c>
      <c r="C78" s="17" t="str">
        <f>IF($A78="","",IF(VLOOKUP($A78,Spiele!$A$2:$D$15,3,FALSE)=$B78,"H","G"))</f>
        <v>H</v>
      </c>
      <c r="D78" s="17" t="str">
        <f>IF($B78="","",IF(VLOOKUP($A78,Spiele!$A$2:$F$15,3,FALSE)=$B78,VLOOKUP($A78,Spiele!$A$2:$F$15,4,FALSE),VLOOKUP($A78,Spiele!$A$2:$F$15,3,FALSE)))</f>
        <v>TSV</v>
      </c>
      <c r="E78" s="18">
        <f>IF(Abschlüsse[[#This Row],[Ergeb]]="ET",0,COUNTIFS($A$2:$A78,$A78,$B$2:$B78,$B78,$L$2:$L78,"&lt;&gt;ET"))</f>
        <v>19</v>
      </c>
      <c r="F78" s="11">
        <v>68</v>
      </c>
      <c r="G78" s="12">
        <v>2</v>
      </c>
      <c r="H78" s="18">
        <f>COUNTIFS('Rote Karten'!$A$2:$A$4,$A78,'Rote Karten'!$D$2:$D$4,"&lt;&gt;"&amp;$B78,'Rote Karten'!$B$2:$B$4,"&lt;"&amp;$F78,'Rote Karten'!$C$2:$C$4,"&lt;="&amp;$G78)-COUNTIFS('Rote Karten'!$A$2:$A$4,$A78,'Rote Karten'!$D$2:$D$4,$B78,'Rote Karten'!$B$2:$B$4,"&lt;"&amp;$F78,'Rote Karten'!$C$2:$C$4,"&lt;="&amp;$G78)</f>
        <v>1</v>
      </c>
      <c r="I78" s="17" t="str">
        <f>IF(OR($L78="Tor",$L78="ET"),_xlfn.IFNA(IF(VLOOKUP($A78,Spiele!$A$2:$C$15,3,FALSE)=$B78,COUNTIFS($L$2:$L78,"Tor",$B$2:$B78,$B78,$A$2:$A78,$A78)+COUNTIFS($L$2:$L78,"ET",$B$2:$B78,$B78,$A$2:$A78,$A78)&amp;":"&amp;COUNTIFS($L$2:$L78,"Tor",$B$2:$B78,"&lt;&gt;"&amp;$B78,$A$2:$A78,$A78)+COUNTIFS($L$2:$L78,"ET",$B$2:$B78,"&lt;&gt;"&amp;$B78,$A$2:$A78,$A78),COUNTIFS($L$2:$L78,"Tor",$B$2:$B78,"&lt;&gt;"&amp;$B78,$A$2:$A78,$A78)+COUNTIFS($L$2:$L78,"ET",$B$2:$B78,"&lt;&gt;"&amp;$B78,$A$2:$A78,$A78)&amp;":"&amp;COUNTIFS($L$2:$L78,"Tor",$B$2:$B78,$B78,$A$2:$A78,$A78)+COUNTIFS($L$2:$L78,"ET",$B$2:$B78,$B78,$A$2:$A78,$A78)),""),"")</f>
        <v/>
      </c>
      <c r="J78" s="18">
        <f>_xlfn.IFNA(IF(VLOOKUP($A78,Spiele!$A$2:$D$15,3,FALSE)=$B78,(COUNTIFS($L$1:$L77,"Tor",$B$1:$B77,$B78,$A$1:$A77,$A78)+COUNTIFS($L$1:$L77,"ET",$B$1:$B77,$B78,$A$1:$A77,$A78))-(COUNTIFS($L$1:$L77,"Tor",$B$1:$B77,"&lt;&gt;"&amp;$B78,$A$1:$A77,$A78)+COUNTIFS($L$1:$L77,"ET",$B$1:$B77,"&lt;&gt;"&amp;$B78,$A$1:$A77,$A78)),(COUNTIFS($L$1:$L77,"Tor",$B$1:$B77,$B78,$A$1:$A77,$A78)+COUNTIFS($L$1:$L77,"ET",$B$1:$B77,$B78,$A$1:$A77,$A78))-(COUNTIFS($L$1:$L77,"Tor",$B$1:$B77,"&lt;&gt;"&amp;$B78,$A$1:$A77,$A78)+COUNTIFS($L$1:$L77,"ET",$B$1:$B77,"&lt;&gt;"&amp;$B78,$A$1:$A77,$A78))),"")</f>
        <v>3</v>
      </c>
      <c r="K78" s="3">
        <v>30</v>
      </c>
      <c r="L78" s="17" t="s">
        <v>18</v>
      </c>
      <c r="M78" s="2" t="s">
        <v>163</v>
      </c>
      <c r="N78" s="2" t="s">
        <v>158</v>
      </c>
      <c r="O78" s="2">
        <v>10</v>
      </c>
      <c r="X78" s="2" t="s">
        <v>151</v>
      </c>
      <c r="Y78" s="17" t="s">
        <v>149</v>
      </c>
      <c r="Z78" s="14" t="s">
        <v>150</v>
      </c>
      <c r="AA78" s="14" t="s">
        <v>145</v>
      </c>
      <c r="AB78" s="18">
        <v>7</v>
      </c>
      <c r="AC78" s="13">
        <v>-8</v>
      </c>
      <c r="AD78" s="13">
        <v>12.5</v>
      </c>
      <c r="AE78" s="19">
        <f t="shared" si="4"/>
        <v>13.231991535668394</v>
      </c>
      <c r="AF78" s="19">
        <f t="shared" si="5"/>
        <v>23.861729104609417</v>
      </c>
      <c r="AG78" s="2" t="s">
        <v>146</v>
      </c>
      <c r="AH78" s="13">
        <v>-4</v>
      </c>
      <c r="AI78" s="13">
        <v>5</v>
      </c>
      <c r="AJ78" s="19">
        <f>IF(Abschlüsse[[#This Row],[Ergeb]]="ET","",SQRT(($AC78-$AH78)^2+($AD78-$AI78)^2))</f>
        <v>8.5</v>
      </c>
      <c r="AK78" s="3">
        <v>2</v>
      </c>
      <c r="AL78" s="13">
        <v>-7</v>
      </c>
      <c r="AM78" s="13">
        <v>12.5</v>
      </c>
      <c r="AN78" s="19">
        <f t="shared" si="6"/>
        <v>1</v>
      </c>
      <c r="AO78" s="3">
        <v>0</v>
      </c>
      <c r="AR78" s="19" t="str">
        <f t="shared" si="7"/>
        <v/>
      </c>
    </row>
    <row r="79" spans="1:44" ht="25.05" customHeight="1">
      <c r="A79" s="3">
        <v>3</v>
      </c>
      <c r="B79" s="2" t="s">
        <v>8</v>
      </c>
      <c r="C79" s="17" t="str">
        <f>IF($A79="","",IF(VLOOKUP($A79,Spiele!$A$2:$D$15,3,FALSE)=$B79,"H","G"))</f>
        <v>H</v>
      </c>
      <c r="D79" s="17" t="str">
        <f>IF($B79="","",IF(VLOOKUP($A79,Spiele!$A$2:$F$15,3,FALSE)=$B79,VLOOKUP($A79,Spiele!$A$2:$F$15,4,FALSE),VLOOKUP($A79,Spiele!$A$2:$F$15,3,FALSE)))</f>
        <v>TSV</v>
      </c>
      <c r="E79" s="18">
        <f>IF(Abschlüsse[[#This Row],[Ergeb]]="ET",0,COUNTIFS($A$2:$A79,$A79,$B$2:$B79,$B79,$L$2:$L79,"&lt;&gt;ET"))</f>
        <v>20</v>
      </c>
      <c r="F79" s="11">
        <v>69</v>
      </c>
      <c r="G79" s="12">
        <v>2</v>
      </c>
      <c r="H79" s="18">
        <f>COUNTIFS('Rote Karten'!$A$2:$A$4,$A79,'Rote Karten'!$D$2:$D$4,"&lt;&gt;"&amp;$B79,'Rote Karten'!$B$2:$B$4,"&lt;"&amp;$F79,'Rote Karten'!$C$2:$C$4,"&lt;="&amp;$G79)-COUNTIFS('Rote Karten'!$A$2:$A$4,$A79,'Rote Karten'!$D$2:$D$4,$B79,'Rote Karten'!$B$2:$B$4,"&lt;"&amp;$F79,'Rote Karten'!$C$2:$C$4,"&lt;="&amp;$G79)</f>
        <v>1</v>
      </c>
      <c r="I79" s="17" t="str">
        <f>IF(OR($L79="Tor",$L79="ET"),_xlfn.IFNA(IF(VLOOKUP($A79,Spiele!$A$2:$C$15,3,FALSE)=$B79,COUNTIFS($L$2:$L79,"Tor",$B$2:$B79,$B79,$A$2:$A79,$A79)+COUNTIFS($L$2:$L79,"ET",$B$2:$B79,$B79,$A$2:$A79,$A79)&amp;":"&amp;COUNTIFS($L$2:$L79,"Tor",$B$2:$B79,"&lt;&gt;"&amp;$B79,$A$2:$A79,$A79)+COUNTIFS($L$2:$L79,"ET",$B$2:$B79,"&lt;&gt;"&amp;$B79,$A$2:$A79,$A79),COUNTIFS($L$2:$L79,"Tor",$B$2:$B79,"&lt;&gt;"&amp;$B79,$A$2:$A79,$A79)+COUNTIFS($L$2:$L79,"ET",$B$2:$B79,"&lt;&gt;"&amp;$B79,$A$2:$A79,$A79)&amp;":"&amp;COUNTIFS($L$2:$L79,"Tor",$B$2:$B79,$B79,$A$2:$A79,$A79)+COUNTIFS($L$2:$L79,"ET",$B$2:$B79,$B79,$A$2:$A79,$A79)),""),"")</f>
        <v/>
      </c>
      <c r="J79" s="18">
        <f>_xlfn.IFNA(IF(VLOOKUP($A79,Spiele!$A$2:$D$15,3,FALSE)=$B79,(COUNTIFS($L$1:$L78,"Tor",$B$1:$B78,$B79,$A$1:$A78,$A79)+COUNTIFS($L$1:$L78,"ET",$B$1:$B78,$B79,$A$1:$A78,$A79))-(COUNTIFS($L$1:$L78,"Tor",$B$1:$B78,"&lt;&gt;"&amp;$B79,$A$1:$A78,$A79)+COUNTIFS($L$1:$L78,"ET",$B$1:$B78,"&lt;&gt;"&amp;$B79,$A$1:$A78,$A79)),(COUNTIFS($L$1:$L78,"Tor",$B$1:$B78,$B79,$A$1:$A78,$A79)+COUNTIFS($L$1:$L78,"ET",$B$1:$B78,$B79,$A$1:$A78,$A79))-(COUNTIFS($L$1:$L78,"Tor",$B$1:$B78,"&lt;&gt;"&amp;$B79,$A$1:$A78,$A79)+COUNTIFS($L$1:$L78,"ET",$B$1:$B78,"&lt;&gt;"&amp;$B79,$A$1:$A78,$A79))),"")</f>
        <v>3</v>
      </c>
      <c r="K79" s="3">
        <v>31</v>
      </c>
      <c r="L79" s="17" t="s">
        <v>19</v>
      </c>
      <c r="M79" s="2" t="s">
        <v>168</v>
      </c>
      <c r="N79" s="2" t="s">
        <v>158</v>
      </c>
      <c r="O79" s="2">
        <v>18</v>
      </c>
      <c r="X79" s="2" t="s">
        <v>142</v>
      </c>
      <c r="Y79" s="17" t="s">
        <v>143</v>
      </c>
      <c r="Z79" s="14" t="s">
        <v>150</v>
      </c>
      <c r="AA79" s="14" t="s">
        <v>156</v>
      </c>
      <c r="AB79" s="18">
        <v>7</v>
      </c>
      <c r="AC79" s="13">
        <v>-14</v>
      </c>
      <c r="AD79" s="13">
        <v>20</v>
      </c>
      <c r="AE79" s="19">
        <f t="shared" si="4"/>
        <v>22.514786252594092</v>
      </c>
      <c r="AF79" s="19">
        <f t="shared" si="5"/>
        <v>14.10554011432513</v>
      </c>
      <c r="AG79" s="2" t="s">
        <v>146</v>
      </c>
      <c r="AH79" s="13">
        <v>-1</v>
      </c>
      <c r="AI79" s="13">
        <v>1.5</v>
      </c>
      <c r="AJ79" s="19">
        <f>IF(Abschlüsse[[#This Row],[Ergeb]]="ET","",SQRT(($AC79-$AH79)^2+($AD79-$AI79)^2))</f>
        <v>22.610838109190027</v>
      </c>
      <c r="AK79" s="3">
        <v>0</v>
      </c>
      <c r="AL79" s="13"/>
      <c r="AM79" s="13"/>
      <c r="AN79" s="19" t="str">
        <f t="shared" si="6"/>
        <v/>
      </c>
      <c r="AO79" s="3">
        <v>1</v>
      </c>
      <c r="AP79" s="13">
        <v>-13</v>
      </c>
      <c r="AQ79" s="13">
        <v>18</v>
      </c>
      <c r="AR79" s="19">
        <f t="shared" si="7"/>
        <v>2.2360679774997898</v>
      </c>
    </row>
    <row r="80" spans="1:44" ht="25.05" customHeight="1">
      <c r="A80" s="3">
        <v>3</v>
      </c>
      <c r="B80" s="2" t="s">
        <v>8</v>
      </c>
      <c r="C80" s="17" t="str">
        <f>IF($A80="","",IF(VLOOKUP($A80,Spiele!$A$2:$D$15,3,FALSE)=$B80,"H","G"))</f>
        <v>H</v>
      </c>
      <c r="D80" s="17" t="str">
        <f>IF($B80="","",IF(VLOOKUP($A80,Spiele!$A$2:$F$15,3,FALSE)=$B80,VLOOKUP($A80,Spiele!$A$2:$F$15,4,FALSE),VLOOKUP($A80,Spiele!$A$2:$F$15,3,FALSE)))</f>
        <v>TSV</v>
      </c>
      <c r="E80" s="18">
        <f>IF(Abschlüsse[[#This Row],[Ergeb]]="ET",0,COUNTIFS($A$2:$A80,$A80,$B$2:$B80,$B80,$L$2:$L80,"&lt;&gt;ET"))</f>
        <v>21</v>
      </c>
      <c r="F80" s="11">
        <v>70</v>
      </c>
      <c r="G80" s="12">
        <v>2</v>
      </c>
      <c r="H80" s="18">
        <f>COUNTIFS('Rote Karten'!$A$2:$A$4,$A80,'Rote Karten'!$D$2:$D$4,"&lt;&gt;"&amp;$B80,'Rote Karten'!$B$2:$B$4,"&lt;"&amp;$F80,'Rote Karten'!$C$2:$C$4,"&lt;="&amp;$G80)-COUNTIFS('Rote Karten'!$A$2:$A$4,$A80,'Rote Karten'!$D$2:$D$4,$B80,'Rote Karten'!$B$2:$B$4,"&lt;"&amp;$F80,'Rote Karten'!$C$2:$C$4,"&lt;="&amp;$G80)</f>
        <v>1</v>
      </c>
      <c r="I80" s="17" t="str">
        <f>IF(OR($L80="Tor",$L80="ET"),_xlfn.IFNA(IF(VLOOKUP($A80,Spiele!$A$2:$C$15,3,FALSE)=$B80,COUNTIFS($L$2:$L80,"Tor",$B$2:$B80,$B80,$A$2:$A80,$A80)+COUNTIFS($L$2:$L80,"ET",$B$2:$B80,$B80,$A$2:$A80,$A80)&amp;":"&amp;COUNTIFS($L$2:$L80,"Tor",$B$2:$B80,"&lt;&gt;"&amp;$B80,$A$2:$A80,$A80)+COUNTIFS($L$2:$L80,"ET",$B$2:$B80,"&lt;&gt;"&amp;$B80,$A$2:$A80,$A80),COUNTIFS($L$2:$L80,"Tor",$B$2:$B80,"&lt;&gt;"&amp;$B80,$A$2:$A80,$A80)+COUNTIFS($L$2:$L80,"ET",$B$2:$B80,"&lt;&gt;"&amp;$B80,$A$2:$A80,$A80)&amp;":"&amp;COUNTIFS($L$2:$L80,"Tor",$B$2:$B80,$B80,$A$2:$A80,$A80)+COUNTIFS($L$2:$L80,"ET",$B$2:$B80,$B80,$A$2:$A80,$A80)),""),"")</f>
        <v/>
      </c>
      <c r="J80" s="18">
        <f>_xlfn.IFNA(IF(VLOOKUP($A80,Spiele!$A$2:$D$15,3,FALSE)=$B80,(COUNTIFS($L$1:$L79,"Tor",$B$1:$B79,$B80,$A$1:$A79,$A80)+COUNTIFS($L$1:$L79,"ET",$B$1:$B79,$B80,$A$1:$A79,$A80))-(COUNTIFS($L$1:$L79,"Tor",$B$1:$B79,"&lt;&gt;"&amp;$B80,$A$1:$A79,$A80)+COUNTIFS($L$1:$L79,"ET",$B$1:$B79,"&lt;&gt;"&amp;$B80,$A$1:$A79,$A80)),(COUNTIFS($L$1:$L79,"Tor",$B$1:$B79,$B80,$A$1:$A79,$A80)+COUNTIFS($L$1:$L79,"ET",$B$1:$B79,$B80,$A$1:$A79,$A80))-(COUNTIFS($L$1:$L79,"Tor",$B$1:$B79,"&lt;&gt;"&amp;$B80,$A$1:$A79,$A80)+COUNTIFS($L$1:$L79,"ET",$B$1:$B79,"&lt;&gt;"&amp;$B80,$A$1:$A79,$A80))),"")</f>
        <v>3</v>
      </c>
      <c r="K80" s="3">
        <v>32</v>
      </c>
      <c r="L80" s="17" t="s">
        <v>18</v>
      </c>
      <c r="M80" s="2" t="s">
        <v>147</v>
      </c>
      <c r="N80" s="2" t="s">
        <v>148</v>
      </c>
      <c r="O80" s="2">
        <v>20</v>
      </c>
      <c r="P80" s="2">
        <v>16</v>
      </c>
      <c r="Q80" s="2">
        <v>23</v>
      </c>
      <c r="R80" s="2">
        <v>19</v>
      </c>
      <c r="S80" s="2">
        <v>26</v>
      </c>
      <c r="T80" s="2">
        <v>21</v>
      </c>
      <c r="U80" s="2">
        <v>10</v>
      </c>
      <c r="X80" s="2" t="s">
        <v>142</v>
      </c>
      <c r="Y80" s="17" t="s">
        <v>149</v>
      </c>
      <c r="Z80" s="14" t="s">
        <v>150</v>
      </c>
      <c r="AA80" s="14" t="s">
        <v>156</v>
      </c>
      <c r="AB80" s="18">
        <v>25</v>
      </c>
      <c r="AC80" s="13">
        <v>-12.5</v>
      </c>
      <c r="AD80" s="13">
        <v>7.5</v>
      </c>
      <c r="AE80" s="19">
        <f t="shared" si="4"/>
        <v>11.592911627369546</v>
      </c>
      <c r="AF80" s="19">
        <f t="shared" si="5"/>
        <v>15.415381612664262</v>
      </c>
      <c r="AG80" s="2" t="s">
        <v>146</v>
      </c>
      <c r="AH80" s="13">
        <v>-3.5</v>
      </c>
      <c r="AI80" s="13">
        <v>1.5</v>
      </c>
      <c r="AJ80" s="19">
        <f>IF(Abschlüsse[[#This Row],[Ergeb]]="ET","",SQRT(($AC80-$AH80)^2+($AD80-$AI80)^2))</f>
        <v>10.816653826391969</v>
      </c>
      <c r="AK80" s="3">
        <v>2</v>
      </c>
      <c r="AL80" s="13">
        <v>-10.5</v>
      </c>
      <c r="AM80" s="13">
        <v>8</v>
      </c>
      <c r="AN80" s="19">
        <f t="shared" si="6"/>
        <v>2.0615528128088303</v>
      </c>
      <c r="AO80" s="3">
        <v>0</v>
      </c>
      <c r="AR80" s="19" t="str">
        <f t="shared" si="7"/>
        <v/>
      </c>
    </row>
    <row r="81" spans="1:44" ht="25.05" customHeight="1">
      <c r="A81" s="3">
        <v>3</v>
      </c>
      <c r="B81" s="2" t="s">
        <v>8</v>
      </c>
      <c r="C81" s="17" t="str">
        <f>IF($A81="","",IF(VLOOKUP($A81,Spiele!$A$2:$D$15,3,FALSE)=$B81,"H","G"))</f>
        <v>H</v>
      </c>
      <c r="D81" s="17" t="str">
        <f>IF($B81="","",IF(VLOOKUP($A81,Spiele!$A$2:$F$15,3,FALSE)=$B81,VLOOKUP($A81,Spiele!$A$2:$F$15,4,FALSE),VLOOKUP($A81,Spiele!$A$2:$F$15,3,FALSE)))</f>
        <v>TSV</v>
      </c>
      <c r="E81" s="18">
        <f>IF(Abschlüsse[[#This Row],[Ergeb]]="ET",0,COUNTIFS($A$2:$A81,$A81,$B$2:$B81,$B81,$L$2:$L81,"&lt;&gt;ET"))</f>
        <v>22</v>
      </c>
      <c r="F81" s="11">
        <v>70</v>
      </c>
      <c r="G81" s="12">
        <v>2</v>
      </c>
      <c r="H81" s="18">
        <f>COUNTIFS('Rote Karten'!$A$2:$A$4,$A81,'Rote Karten'!$D$2:$D$4,"&lt;&gt;"&amp;$B81,'Rote Karten'!$B$2:$B$4,"&lt;"&amp;$F81,'Rote Karten'!$C$2:$C$4,"&lt;="&amp;$G81)-COUNTIFS('Rote Karten'!$A$2:$A$4,$A81,'Rote Karten'!$D$2:$D$4,$B81,'Rote Karten'!$B$2:$B$4,"&lt;"&amp;$F81,'Rote Karten'!$C$2:$C$4,"&lt;="&amp;$G81)</f>
        <v>1</v>
      </c>
      <c r="I81" s="17" t="str">
        <f>IF(OR($L81="Tor",$L81="ET"),_xlfn.IFNA(IF(VLOOKUP($A81,Spiele!$A$2:$C$15,3,FALSE)=$B81,COUNTIFS($L$2:$L81,"Tor",$B$2:$B81,$B81,$A$2:$A81,$A81)+COUNTIFS($L$2:$L81,"ET",$B$2:$B81,$B81,$A$2:$A81,$A81)&amp;":"&amp;COUNTIFS($L$2:$L81,"Tor",$B$2:$B81,"&lt;&gt;"&amp;$B81,$A$2:$A81,$A81)+COUNTIFS($L$2:$L81,"ET",$B$2:$B81,"&lt;&gt;"&amp;$B81,$A$2:$A81,$A81),COUNTIFS($L$2:$L81,"Tor",$B$2:$B81,"&lt;&gt;"&amp;$B81,$A$2:$A81,$A81)+COUNTIFS($L$2:$L81,"ET",$B$2:$B81,"&lt;&gt;"&amp;$B81,$A$2:$A81,$A81)&amp;":"&amp;COUNTIFS($L$2:$L81,"Tor",$B$2:$B81,$B81,$A$2:$A81,$A81)+COUNTIFS($L$2:$L81,"ET",$B$2:$B81,$B81,$A$2:$A81,$A81)),""),"")</f>
        <v/>
      </c>
      <c r="J81" s="18">
        <f>_xlfn.IFNA(IF(VLOOKUP($A81,Spiele!$A$2:$D$15,3,FALSE)=$B81,(COUNTIFS($L$1:$L80,"Tor",$B$1:$B80,$B81,$A$1:$A80,$A81)+COUNTIFS($L$1:$L80,"ET",$B$1:$B80,$B81,$A$1:$A80,$A81))-(COUNTIFS($L$1:$L80,"Tor",$B$1:$B80,"&lt;&gt;"&amp;$B81,$A$1:$A80,$A81)+COUNTIFS($L$1:$L80,"ET",$B$1:$B80,"&lt;&gt;"&amp;$B81,$A$1:$A80,$A81)),(COUNTIFS($L$1:$L80,"Tor",$B$1:$B80,$B81,$A$1:$A80,$A81)+COUNTIFS($L$1:$L80,"ET",$B$1:$B80,$B81,$A$1:$A80,$A81))-(COUNTIFS($L$1:$L80,"Tor",$B$1:$B80,"&lt;&gt;"&amp;$B81,$A$1:$A80,$A81)+COUNTIFS($L$1:$L80,"ET",$B$1:$B80,"&lt;&gt;"&amp;$B81,$A$1:$A80,$A81))),"")</f>
        <v>3</v>
      </c>
      <c r="K81" s="3">
        <v>33</v>
      </c>
      <c r="L81" s="17" t="s">
        <v>19</v>
      </c>
      <c r="M81" s="2" t="s">
        <v>147</v>
      </c>
      <c r="N81" s="2" t="s">
        <v>152</v>
      </c>
      <c r="O81" s="2">
        <v>10</v>
      </c>
      <c r="P81" s="2">
        <v>18</v>
      </c>
      <c r="Q81" s="2">
        <v>19</v>
      </c>
      <c r="R81" s="2">
        <v>16</v>
      </c>
      <c r="S81" s="2">
        <v>23</v>
      </c>
      <c r="T81" s="2">
        <v>21</v>
      </c>
      <c r="U81" s="2">
        <v>20</v>
      </c>
      <c r="X81" s="2" t="s">
        <v>142</v>
      </c>
      <c r="Y81" s="17" t="s">
        <v>143</v>
      </c>
      <c r="Z81" s="14" t="s">
        <v>150</v>
      </c>
      <c r="AA81" s="14" t="s">
        <v>156</v>
      </c>
      <c r="AB81" s="18">
        <v>25</v>
      </c>
      <c r="AC81" s="13">
        <v>9.5</v>
      </c>
      <c r="AD81" s="13">
        <v>11</v>
      </c>
      <c r="AE81" s="19">
        <f t="shared" si="4"/>
        <v>12.45413987395356</v>
      </c>
      <c r="AF81" s="19">
        <f t="shared" si="5"/>
        <v>22.144648496710037</v>
      </c>
      <c r="AG81" s="2" t="s">
        <v>146</v>
      </c>
      <c r="AH81" s="13">
        <v>3</v>
      </c>
      <c r="AI81" s="13">
        <v>3.5</v>
      </c>
      <c r="AJ81" s="19">
        <f>IF(Abschlüsse[[#This Row],[Ergeb]]="ET","",SQRT(($AC81-$AH81)^2+($AD81-$AI81)^2))</f>
        <v>9.9247166206396038</v>
      </c>
      <c r="AK81" s="3">
        <v>2</v>
      </c>
      <c r="AL81" s="13">
        <v>7</v>
      </c>
      <c r="AM81" s="13">
        <v>11</v>
      </c>
      <c r="AN81" s="19">
        <f t="shared" si="6"/>
        <v>2.5</v>
      </c>
      <c r="AO81" s="3">
        <v>0</v>
      </c>
      <c r="AR81" s="19" t="str">
        <f t="shared" si="7"/>
        <v/>
      </c>
    </row>
    <row r="82" spans="1:44" ht="25.05" customHeight="1">
      <c r="A82" s="3">
        <v>3</v>
      </c>
      <c r="B82" s="2" t="s">
        <v>8</v>
      </c>
      <c r="C82" s="17" t="str">
        <f>IF($A82="","",IF(VLOOKUP($A82,Spiele!$A$2:$D$15,3,FALSE)=$B82,"H","G"))</f>
        <v>H</v>
      </c>
      <c r="D82" s="17" t="str">
        <f>IF($B82="","",IF(VLOOKUP($A82,Spiele!$A$2:$F$15,3,FALSE)=$B82,VLOOKUP($A82,Spiele!$A$2:$F$15,4,FALSE),VLOOKUP($A82,Spiele!$A$2:$F$15,3,FALSE)))</f>
        <v>TSV</v>
      </c>
      <c r="E82" s="18">
        <f>IF(Abschlüsse[[#This Row],[Ergeb]]="ET",0,COUNTIFS($A$2:$A82,$A82,$B$2:$B82,$B82,$L$2:$L82,"&lt;&gt;ET"))</f>
        <v>23</v>
      </c>
      <c r="F82" s="11">
        <v>78</v>
      </c>
      <c r="G82" s="12">
        <v>2</v>
      </c>
      <c r="H82" s="18">
        <f>COUNTIFS('Rote Karten'!$A$2:$A$4,$A82,'Rote Karten'!$D$2:$D$4,"&lt;&gt;"&amp;$B82,'Rote Karten'!$B$2:$B$4,"&lt;"&amp;$F82,'Rote Karten'!$C$2:$C$4,"&lt;="&amp;$G82)-COUNTIFS('Rote Karten'!$A$2:$A$4,$A82,'Rote Karten'!$D$2:$D$4,$B82,'Rote Karten'!$B$2:$B$4,"&lt;"&amp;$F82,'Rote Karten'!$C$2:$C$4,"&lt;="&amp;$G82)</f>
        <v>1</v>
      </c>
      <c r="I82" s="17" t="str">
        <f>IF(OR($L82="Tor",$L82="ET"),_xlfn.IFNA(IF(VLOOKUP($A82,Spiele!$A$2:$C$15,3,FALSE)=$B82,COUNTIFS($L$2:$L82,"Tor",$B$2:$B82,$B82,$A$2:$A82,$A82)+COUNTIFS($L$2:$L82,"ET",$B$2:$B82,$B82,$A$2:$A82,$A82)&amp;":"&amp;COUNTIFS($L$2:$L82,"Tor",$B$2:$B82,"&lt;&gt;"&amp;$B82,$A$2:$A82,$A82)+COUNTIFS($L$2:$L82,"ET",$B$2:$B82,"&lt;&gt;"&amp;$B82,$A$2:$A82,$A82),COUNTIFS($L$2:$L82,"Tor",$B$2:$B82,"&lt;&gt;"&amp;$B82,$A$2:$A82,$A82)+COUNTIFS($L$2:$L82,"ET",$B$2:$B82,"&lt;&gt;"&amp;$B82,$A$2:$A82,$A82)&amp;":"&amp;COUNTIFS($L$2:$L82,"Tor",$B$2:$B82,$B82,$A$2:$A82,$A82)+COUNTIFS($L$2:$L82,"ET",$B$2:$B82,$B82,$A$2:$A82,$A82)),""),"")</f>
        <v/>
      </c>
      <c r="J82" s="18">
        <f>_xlfn.IFNA(IF(VLOOKUP($A82,Spiele!$A$2:$D$15,3,FALSE)=$B82,(COUNTIFS($L$1:$L81,"Tor",$B$1:$B81,$B82,$A$1:$A81,$A82)+COUNTIFS($L$1:$L81,"ET",$B$1:$B81,$B82,$A$1:$A81,$A82))-(COUNTIFS($L$1:$L81,"Tor",$B$1:$B81,"&lt;&gt;"&amp;$B82,$A$1:$A81,$A82)+COUNTIFS($L$1:$L81,"ET",$B$1:$B81,"&lt;&gt;"&amp;$B82,$A$1:$A81,$A82)),(COUNTIFS($L$1:$L81,"Tor",$B$1:$B81,$B82,$A$1:$A81,$A82)+COUNTIFS($L$1:$L81,"ET",$B$1:$B81,$B82,$A$1:$A81,$A82))-(COUNTIFS($L$1:$L81,"Tor",$B$1:$B81,"&lt;&gt;"&amp;$B82,$A$1:$A81,$A82)+COUNTIFS($L$1:$L81,"ET",$B$1:$B81,"&lt;&gt;"&amp;$B82,$A$1:$A81,$A82))),"")</f>
        <v>3</v>
      </c>
      <c r="K82" s="3">
        <v>34</v>
      </c>
      <c r="L82" s="17" t="s">
        <v>18</v>
      </c>
      <c r="M82" s="2" t="s">
        <v>163</v>
      </c>
      <c r="N82" s="2" t="s">
        <v>153</v>
      </c>
      <c r="O82" s="2">
        <v>11</v>
      </c>
      <c r="P82" s="2">
        <v>10</v>
      </c>
      <c r="Q82" s="2">
        <v>19</v>
      </c>
      <c r="X82" s="2" t="s">
        <v>154</v>
      </c>
      <c r="Y82" s="17" t="s">
        <v>160</v>
      </c>
      <c r="Z82" s="14" t="s">
        <v>161</v>
      </c>
      <c r="AA82" s="14" t="s">
        <v>145</v>
      </c>
      <c r="AB82" s="18">
        <v>7</v>
      </c>
      <c r="AC82" s="13">
        <v>-2.5</v>
      </c>
      <c r="AD82" s="13">
        <v>5.5</v>
      </c>
      <c r="AE82" s="19">
        <f t="shared" si="4"/>
        <v>5.5</v>
      </c>
      <c r="AF82" s="19">
        <f t="shared" si="5"/>
        <v>60.149357337726705</v>
      </c>
      <c r="AG82" s="2" t="s">
        <v>146</v>
      </c>
      <c r="AH82" s="13">
        <v>-0.5</v>
      </c>
      <c r="AI82" s="13">
        <v>1</v>
      </c>
      <c r="AJ82" s="19">
        <f>IF(Abschlüsse[[#This Row],[Ergeb]]="ET","",SQRT(($AC82-$AH82)^2+($AD82-$AI82)^2))</f>
        <v>4.924428900898052</v>
      </c>
      <c r="AK82" s="3">
        <v>1</v>
      </c>
      <c r="AL82" s="13">
        <v>-4.5</v>
      </c>
      <c r="AM82" s="13">
        <v>5.5</v>
      </c>
      <c r="AN82" s="19">
        <f t="shared" si="6"/>
        <v>2</v>
      </c>
      <c r="AO82" s="3">
        <v>0</v>
      </c>
      <c r="AR82" s="19" t="str">
        <f t="shared" si="7"/>
        <v/>
      </c>
    </row>
    <row r="83" spans="1:44" ht="25.05" customHeight="1">
      <c r="A83" s="3">
        <v>3</v>
      </c>
      <c r="B83" s="2" t="s">
        <v>8</v>
      </c>
      <c r="C83" s="17" t="str">
        <f>IF($A83="","",IF(VLOOKUP($A83,Spiele!$A$2:$D$15,3,FALSE)=$B83,"H","G"))</f>
        <v>H</v>
      </c>
      <c r="D83" s="17" t="str">
        <f>IF($B83="","",IF(VLOOKUP($A83,Spiele!$A$2:$F$15,3,FALSE)=$B83,VLOOKUP($A83,Spiele!$A$2:$F$15,4,FALSE),VLOOKUP($A83,Spiele!$A$2:$F$15,3,FALSE)))</f>
        <v>TSV</v>
      </c>
      <c r="E83" s="18">
        <f>IF(Abschlüsse[[#This Row],[Ergeb]]="ET",0,COUNTIFS($A$2:$A83,$A83,$B$2:$B83,$B83,$L$2:$L83,"&lt;&gt;ET"))</f>
        <v>24</v>
      </c>
      <c r="F83" s="11">
        <v>79</v>
      </c>
      <c r="G83" s="12">
        <v>2</v>
      </c>
      <c r="H83" s="18">
        <f>COUNTIFS('Rote Karten'!$A$2:$A$4,$A83,'Rote Karten'!$D$2:$D$4,"&lt;&gt;"&amp;$B83,'Rote Karten'!$B$2:$B$4,"&lt;"&amp;$F83,'Rote Karten'!$C$2:$C$4,"&lt;="&amp;$G83)-COUNTIFS('Rote Karten'!$A$2:$A$4,$A83,'Rote Karten'!$D$2:$D$4,$B83,'Rote Karten'!$B$2:$B$4,"&lt;"&amp;$F83,'Rote Karten'!$C$2:$C$4,"&lt;="&amp;$G83)</f>
        <v>1</v>
      </c>
      <c r="I83" s="17" t="str">
        <f>IF(OR($L83="Tor",$L83="ET"),_xlfn.IFNA(IF(VLOOKUP($A83,Spiele!$A$2:$C$15,3,FALSE)=$B83,COUNTIFS($L$2:$L83,"Tor",$B$2:$B83,$B83,$A$2:$A83,$A83)+COUNTIFS($L$2:$L83,"ET",$B$2:$B83,$B83,$A$2:$A83,$A83)&amp;":"&amp;COUNTIFS($L$2:$L83,"Tor",$B$2:$B83,"&lt;&gt;"&amp;$B83,$A$2:$A83,$A83)+COUNTIFS($L$2:$L83,"ET",$B$2:$B83,"&lt;&gt;"&amp;$B83,$A$2:$A83,$A83),COUNTIFS($L$2:$L83,"Tor",$B$2:$B83,"&lt;&gt;"&amp;$B83,$A$2:$A83,$A83)+COUNTIFS($L$2:$L83,"ET",$B$2:$B83,"&lt;&gt;"&amp;$B83,$A$2:$A83,$A83)&amp;":"&amp;COUNTIFS($L$2:$L83,"Tor",$B$2:$B83,$B83,$A$2:$A83,$A83)+COUNTIFS($L$2:$L83,"ET",$B$2:$B83,$B83,$A$2:$A83,$A83)),""),"")</f>
        <v/>
      </c>
      <c r="J83" s="18">
        <f>_xlfn.IFNA(IF(VLOOKUP($A83,Spiele!$A$2:$D$15,3,FALSE)=$B83,(COUNTIFS($L$1:$L82,"Tor",$B$1:$B82,$B83,$A$1:$A82,$A83)+COUNTIFS($L$1:$L82,"ET",$B$1:$B82,$B83,$A$1:$A82,$A83))-(COUNTIFS($L$1:$L82,"Tor",$B$1:$B82,"&lt;&gt;"&amp;$B83,$A$1:$A82,$A83)+COUNTIFS($L$1:$L82,"ET",$B$1:$B82,"&lt;&gt;"&amp;$B83,$A$1:$A82,$A83)),(COUNTIFS($L$1:$L82,"Tor",$B$1:$B82,$B83,$A$1:$A82,$A83)+COUNTIFS($L$1:$L82,"ET",$B$1:$B82,$B83,$A$1:$A82,$A83))-(COUNTIFS($L$1:$L82,"Tor",$B$1:$B82,"&lt;&gt;"&amp;$B83,$A$1:$A82,$A83)+COUNTIFS($L$1:$L82,"ET",$B$1:$B82,"&lt;&gt;"&amp;$B83,$A$1:$A82,$A83))),"")</f>
        <v>3</v>
      </c>
      <c r="K83" s="3">
        <v>35</v>
      </c>
      <c r="L83" s="17" t="s">
        <v>19</v>
      </c>
      <c r="M83" s="2" t="s">
        <v>163</v>
      </c>
      <c r="N83" s="2" t="s">
        <v>158</v>
      </c>
      <c r="O83" s="2">
        <v>10</v>
      </c>
      <c r="X83" s="2" t="s">
        <v>151</v>
      </c>
      <c r="Y83" s="17" t="s">
        <v>143</v>
      </c>
      <c r="Z83" s="14" t="s">
        <v>150</v>
      </c>
      <c r="AA83" s="14" t="s">
        <v>145</v>
      </c>
      <c r="AB83" s="18">
        <v>26</v>
      </c>
      <c r="AC83" s="13">
        <v>-3.5</v>
      </c>
      <c r="AD83" s="13">
        <v>27</v>
      </c>
      <c r="AE83" s="19">
        <f t="shared" si="4"/>
        <v>27</v>
      </c>
      <c r="AF83" s="19">
        <f t="shared" si="5"/>
        <v>15.191667285280417</v>
      </c>
      <c r="AG83" s="2" t="s">
        <v>146</v>
      </c>
      <c r="AH83" s="13">
        <v>0</v>
      </c>
      <c r="AI83" s="13">
        <v>1.5</v>
      </c>
      <c r="AJ83" s="19">
        <f>IF(Abschlüsse[[#This Row],[Ergeb]]="ET","",SQRT(($AC83-$AH83)^2+($AD83-$AI83)^2))</f>
        <v>25.739075352467502</v>
      </c>
      <c r="AK83" s="3">
        <v>2</v>
      </c>
      <c r="AL83" s="13">
        <v>-6</v>
      </c>
      <c r="AM83" s="13">
        <v>25.5</v>
      </c>
      <c r="AN83" s="19">
        <f t="shared" si="6"/>
        <v>2.9154759474226504</v>
      </c>
      <c r="AO83" s="3">
        <v>1</v>
      </c>
      <c r="AP83" s="13">
        <v>0</v>
      </c>
      <c r="AQ83" s="13">
        <v>16</v>
      </c>
      <c r="AR83" s="19">
        <f t="shared" si="7"/>
        <v>11.543396380615196</v>
      </c>
    </row>
    <row r="84" spans="1:44" ht="25.05" customHeight="1">
      <c r="A84" s="3">
        <v>4</v>
      </c>
      <c r="B84" s="2" t="s">
        <v>8</v>
      </c>
      <c r="C84" s="17" t="str">
        <f>IF($A84="","",IF(VLOOKUP($A84,Spiele!$A$2:$D$15,3,FALSE)=$B84,"H","G"))</f>
        <v>G</v>
      </c>
      <c r="D84" s="17" t="str">
        <f>IF($B84="","",IF(VLOOKUP($A84,Spiele!$A$2:$F$15,3,FALSE)=$B84,VLOOKUP($A84,Spiele!$A$2:$F$15,4,FALSE),VLOOKUP($A84,Spiele!$A$2:$F$15,3,FALSE)))</f>
        <v>DJK</v>
      </c>
      <c r="E84" s="18">
        <f>IF(Abschlüsse[[#This Row],[Ergeb]]="ET",0,COUNTIFS($A$2:$A84,$A84,$B$2:$B84,$B84,$L$2:$L84,"&lt;&gt;ET"))</f>
        <v>1</v>
      </c>
      <c r="F84" s="11">
        <v>4</v>
      </c>
      <c r="G84" s="12">
        <v>1</v>
      </c>
      <c r="H84" s="18">
        <f>COUNTIFS('Rote Karten'!$A$2:$A$4,$A84,'Rote Karten'!$D$2:$D$4,"&lt;&gt;"&amp;$B84,'Rote Karten'!$B$2:$B$4,"&lt;"&amp;$F84,'Rote Karten'!$C$2:$C$4,"&lt;="&amp;$G84)-COUNTIFS('Rote Karten'!$A$2:$A$4,$A84,'Rote Karten'!$D$2:$D$4,$B84,'Rote Karten'!$B$2:$B$4,"&lt;"&amp;$F84,'Rote Karten'!$C$2:$C$4,"&lt;="&amp;$G84)</f>
        <v>0</v>
      </c>
      <c r="I84" s="17" t="str">
        <f>IF(OR($L84="Tor",$L84="ET"),_xlfn.IFNA(IF(VLOOKUP($A84,Spiele!$A$2:$C$15,3,FALSE)=$B84,COUNTIFS($L$2:$L84,"Tor",$B$2:$B84,$B84,$A$2:$A84,$A84)+COUNTIFS($L$2:$L84,"ET",$B$2:$B84,$B84,$A$2:$A84,$A84)&amp;":"&amp;COUNTIFS($L$2:$L84,"Tor",$B$2:$B84,"&lt;&gt;"&amp;$B84,$A$2:$A84,$A84)+COUNTIFS($L$2:$L84,"ET",$B$2:$B84,"&lt;&gt;"&amp;$B84,$A$2:$A84,$A84),COUNTIFS($L$2:$L84,"Tor",$B$2:$B84,"&lt;&gt;"&amp;$B84,$A$2:$A84,$A84)+COUNTIFS($L$2:$L84,"ET",$B$2:$B84,"&lt;&gt;"&amp;$B84,$A$2:$A84,$A84)&amp;":"&amp;COUNTIFS($L$2:$L84,"Tor",$B$2:$B84,$B84,$A$2:$A84,$A84)+COUNTIFS($L$2:$L84,"ET",$B$2:$B84,$B84,$A$2:$A84,$A84)),""),"")</f>
        <v>0:1</v>
      </c>
      <c r="J84" s="18">
        <f>_xlfn.IFNA(IF(VLOOKUP($A84,Spiele!$A$2:$D$15,3,FALSE)=$B84,(COUNTIFS($L$1:$L83,"Tor",$B$1:$B83,$B84,$A$1:$A83,$A84)+COUNTIFS($L$1:$L83,"ET",$B$1:$B83,$B84,$A$1:$A83,$A84))-(COUNTIFS($L$1:$L83,"Tor",$B$1:$B83,"&lt;&gt;"&amp;$B84,$A$1:$A83,$A84)+COUNTIFS($L$1:$L83,"ET",$B$1:$B83,"&lt;&gt;"&amp;$B84,$A$1:$A83,$A84)),(COUNTIFS($L$1:$L83,"Tor",$B$1:$B83,$B84,$A$1:$A83,$A84)+COUNTIFS($L$1:$L83,"ET",$B$1:$B83,$B84,$A$1:$A83,$A84))-(COUNTIFS($L$1:$L83,"Tor",$B$1:$B83,"&lt;&gt;"&amp;$B84,$A$1:$A83,$A84)+COUNTIFS($L$1:$L83,"ET",$B$1:$B83,"&lt;&gt;"&amp;$B84,$A$1:$A83,$A84))),"")</f>
        <v>0</v>
      </c>
      <c r="K84" s="3">
        <v>1</v>
      </c>
      <c r="L84" s="17" t="s">
        <v>0</v>
      </c>
      <c r="M84" s="2" t="s">
        <v>173</v>
      </c>
      <c r="N84" s="2" t="s">
        <v>158</v>
      </c>
      <c r="O84" s="2">
        <v>7</v>
      </c>
      <c r="P84" s="2">
        <v>8</v>
      </c>
      <c r="X84" s="2" t="s">
        <v>154</v>
      </c>
      <c r="Y84" s="17" t="s">
        <v>143</v>
      </c>
      <c r="Z84" s="14" t="s">
        <v>144</v>
      </c>
      <c r="AA84" s="14" t="s">
        <v>145</v>
      </c>
      <c r="AB84" s="18">
        <v>23</v>
      </c>
      <c r="AC84" s="13">
        <v>3.5</v>
      </c>
      <c r="AD84" s="13">
        <v>0.5</v>
      </c>
      <c r="AE84" s="19">
        <f t="shared" si="4"/>
        <v>0.5</v>
      </c>
      <c r="AF84" s="19">
        <f t="shared" si="5"/>
        <v>103.75005461690881</v>
      </c>
      <c r="AG84" s="2" t="s">
        <v>166</v>
      </c>
      <c r="AJ84" s="19">
        <f>IF(Abschlüsse[[#This Row],[Ergeb]]="ET","",SQRT(($AC84-$AH84)^2+($AD84-$AI84)^2))</f>
        <v>3.5355339059327378</v>
      </c>
      <c r="AK84" s="3">
        <v>1</v>
      </c>
      <c r="AL84" s="13">
        <v>3</v>
      </c>
      <c r="AM84" s="13">
        <v>1</v>
      </c>
      <c r="AN84" s="19">
        <f t="shared" si="6"/>
        <v>0.70710678118654757</v>
      </c>
      <c r="AO84" s="3">
        <v>0</v>
      </c>
      <c r="AR84" s="19" t="str">
        <f t="shared" si="7"/>
        <v/>
      </c>
    </row>
    <row r="85" spans="1:44" ht="25.05" customHeight="1">
      <c r="A85" s="3">
        <v>4</v>
      </c>
      <c r="B85" s="2" t="s">
        <v>8</v>
      </c>
      <c r="C85" s="17" t="str">
        <f>IF($A85="","",IF(VLOOKUP($A85,Spiele!$A$2:$D$15,3,FALSE)=$B85,"H","G"))</f>
        <v>G</v>
      </c>
      <c r="D85" s="17" t="str">
        <f>IF($B85="","",IF(VLOOKUP($A85,Spiele!$A$2:$F$15,3,FALSE)=$B85,VLOOKUP($A85,Spiele!$A$2:$F$15,4,FALSE),VLOOKUP($A85,Spiele!$A$2:$F$15,3,FALSE)))</f>
        <v>DJK</v>
      </c>
      <c r="E85" s="18">
        <f>IF(Abschlüsse[[#This Row],[Ergeb]]="ET",0,COUNTIFS($A$2:$A85,$A85,$B$2:$B85,$B85,$L$2:$L85,"&lt;&gt;ET"))</f>
        <v>2</v>
      </c>
      <c r="F85" s="11">
        <v>8</v>
      </c>
      <c r="G85" s="12">
        <v>1</v>
      </c>
      <c r="H85" s="18">
        <f>COUNTIFS('Rote Karten'!$A$2:$A$4,$A85,'Rote Karten'!$D$2:$D$4,"&lt;&gt;"&amp;$B85,'Rote Karten'!$B$2:$B$4,"&lt;"&amp;$F85,'Rote Karten'!$C$2:$C$4,"&lt;="&amp;$G85)-COUNTIFS('Rote Karten'!$A$2:$A$4,$A85,'Rote Karten'!$D$2:$D$4,$B85,'Rote Karten'!$B$2:$B$4,"&lt;"&amp;$F85,'Rote Karten'!$C$2:$C$4,"&lt;="&amp;$G85)</f>
        <v>0</v>
      </c>
      <c r="I85" s="17" t="str">
        <f>IF(OR($L85="Tor",$L85="ET"),_xlfn.IFNA(IF(VLOOKUP($A85,Spiele!$A$2:$C$15,3,FALSE)=$B85,COUNTIFS($L$2:$L85,"Tor",$B$2:$B85,$B85,$A$2:$A85,$A85)+COUNTIFS($L$2:$L85,"ET",$B$2:$B85,$B85,$A$2:$A85,$A85)&amp;":"&amp;COUNTIFS($L$2:$L85,"Tor",$B$2:$B85,"&lt;&gt;"&amp;$B85,$A$2:$A85,$A85)+COUNTIFS($L$2:$L85,"ET",$B$2:$B85,"&lt;&gt;"&amp;$B85,$A$2:$A85,$A85),COUNTIFS($L$2:$L85,"Tor",$B$2:$B85,"&lt;&gt;"&amp;$B85,$A$2:$A85,$A85)+COUNTIFS($L$2:$L85,"ET",$B$2:$B85,"&lt;&gt;"&amp;$B85,$A$2:$A85,$A85)&amp;":"&amp;COUNTIFS($L$2:$L85,"Tor",$B$2:$B85,$B85,$A$2:$A85,$A85)+COUNTIFS($L$2:$L85,"ET",$B$2:$B85,$B85,$A$2:$A85,$A85)),""),"")</f>
        <v/>
      </c>
      <c r="J85" s="18">
        <f>_xlfn.IFNA(IF(VLOOKUP($A85,Spiele!$A$2:$D$15,3,FALSE)=$B85,(COUNTIFS($L$1:$L84,"Tor",$B$1:$B84,$B85,$A$1:$A84,$A85)+COUNTIFS($L$1:$L84,"ET",$B$1:$B84,$B85,$A$1:$A84,$A85))-(COUNTIFS($L$1:$L84,"Tor",$B$1:$B84,"&lt;&gt;"&amp;$B85,$A$1:$A84,$A85)+COUNTIFS($L$1:$L84,"ET",$B$1:$B84,"&lt;&gt;"&amp;$B85,$A$1:$A84,$A85)),(COUNTIFS($L$1:$L84,"Tor",$B$1:$B84,$B85,$A$1:$A84,$A85)+COUNTIFS($L$1:$L84,"ET",$B$1:$B84,$B85,$A$1:$A84,$A85))-(COUNTIFS($L$1:$L84,"Tor",$B$1:$B84,"&lt;&gt;"&amp;$B85,$A$1:$A84,$A85)+COUNTIFS($L$1:$L84,"ET",$B$1:$B84,"&lt;&gt;"&amp;$B85,$A$1:$A84,$A85))),"")</f>
        <v>1</v>
      </c>
      <c r="K85" s="3">
        <v>2</v>
      </c>
      <c r="L85" s="17" t="s">
        <v>18</v>
      </c>
      <c r="M85" s="2" t="s">
        <v>147</v>
      </c>
      <c r="N85" s="2" t="s">
        <v>164</v>
      </c>
      <c r="O85" s="2">
        <v>23</v>
      </c>
      <c r="P85" s="2">
        <v>19</v>
      </c>
      <c r="Q85" s="2">
        <v>6</v>
      </c>
      <c r="X85" s="2" t="s">
        <v>151</v>
      </c>
      <c r="Y85" s="17" t="s">
        <v>143</v>
      </c>
      <c r="Z85" s="14" t="s">
        <v>150</v>
      </c>
      <c r="AA85" s="14" t="s">
        <v>145</v>
      </c>
      <c r="AB85" s="18">
        <v>16</v>
      </c>
      <c r="AC85" s="13">
        <v>-5</v>
      </c>
      <c r="AD85" s="13">
        <v>22</v>
      </c>
      <c r="AE85" s="19">
        <f t="shared" si="4"/>
        <v>22.040771311367486</v>
      </c>
      <c r="AF85" s="19">
        <f t="shared" si="5"/>
        <v>18.000875117501245</v>
      </c>
      <c r="AG85" s="2" t="s">
        <v>146</v>
      </c>
      <c r="AH85" s="13">
        <v>-0.5</v>
      </c>
      <c r="AI85" s="13">
        <v>2</v>
      </c>
      <c r="AJ85" s="19">
        <f>IF(Abschlüsse[[#This Row],[Ergeb]]="ET","",SQRT(($AC85-$AH85)^2+($AD85-$AI85)^2))</f>
        <v>20.5</v>
      </c>
      <c r="AK85" s="3">
        <v>2</v>
      </c>
      <c r="AL85" s="13">
        <v>-4</v>
      </c>
      <c r="AM85" s="13">
        <v>24</v>
      </c>
      <c r="AN85" s="19">
        <f t="shared" si="6"/>
        <v>2.2360679774997898</v>
      </c>
      <c r="AO85" s="3">
        <v>2</v>
      </c>
      <c r="AP85" s="13">
        <v>-3.5</v>
      </c>
      <c r="AQ85" s="13">
        <v>20</v>
      </c>
      <c r="AR85" s="19">
        <f t="shared" si="7"/>
        <v>2.5</v>
      </c>
    </row>
    <row r="86" spans="1:44" ht="25.05" customHeight="1">
      <c r="A86" s="3">
        <v>4</v>
      </c>
      <c r="B86" s="2" t="s">
        <v>8</v>
      </c>
      <c r="C86" s="17" t="str">
        <f>IF($A86="","",IF(VLOOKUP($A86,Spiele!$A$2:$D$15,3,FALSE)=$B86,"H","G"))</f>
        <v>G</v>
      </c>
      <c r="D86" s="17" t="str">
        <f>IF($B86="","",IF(VLOOKUP($A86,Spiele!$A$2:$F$15,3,FALSE)=$B86,VLOOKUP($A86,Spiele!$A$2:$F$15,4,FALSE),VLOOKUP($A86,Spiele!$A$2:$F$15,3,FALSE)))</f>
        <v>DJK</v>
      </c>
      <c r="E86" s="18">
        <f>IF(Abschlüsse[[#This Row],[Ergeb]]="ET",0,COUNTIFS($A$2:$A86,$A86,$B$2:$B86,$B86,$L$2:$L86,"&lt;&gt;ET"))</f>
        <v>3</v>
      </c>
      <c r="F86" s="11">
        <v>17</v>
      </c>
      <c r="G86" s="12">
        <v>1</v>
      </c>
      <c r="H86" s="18">
        <f>COUNTIFS('Rote Karten'!$A$2:$A$4,$A86,'Rote Karten'!$D$2:$D$4,"&lt;&gt;"&amp;$B86,'Rote Karten'!$B$2:$B$4,"&lt;"&amp;$F86,'Rote Karten'!$C$2:$C$4,"&lt;="&amp;$G86)-COUNTIFS('Rote Karten'!$A$2:$A$4,$A86,'Rote Karten'!$D$2:$D$4,$B86,'Rote Karten'!$B$2:$B$4,"&lt;"&amp;$F86,'Rote Karten'!$C$2:$C$4,"&lt;="&amp;$G86)</f>
        <v>0</v>
      </c>
      <c r="I86" s="17" t="str">
        <f>IF(OR($L86="Tor",$L86="ET"),_xlfn.IFNA(IF(VLOOKUP($A86,Spiele!$A$2:$C$15,3,FALSE)=$B86,COUNTIFS($L$2:$L86,"Tor",$B$2:$B86,$B86,$A$2:$A86,$A86)+COUNTIFS($L$2:$L86,"ET",$B$2:$B86,$B86,$A$2:$A86,$A86)&amp;":"&amp;COUNTIFS($L$2:$L86,"Tor",$B$2:$B86,"&lt;&gt;"&amp;$B86,$A$2:$A86,$A86)+COUNTIFS($L$2:$L86,"ET",$B$2:$B86,"&lt;&gt;"&amp;$B86,$A$2:$A86,$A86),COUNTIFS($L$2:$L86,"Tor",$B$2:$B86,"&lt;&gt;"&amp;$B86,$A$2:$A86,$A86)+COUNTIFS($L$2:$L86,"ET",$B$2:$B86,"&lt;&gt;"&amp;$B86,$A$2:$A86,$A86)&amp;":"&amp;COUNTIFS($L$2:$L86,"Tor",$B$2:$B86,$B86,$A$2:$A86,$A86)+COUNTIFS($L$2:$L86,"ET",$B$2:$B86,$B86,$A$2:$A86,$A86)),""),"")</f>
        <v/>
      </c>
      <c r="J86" s="18">
        <f>_xlfn.IFNA(IF(VLOOKUP($A86,Spiele!$A$2:$D$15,3,FALSE)=$B86,(COUNTIFS($L$1:$L85,"Tor",$B$1:$B85,$B86,$A$1:$A85,$A86)+COUNTIFS($L$1:$L85,"ET",$B$1:$B85,$B86,$A$1:$A85,$A86))-(COUNTIFS($L$1:$L85,"Tor",$B$1:$B85,"&lt;&gt;"&amp;$B86,$A$1:$A85,$A86)+COUNTIFS($L$1:$L85,"ET",$B$1:$B85,"&lt;&gt;"&amp;$B86,$A$1:$A85,$A86)),(COUNTIFS($L$1:$L85,"Tor",$B$1:$B85,$B86,$A$1:$A85,$A86)+COUNTIFS($L$1:$L85,"ET",$B$1:$B85,$B86,$A$1:$A85,$A86))-(COUNTIFS($L$1:$L85,"Tor",$B$1:$B85,"&lt;&gt;"&amp;$B86,$A$1:$A85,$A86)+COUNTIFS($L$1:$L85,"ET",$B$1:$B85,"&lt;&gt;"&amp;$B86,$A$1:$A85,$A86))),"")</f>
        <v>1</v>
      </c>
      <c r="K86" s="3">
        <v>3</v>
      </c>
      <c r="L86" s="17" t="s">
        <v>19</v>
      </c>
      <c r="M86" s="2" t="s">
        <v>147</v>
      </c>
      <c r="N86" s="2" t="s">
        <v>158</v>
      </c>
      <c r="O86" s="2">
        <v>5</v>
      </c>
      <c r="P86" s="2">
        <v>23</v>
      </c>
      <c r="Q86" s="2">
        <v>19</v>
      </c>
      <c r="R86" s="2">
        <v>16</v>
      </c>
      <c r="S86" s="2">
        <v>8</v>
      </c>
      <c r="X86" s="2" t="s">
        <v>151</v>
      </c>
      <c r="Y86" s="17" t="s">
        <v>143</v>
      </c>
      <c r="Z86" s="14" t="s">
        <v>150</v>
      </c>
      <c r="AA86" s="14" t="s">
        <v>145</v>
      </c>
      <c r="AB86" s="18">
        <v>16</v>
      </c>
      <c r="AC86" s="13">
        <v>-12</v>
      </c>
      <c r="AD86" s="13">
        <v>28</v>
      </c>
      <c r="AE86" s="19">
        <f t="shared" si="4"/>
        <v>29.215673875507306</v>
      </c>
      <c r="AF86" s="19">
        <f t="shared" si="5"/>
        <v>12.63112282320164</v>
      </c>
      <c r="AG86" s="2" t="s">
        <v>146</v>
      </c>
      <c r="AH86" s="13">
        <v>-1.5</v>
      </c>
      <c r="AI86" s="13">
        <v>1.5</v>
      </c>
      <c r="AJ86" s="19">
        <f>IF(Abschlüsse[[#This Row],[Ergeb]]="ET","",SQRT(($AC86-$AH86)^2+($AD86-$AI86)^2))</f>
        <v>28.504385627478449</v>
      </c>
      <c r="AK86" s="3">
        <v>0</v>
      </c>
      <c r="AL86" s="13"/>
      <c r="AM86" s="13"/>
      <c r="AN86" s="19" t="str">
        <f t="shared" si="6"/>
        <v/>
      </c>
      <c r="AO86" s="3">
        <v>2</v>
      </c>
      <c r="AP86" s="13">
        <v>-10.5</v>
      </c>
      <c r="AQ86" s="13">
        <v>25.5</v>
      </c>
      <c r="AR86" s="19">
        <f t="shared" si="7"/>
        <v>2.9154759474226504</v>
      </c>
    </row>
    <row r="87" spans="1:44" ht="25.05" customHeight="1">
      <c r="A87" s="3">
        <v>4</v>
      </c>
      <c r="B87" s="2" t="s">
        <v>8</v>
      </c>
      <c r="C87" s="17" t="str">
        <f>IF($A87="","",IF(VLOOKUP($A87,Spiele!$A$2:$D$15,3,FALSE)=$B87,"H","G"))</f>
        <v>G</v>
      </c>
      <c r="D87" s="17" t="str">
        <f>IF($B87="","",IF(VLOOKUP($A87,Spiele!$A$2:$F$15,3,FALSE)=$B87,VLOOKUP($A87,Spiele!$A$2:$F$15,4,FALSE),VLOOKUP($A87,Spiele!$A$2:$F$15,3,FALSE)))</f>
        <v>DJK</v>
      </c>
      <c r="E87" s="18">
        <f>IF(Abschlüsse[[#This Row],[Ergeb]]="ET",0,COUNTIFS($A$2:$A87,$A87,$B$2:$B87,$B87,$L$2:$L87,"&lt;&gt;ET"))</f>
        <v>4</v>
      </c>
      <c r="F87" s="11">
        <v>19</v>
      </c>
      <c r="G87" s="12">
        <v>1</v>
      </c>
      <c r="H87" s="18">
        <f>COUNTIFS('Rote Karten'!$A$2:$A$4,$A87,'Rote Karten'!$D$2:$D$4,"&lt;&gt;"&amp;$B87,'Rote Karten'!$B$2:$B$4,"&lt;"&amp;$F87,'Rote Karten'!$C$2:$C$4,"&lt;="&amp;$G87)-COUNTIFS('Rote Karten'!$A$2:$A$4,$A87,'Rote Karten'!$D$2:$D$4,$B87,'Rote Karten'!$B$2:$B$4,"&lt;"&amp;$F87,'Rote Karten'!$C$2:$C$4,"&lt;="&amp;$G87)</f>
        <v>0</v>
      </c>
      <c r="I87" s="17" t="str">
        <f>IF(OR($L87="Tor",$L87="ET"),_xlfn.IFNA(IF(VLOOKUP($A87,Spiele!$A$2:$C$15,3,FALSE)=$B87,COUNTIFS($L$2:$L87,"Tor",$B$2:$B87,$B87,$A$2:$A87,$A87)+COUNTIFS($L$2:$L87,"ET",$B$2:$B87,$B87,$A$2:$A87,$A87)&amp;":"&amp;COUNTIFS($L$2:$L87,"Tor",$B$2:$B87,"&lt;&gt;"&amp;$B87,$A$2:$A87,$A87)+COUNTIFS($L$2:$L87,"ET",$B$2:$B87,"&lt;&gt;"&amp;$B87,$A$2:$A87,$A87),COUNTIFS($L$2:$L87,"Tor",$B$2:$B87,"&lt;&gt;"&amp;$B87,$A$2:$A87,$A87)+COUNTIFS($L$2:$L87,"ET",$B$2:$B87,"&lt;&gt;"&amp;$B87,$A$2:$A87,$A87)&amp;":"&amp;COUNTIFS($L$2:$L87,"Tor",$B$2:$B87,$B87,$A$2:$A87,$A87)+COUNTIFS($L$2:$L87,"ET",$B$2:$B87,$B87,$A$2:$A87,$A87)),""),"")</f>
        <v/>
      </c>
      <c r="J87" s="18">
        <f>_xlfn.IFNA(IF(VLOOKUP($A87,Spiele!$A$2:$D$15,3,FALSE)=$B87,(COUNTIFS($L$1:$L86,"Tor",$B$1:$B86,$B87,$A$1:$A86,$A87)+COUNTIFS($L$1:$L86,"ET",$B$1:$B86,$B87,$A$1:$A86,$A87))-(COUNTIFS($L$1:$L86,"Tor",$B$1:$B86,"&lt;&gt;"&amp;$B87,$A$1:$A86,$A87)+COUNTIFS($L$1:$L86,"ET",$B$1:$B86,"&lt;&gt;"&amp;$B87,$A$1:$A86,$A87)),(COUNTIFS($L$1:$L86,"Tor",$B$1:$B86,$B87,$A$1:$A86,$A87)+COUNTIFS($L$1:$L86,"ET",$B$1:$B86,$B87,$A$1:$A86,$A87))-(COUNTIFS($L$1:$L86,"Tor",$B$1:$B86,"&lt;&gt;"&amp;$B87,$A$1:$A86,$A87)+COUNTIFS($L$1:$L86,"ET",$B$1:$B86,"&lt;&gt;"&amp;$B87,$A$1:$A86,$A87))),"")</f>
        <v>1</v>
      </c>
      <c r="K87" s="3">
        <v>4</v>
      </c>
      <c r="L87" s="17" t="s">
        <v>19</v>
      </c>
      <c r="M87" s="2" t="s">
        <v>147</v>
      </c>
      <c r="N87" s="2" t="s">
        <v>153</v>
      </c>
      <c r="O87" s="2">
        <v>10</v>
      </c>
      <c r="P87" s="2">
        <v>7</v>
      </c>
      <c r="X87" s="2" t="s">
        <v>154</v>
      </c>
      <c r="Y87" s="17" t="s">
        <v>160</v>
      </c>
      <c r="Z87" s="14" t="s">
        <v>161</v>
      </c>
      <c r="AA87" s="14" t="s">
        <v>156</v>
      </c>
      <c r="AB87" s="18">
        <v>20</v>
      </c>
      <c r="AC87" s="13">
        <v>-8.5</v>
      </c>
      <c r="AD87" s="13">
        <v>6.5</v>
      </c>
      <c r="AE87" s="19">
        <f t="shared" si="4"/>
        <v>8.1040483710303715</v>
      </c>
      <c r="AF87" s="19">
        <f t="shared" si="5"/>
        <v>25.201800469955806</v>
      </c>
      <c r="AG87" s="2" t="s">
        <v>146</v>
      </c>
      <c r="AH87" s="13">
        <v>-3.5</v>
      </c>
      <c r="AI87" s="13">
        <v>2</v>
      </c>
      <c r="AJ87" s="19">
        <f>IF(Abschlüsse[[#This Row],[Ergeb]]="ET","",SQRT(($AC87-$AH87)^2+($AD87-$AI87)^2))</f>
        <v>6.7268120235368549</v>
      </c>
      <c r="AK87" s="3">
        <v>0</v>
      </c>
      <c r="AL87" s="13"/>
      <c r="AM87" s="13"/>
      <c r="AN87" s="19" t="str">
        <f t="shared" si="6"/>
        <v/>
      </c>
      <c r="AO87" s="3">
        <v>0</v>
      </c>
      <c r="AR87" s="19" t="str">
        <f t="shared" si="7"/>
        <v/>
      </c>
    </row>
    <row r="88" spans="1:44" ht="25.05" customHeight="1">
      <c r="A88" s="3">
        <v>4</v>
      </c>
      <c r="B88" s="2" t="s">
        <v>8</v>
      </c>
      <c r="C88" s="17" t="str">
        <f>IF($A88="","",IF(VLOOKUP($A88,Spiele!$A$2:$D$15,3,FALSE)=$B88,"H","G"))</f>
        <v>G</v>
      </c>
      <c r="D88" s="17" t="str">
        <f>IF($B88="","",IF(VLOOKUP($A88,Spiele!$A$2:$F$15,3,FALSE)=$B88,VLOOKUP($A88,Spiele!$A$2:$F$15,4,FALSE),VLOOKUP($A88,Spiele!$A$2:$F$15,3,FALSE)))</f>
        <v>DJK</v>
      </c>
      <c r="E88" s="18">
        <f>IF(Abschlüsse[[#This Row],[Ergeb]]="ET",0,COUNTIFS($A$2:$A88,$A88,$B$2:$B88,$B88,$L$2:$L88,"&lt;&gt;ET"))</f>
        <v>5</v>
      </c>
      <c r="F88" s="11">
        <v>25</v>
      </c>
      <c r="G88" s="12">
        <v>1</v>
      </c>
      <c r="H88" s="18">
        <f>COUNTIFS('Rote Karten'!$A$2:$A$4,$A88,'Rote Karten'!$D$2:$D$4,"&lt;&gt;"&amp;$B88,'Rote Karten'!$B$2:$B$4,"&lt;"&amp;$F88,'Rote Karten'!$C$2:$C$4,"&lt;="&amp;$G88)-COUNTIFS('Rote Karten'!$A$2:$A$4,$A88,'Rote Karten'!$D$2:$D$4,$B88,'Rote Karten'!$B$2:$B$4,"&lt;"&amp;$F88,'Rote Karten'!$C$2:$C$4,"&lt;="&amp;$G88)</f>
        <v>0</v>
      </c>
      <c r="I88" s="17" t="str">
        <f>IF(OR($L88="Tor",$L88="ET"),_xlfn.IFNA(IF(VLOOKUP($A88,Spiele!$A$2:$C$15,3,FALSE)=$B88,COUNTIFS($L$2:$L88,"Tor",$B$2:$B88,$B88,$A$2:$A88,$A88)+COUNTIFS($L$2:$L88,"ET",$B$2:$B88,$B88,$A$2:$A88,$A88)&amp;":"&amp;COUNTIFS($L$2:$L88,"Tor",$B$2:$B88,"&lt;&gt;"&amp;$B88,$A$2:$A88,$A88)+COUNTIFS($L$2:$L88,"ET",$B$2:$B88,"&lt;&gt;"&amp;$B88,$A$2:$A88,$A88),COUNTIFS($L$2:$L88,"Tor",$B$2:$B88,"&lt;&gt;"&amp;$B88,$A$2:$A88,$A88)+COUNTIFS($L$2:$L88,"ET",$B$2:$B88,"&lt;&gt;"&amp;$B88,$A$2:$A88,$A88)&amp;":"&amp;COUNTIFS($L$2:$L88,"Tor",$B$2:$B88,$B88,$A$2:$A88,$A88)+COUNTIFS($L$2:$L88,"ET",$B$2:$B88,$B88,$A$2:$A88,$A88)),""),"")</f>
        <v/>
      </c>
      <c r="J88" s="18">
        <f>_xlfn.IFNA(IF(VLOOKUP($A88,Spiele!$A$2:$D$15,3,FALSE)=$B88,(COUNTIFS($L$1:$L87,"Tor",$B$1:$B87,$B88,$A$1:$A87,$A88)+COUNTIFS($L$1:$L87,"ET",$B$1:$B87,$B88,$A$1:$A87,$A88))-(COUNTIFS($L$1:$L87,"Tor",$B$1:$B87,"&lt;&gt;"&amp;$B88,$A$1:$A87,$A88)+COUNTIFS($L$1:$L87,"ET",$B$1:$B87,"&lt;&gt;"&amp;$B88,$A$1:$A87,$A88)),(COUNTIFS($L$1:$L87,"Tor",$B$1:$B87,$B88,$A$1:$A87,$A88)+COUNTIFS($L$1:$L87,"ET",$B$1:$B87,$B88,$A$1:$A87,$A88))-(COUNTIFS($L$1:$L87,"Tor",$B$1:$B87,"&lt;&gt;"&amp;$B88,$A$1:$A87,$A88)+COUNTIFS($L$1:$L87,"ET",$B$1:$B87,"&lt;&gt;"&amp;$B88,$A$1:$A87,$A88))),"")</f>
        <v>1</v>
      </c>
      <c r="K88" s="3">
        <v>5</v>
      </c>
      <c r="L88" s="17" t="s">
        <v>18</v>
      </c>
      <c r="M88" s="2" t="s">
        <v>147</v>
      </c>
      <c r="N88" s="2" t="s">
        <v>148</v>
      </c>
      <c r="O88" s="2">
        <v>16</v>
      </c>
      <c r="P88" s="2">
        <v>23</v>
      </c>
      <c r="Q88" s="2">
        <v>6</v>
      </c>
      <c r="R88" s="2">
        <v>19</v>
      </c>
      <c r="S88" s="2">
        <v>5</v>
      </c>
      <c r="X88" s="2" t="s">
        <v>141</v>
      </c>
      <c r="Y88" s="17" t="s">
        <v>143</v>
      </c>
      <c r="Z88" s="14" t="s">
        <v>144</v>
      </c>
      <c r="AA88" s="14" t="s">
        <v>145</v>
      </c>
      <c r="AB88" s="18">
        <v>10</v>
      </c>
      <c r="AC88" s="13">
        <v>1</v>
      </c>
      <c r="AD88" s="13">
        <v>9</v>
      </c>
      <c r="AE88" s="19">
        <f t="shared" si="4"/>
        <v>9</v>
      </c>
      <c r="AF88" s="19">
        <f t="shared" si="5"/>
        <v>43.839454439268671</v>
      </c>
      <c r="AG88" s="2" t="s">
        <v>146</v>
      </c>
      <c r="AH88" s="13">
        <v>-0.5</v>
      </c>
      <c r="AI88" s="13">
        <v>5</v>
      </c>
      <c r="AJ88" s="19">
        <f>IF(Abschlüsse[[#This Row],[Ergeb]]="ET","",SQRT(($AC88-$AH88)^2+($AD88-$AI88)^2))</f>
        <v>4.2720018726587652</v>
      </c>
      <c r="AK88" s="3">
        <v>1</v>
      </c>
      <c r="AL88" s="13">
        <v>3</v>
      </c>
      <c r="AM88" s="13">
        <v>10.5</v>
      </c>
      <c r="AN88" s="19">
        <f t="shared" si="6"/>
        <v>2.5</v>
      </c>
      <c r="AO88" s="3">
        <v>0</v>
      </c>
      <c r="AR88" s="19" t="str">
        <f t="shared" si="7"/>
        <v/>
      </c>
    </row>
    <row r="89" spans="1:44" ht="25.05" customHeight="1">
      <c r="A89" s="3">
        <v>4</v>
      </c>
      <c r="B89" s="2" t="s">
        <v>8</v>
      </c>
      <c r="C89" s="17" t="str">
        <f>IF($A89="","",IF(VLOOKUP($A89,Spiele!$A$2:$D$15,3,FALSE)=$B89,"H","G"))</f>
        <v>G</v>
      </c>
      <c r="D89" s="17" t="str">
        <f>IF($B89="","",IF(VLOOKUP($A89,Spiele!$A$2:$F$15,3,FALSE)=$B89,VLOOKUP($A89,Spiele!$A$2:$F$15,4,FALSE),VLOOKUP($A89,Spiele!$A$2:$F$15,3,FALSE)))</f>
        <v>DJK</v>
      </c>
      <c r="E89" s="18">
        <f>IF(Abschlüsse[[#This Row],[Ergeb]]="ET",0,COUNTIFS($A$2:$A89,$A89,$B$2:$B89,$B89,$L$2:$L89,"&lt;&gt;ET"))</f>
        <v>6</v>
      </c>
      <c r="F89" s="11">
        <v>31</v>
      </c>
      <c r="G89" s="12">
        <v>1</v>
      </c>
      <c r="H89" s="18">
        <f>COUNTIFS('Rote Karten'!$A$2:$A$4,$A89,'Rote Karten'!$D$2:$D$4,"&lt;&gt;"&amp;$B89,'Rote Karten'!$B$2:$B$4,"&lt;"&amp;$F89,'Rote Karten'!$C$2:$C$4,"&lt;="&amp;$G89)-COUNTIFS('Rote Karten'!$A$2:$A$4,$A89,'Rote Karten'!$D$2:$D$4,$B89,'Rote Karten'!$B$2:$B$4,"&lt;"&amp;$F89,'Rote Karten'!$C$2:$C$4,"&lt;="&amp;$G89)</f>
        <v>0</v>
      </c>
      <c r="I89" s="17" t="str">
        <f>IF(OR($L89="Tor",$L89="ET"),_xlfn.IFNA(IF(VLOOKUP($A89,Spiele!$A$2:$C$15,3,FALSE)=$B89,COUNTIFS($L$2:$L89,"Tor",$B$2:$B89,$B89,$A$2:$A89,$A89)+COUNTIFS($L$2:$L89,"ET",$B$2:$B89,$B89,$A$2:$A89,$A89)&amp;":"&amp;COUNTIFS($L$2:$L89,"Tor",$B$2:$B89,"&lt;&gt;"&amp;$B89,$A$2:$A89,$A89)+COUNTIFS($L$2:$L89,"ET",$B$2:$B89,"&lt;&gt;"&amp;$B89,$A$2:$A89,$A89),COUNTIFS($L$2:$L89,"Tor",$B$2:$B89,"&lt;&gt;"&amp;$B89,$A$2:$A89,$A89)+COUNTIFS($L$2:$L89,"ET",$B$2:$B89,"&lt;&gt;"&amp;$B89,$A$2:$A89,$A89)&amp;":"&amp;COUNTIFS($L$2:$L89,"Tor",$B$2:$B89,$B89,$A$2:$A89,$A89)+COUNTIFS($L$2:$L89,"ET",$B$2:$B89,$B89,$A$2:$A89,$A89)),""),"")</f>
        <v/>
      </c>
      <c r="J89" s="18">
        <f>_xlfn.IFNA(IF(VLOOKUP($A89,Spiele!$A$2:$D$15,3,FALSE)=$B89,(COUNTIFS($L$1:$L88,"Tor",$B$1:$B88,$B89,$A$1:$A88,$A89)+COUNTIFS($L$1:$L88,"ET",$B$1:$B88,$B89,$A$1:$A88,$A89))-(COUNTIFS($L$1:$L88,"Tor",$B$1:$B88,"&lt;&gt;"&amp;$B89,$A$1:$A88,$A89)+COUNTIFS($L$1:$L88,"ET",$B$1:$B88,"&lt;&gt;"&amp;$B89,$A$1:$A88,$A89)),(COUNTIFS($L$1:$L88,"Tor",$B$1:$B88,$B89,$A$1:$A88,$A89)+COUNTIFS($L$1:$L88,"ET",$B$1:$B88,$B89,$A$1:$A88,$A89))-(COUNTIFS($L$1:$L88,"Tor",$B$1:$B88,"&lt;&gt;"&amp;$B89,$A$1:$A88,$A89)+COUNTIFS($L$1:$L88,"ET",$B$1:$B88,"&lt;&gt;"&amp;$B89,$A$1:$A88,$A89))),"")</f>
        <v>1</v>
      </c>
      <c r="K89" s="3">
        <v>6</v>
      </c>
      <c r="L89" s="17" t="s">
        <v>20</v>
      </c>
      <c r="M89" s="2" t="s">
        <v>147</v>
      </c>
      <c r="N89" s="2" t="s">
        <v>164</v>
      </c>
      <c r="O89" s="2">
        <v>8</v>
      </c>
      <c r="P89" s="2">
        <v>16</v>
      </c>
      <c r="Q89" s="2">
        <v>20</v>
      </c>
      <c r="R89" s="2">
        <v>23</v>
      </c>
      <c r="S89" s="2">
        <v>19</v>
      </c>
      <c r="X89" s="2" t="s">
        <v>151</v>
      </c>
      <c r="Y89" s="17" t="s">
        <v>143</v>
      </c>
      <c r="Z89" s="14" t="s">
        <v>150</v>
      </c>
      <c r="AA89" s="14" t="s">
        <v>145</v>
      </c>
      <c r="AB89" s="18">
        <v>27</v>
      </c>
      <c r="AC89" s="13">
        <v>-9.5</v>
      </c>
      <c r="AD89" s="13">
        <v>29</v>
      </c>
      <c r="AE89" s="19">
        <f t="shared" si="4"/>
        <v>29.582183827432349</v>
      </c>
      <c r="AF89" s="19">
        <f t="shared" si="5"/>
        <v>13.022317995547661</v>
      </c>
      <c r="AG89" s="2" t="s">
        <v>146</v>
      </c>
      <c r="AH89" s="13">
        <v>-1.5</v>
      </c>
      <c r="AI89" s="13">
        <v>2</v>
      </c>
      <c r="AJ89" s="19">
        <f>IF(Abschlüsse[[#This Row],[Ergeb]]="ET","",SQRT(($AC89-$AH89)^2+($AD89-$AI89)^2))</f>
        <v>28.160255680657446</v>
      </c>
      <c r="AK89" s="3">
        <v>2</v>
      </c>
      <c r="AL89" s="13">
        <v>-8.5</v>
      </c>
      <c r="AM89" s="13">
        <v>29.5</v>
      </c>
      <c r="AN89" s="19">
        <f t="shared" si="6"/>
        <v>1.1180339887498949</v>
      </c>
      <c r="AO89" s="3">
        <v>2</v>
      </c>
      <c r="AP89" s="13">
        <v>-8.5</v>
      </c>
      <c r="AQ89" s="13">
        <v>22</v>
      </c>
      <c r="AR89" s="19">
        <f t="shared" si="7"/>
        <v>7.0710678118654755</v>
      </c>
    </row>
    <row r="90" spans="1:44" ht="25.05" customHeight="1">
      <c r="A90" s="3">
        <v>4</v>
      </c>
      <c r="B90" s="2" t="s">
        <v>8</v>
      </c>
      <c r="C90" s="17" t="str">
        <f>IF($A90="","",IF(VLOOKUP($A90,Spiele!$A$2:$D$15,3,FALSE)=$B90,"H","G"))</f>
        <v>G</v>
      </c>
      <c r="D90" s="17" t="str">
        <f>IF($B90="","",IF(VLOOKUP($A90,Spiele!$A$2:$F$15,3,FALSE)=$B90,VLOOKUP($A90,Spiele!$A$2:$F$15,4,FALSE),VLOOKUP($A90,Spiele!$A$2:$F$15,3,FALSE)))</f>
        <v>DJK</v>
      </c>
      <c r="E90" s="18">
        <f>IF(Abschlüsse[[#This Row],[Ergeb]]="ET",0,COUNTIFS($A$2:$A90,$A90,$B$2:$B90,$B90,$L$2:$L90,"&lt;&gt;ET"))</f>
        <v>7</v>
      </c>
      <c r="F90" s="11">
        <v>31</v>
      </c>
      <c r="G90" s="12">
        <v>1</v>
      </c>
      <c r="H90" s="18">
        <f>COUNTIFS('Rote Karten'!$A$2:$A$4,$A90,'Rote Karten'!$D$2:$D$4,"&lt;&gt;"&amp;$B90,'Rote Karten'!$B$2:$B$4,"&lt;"&amp;$F90,'Rote Karten'!$C$2:$C$4,"&lt;="&amp;$G90)-COUNTIFS('Rote Karten'!$A$2:$A$4,$A90,'Rote Karten'!$D$2:$D$4,$B90,'Rote Karten'!$B$2:$B$4,"&lt;"&amp;$F90,'Rote Karten'!$C$2:$C$4,"&lt;="&amp;$G90)</f>
        <v>0</v>
      </c>
      <c r="I90" s="17" t="str">
        <f>IF(OR($L90="Tor",$L90="ET"),_xlfn.IFNA(IF(VLOOKUP($A90,Spiele!$A$2:$C$15,3,FALSE)=$B90,COUNTIFS($L$2:$L90,"Tor",$B$2:$B90,$B90,$A$2:$A90,$A90)+COUNTIFS($L$2:$L90,"ET",$B$2:$B90,$B90,$A$2:$A90,$A90)&amp;":"&amp;COUNTIFS($L$2:$L90,"Tor",$B$2:$B90,"&lt;&gt;"&amp;$B90,$A$2:$A90,$A90)+COUNTIFS($L$2:$L90,"ET",$B$2:$B90,"&lt;&gt;"&amp;$B90,$A$2:$A90,$A90),COUNTIFS($L$2:$L90,"Tor",$B$2:$B90,"&lt;&gt;"&amp;$B90,$A$2:$A90,$A90)+COUNTIFS($L$2:$L90,"ET",$B$2:$B90,"&lt;&gt;"&amp;$B90,$A$2:$A90,$A90)&amp;":"&amp;COUNTIFS($L$2:$L90,"Tor",$B$2:$B90,$B90,$A$2:$A90,$A90)+COUNTIFS($L$2:$L90,"ET",$B$2:$B90,$B90,$A$2:$A90,$A90)),""),"")</f>
        <v/>
      </c>
      <c r="J90" s="18">
        <f>_xlfn.IFNA(IF(VLOOKUP($A90,Spiele!$A$2:$D$15,3,FALSE)=$B90,(COUNTIFS($L$1:$L89,"Tor",$B$1:$B89,$B90,$A$1:$A89,$A90)+COUNTIFS($L$1:$L89,"ET",$B$1:$B89,$B90,$A$1:$A89,$A90))-(COUNTIFS($L$1:$L89,"Tor",$B$1:$B89,"&lt;&gt;"&amp;$B90,$A$1:$A89,$A90)+COUNTIFS($L$1:$L89,"ET",$B$1:$B89,"&lt;&gt;"&amp;$B90,$A$1:$A89,$A90)),(COUNTIFS($L$1:$L89,"Tor",$B$1:$B89,$B90,$A$1:$A89,$A90)+COUNTIFS($L$1:$L89,"ET",$B$1:$B89,$B90,$A$1:$A89,$A90))-(COUNTIFS($L$1:$L89,"Tor",$B$1:$B89,"&lt;&gt;"&amp;$B90,$A$1:$A89,$A90)+COUNTIFS($L$1:$L89,"ET",$B$1:$B89,"&lt;&gt;"&amp;$B90,$A$1:$A89,$A90))),"")</f>
        <v>1</v>
      </c>
      <c r="K90" s="3">
        <v>6</v>
      </c>
      <c r="L90" s="17" t="s">
        <v>19</v>
      </c>
      <c r="M90" s="2" t="s">
        <v>147</v>
      </c>
      <c r="N90" s="2" t="s">
        <v>165</v>
      </c>
      <c r="X90" s="2" t="s">
        <v>142</v>
      </c>
      <c r="Y90" s="17" t="s">
        <v>143</v>
      </c>
      <c r="Z90" s="14" t="s">
        <v>150</v>
      </c>
      <c r="AA90" s="14" t="s">
        <v>145</v>
      </c>
      <c r="AB90" s="18">
        <v>27</v>
      </c>
      <c r="AC90" s="13">
        <v>-4</v>
      </c>
      <c r="AD90" s="13">
        <v>22.5</v>
      </c>
      <c r="AE90" s="19">
        <f t="shared" si="4"/>
        <v>22.502568742256958</v>
      </c>
      <c r="AF90" s="19">
        <f t="shared" si="5"/>
        <v>17.935119225518985</v>
      </c>
      <c r="AG90" s="2" t="s">
        <v>146</v>
      </c>
      <c r="AH90" s="13">
        <v>-1</v>
      </c>
      <c r="AI90" s="13">
        <v>1.5</v>
      </c>
      <c r="AJ90" s="19">
        <f>IF(Abschlüsse[[#This Row],[Ergeb]]="ET","",SQRT(($AC90-$AH90)^2+($AD90-$AI90)^2))</f>
        <v>21.213203435596427</v>
      </c>
      <c r="AK90" s="3">
        <v>1</v>
      </c>
      <c r="AL90" s="13">
        <v>-5.5</v>
      </c>
      <c r="AM90" s="13">
        <v>22.5</v>
      </c>
      <c r="AN90" s="19">
        <f t="shared" si="6"/>
        <v>1.5</v>
      </c>
      <c r="AO90" s="3">
        <v>0</v>
      </c>
      <c r="AR90" s="19" t="str">
        <f t="shared" si="7"/>
        <v/>
      </c>
    </row>
    <row r="91" spans="1:44" ht="25.05" customHeight="1">
      <c r="A91" s="3">
        <v>4</v>
      </c>
      <c r="B91" s="2" t="s">
        <v>8</v>
      </c>
      <c r="C91" s="17" t="str">
        <f>IF($A91="","",IF(VLOOKUP($A91,Spiele!$A$2:$D$15,3,FALSE)=$B91,"H","G"))</f>
        <v>G</v>
      </c>
      <c r="D91" s="17" t="str">
        <f>IF($B91="","",IF(VLOOKUP($A91,Spiele!$A$2:$F$15,3,FALSE)=$B91,VLOOKUP($A91,Spiele!$A$2:$F$15,4,FALSE),VLOOKUP($A91,Spiele!$A$2:$F$15,3,FALSE)))</f>
        <v>DJK</v>
      </c>
      <c r="E91" s="18">
        <f>IF(Abschlüsse[[#This Row],[Ergeb]]="ET",0,COUNTIFS($A$2:$A91,$A91,$B$2:$B91,$B91,$L$2:$L91,"&lt;&gt;ET"))</f>
        <v>8</v>
      </c>
      <c r="F91" s="11">
        <v>36</v>
      </c>
      <c r="G91" s="12">
        <v>1</v>
      </c>
      <c r="H91" s="18">
        <f>COUNTIFS('Rote Karten'!$A$2:$A$4,$A91,'Rote Karten'!$D$2:$D$4,"&lt;&gt;"&amp;$B91,'Rote Karten'!$B$2:$B$4,"&lt;"&amp;$F91,'Rote Karten'!$C$2:$C$4,"&lt;="&amp;$G91)-COUNTIFS('Rote Karten'!$A$2:$A$4,$A91,'Rote Karten'!$D$2:$D$4,$B91,'Rote Karten'!$B$2:$B$4,"&lt;"&amp;$F91,'Rote Karten'!$C$2:$C$4,"&lt;="&amp;$G91)</f>
        <v>0</v>
      </c>
      <c r="I91" s="17" t="str">
        <f>IF(OR($L91="Tor",$L91="ET"),_xlfn.IFNA(IF(VLOOKUP($A91,Spiele!$A$2:$C$15,3,FALSE)=$B91,COUNTIFS($L$2:$L91,"Tor",$B$2:$B91,$B91,$A$2:$A91,$A91)+COUNTIFS($L$2:$L91,"ET",$B$2:$B91,$B91,$A$2:$A91,$A91)&amp;":"&amp;COUNTIFS($L$2:$L91,"Tor",$B$2:$B91,"&lt;&gt;"&amp;$B91,$A$2:$A91,$A91)+COUNTIFS($L$2:$L91,"ET",$B$2:$B91,"&lt;&gt;"&amp;$B91,$A$2:$A91,$A91),COUNTIFS($L$2:$L91,"Tor",$B$2:$B91,"&lt;&gt;"&amp;$B91,$A$2:$A91,$A91)+COUNTIFS($L$2:$L91,"ET",$B$2:$B91,"&lt;&gt;"&amp;$B91,$A$2:$A91,$A91)&amp;":"&amp;COUNTIFS($L$2:$L91,"Tor",$B$2:$B91,$B91,$A$2:$A91,$A91)+COUNTIFS($L$2:$L91,"ET",$B$2:$B91,$B91,$A$2:$A91,$A91)),""),"")</f>
        <v/>
      </c>
      <c r="J91" s="18">
        <f>_xlfn.IFNA(IF(VLOOKUP($A91,Spiele!$A$2:$D$15,3,FALSE)=$B91,(COUNTIFS($L$1:$L90,"Tor",$B$1:$B90,$B91,$A$1:$A90,$A91)+COUNTIFS($L$1:$L90,"ET",$B$1:$B90,$B91,$A$1:$A90,$A91))-(COUNTIFS($L$1:$L90,"Tor",$B$1:$B90,"&lt;&gt;"&amp;$B91,$A$1:$A90,$A91)+COUNTIFS($L$1:$L90,"ET",$B$1:$B90,"&lt;&gt;"&amp;$B91,$A$1:$A90,$A91)),(COUNTIFS($L$1:$L90,"Tor",$B$1:$B90,$B91,$A$1:$A90,$A91)+COUNTIFS($L$1:$L90,"ET",$B$1:$B90,$B91,$A$1:$A90,$A91))-(COUNTIFS($L$1:$L90,"Tor",$B$1:$B90,"&lt;&gt;"&amp;$B91,$A$1:$A90,$A91)+COUNTIFS($L$1:$L90,"ET",$B$1:$B90,"&lt;&gt;"&amp;$B91,$A$1:$A90,$A91))),"")</f>
        <v>1</v>
      </c>
      <c r="K91" s="3">
        <v>7</v>
      </c>
      <c r="L91" s="17" t="s">
        <v>18</v>
      </c>
      <c r="M91" s="2" t="s">
        <v>147</v>
      </c>
      <c r="N91" s="2" t="s">
        <v>158</v>
      </c>
      <c r="O91" s="2">
        <v>23</v>
      </c>
      <c r="P91" s="2">
        <v>27</v>
      </c>
      <c r="Q91" s="2">
        <v>16</v>
      </c>
      <c r="R91" s="2">
        <v>6</v>
      </c>
      <c r="S91" s="2">
        <v>8</v>
      </c>
      <c r="T91" s="2">
        <v>19</v>
      </c>
      <c r="X91" s="2" t="s">
        <v>151</v>
      </c>
      <c r="Y91" s="17" t="s">
        <v>143</v>
      </c>
      <c r="Z91" s="14" t="s">
        <v>150</v>
      </c>
      <c r="AA91" s="14" t="s">
        <v>156</v>
      </c>
      <c r="AB91" s="18">
        <v>27</v>
      </c>
      <c r="AC91" s="13">
        <v>-8</v>
      </c>
      <c r="AD91" s="13">
        <v>28</v>
      </c>
      <c r="AE91" s="19">
        <f t="shared" si="4"/>
        <v>28.334353707116737</v>
      </c>
      <c r="AF91" s="19">
        <f t="shared" si="5"/>
        <v>13.797507152777936</v>
      </c>
      <c r="AG91" s="2" t="s">
        <v>146</v>
      </c>
      <c r="AH91" s="13">
        <v>-0.5</v>
      </c>
      <c r="AI91" s="13">
        <v>2</v>
      </c>
      <c r="AJ91" s="19">
        <f>IF(Abschlüsse[[#This Row],[Ergeb]]="ET","",SQRT(($AC91-$AH91)^2+($AD91-$AI91)^2))</f>
        <v>27.060118255469618</v>
      </c>
      <c r="AK91" s="3">
        <v>1</v>
      </c>
      <c r="AL91" s="13">
        <v>-9</v>
      </c>
      <c r="AM91" s="13">
        <v>25</v>
      </c>
      <c r="AN91" s="19">
        <f t="shared" si="6"/>
        <v>3.1622776601683795</v>
      </c>
      <c r="AO91" s="3">
        <v>1</v>
      </c>
      <c r="AP91" s="13">
        <v>-5</v>
      </c>
      <c r="AQ91" s="13">
        <v>14</v>
      </c>
      <c r="AR91" s="19">
        <f t="shared" si="7"/>
        <v>14.317821063276353</v>
      </c>
    </row>
    <row r="92" spans="1:44" ht="25.05" customHeight="1">
      <c r="A92" s="3">
        <v>4</v>
      </c>
      <c r="B92" s="2" t="s">
        <v>8</v>
      </c>
      <c r="C92" s="17" t="str">
        <f>IF($A92="","",IF(VLOOKUP($A92,Spiele!$A$2:$D$15,3,FALSE)=$B92,"H","G"))</f>
        <v>G</v>
      </c>
      <c r="D92" s="17" t="str">
        <f>IF($B92="","",IF(VLOOKUP($A92,Spiele!$A$2:$F$15,3,FALSE)=$B92,VLOOKUP($A92,Spiele!$A$2:$F$15,4,FALSE),VLOOKUP($A92,Spiele!$A$2:$F$15,3,FALSE)))</f>
        <v>DJK</v>
      </c>
      <c r="E92" s="18">
        <f>IF(Abschlüsse[[#This Row],[Ergeb]]="ET",0,COUNTIFS($A$2:$A92,$A92,$B$2:$B92,$B92,$L$2:$L92,"&lt;&gt;ET"))</f>
        <v>9</v>
      </c>
      <c r="F92" s="11">
        <v>37</v>
      </c>
      <c r="G92" s="12">
        <v>1</v>
      </c>
      <c r="H92" s="18">
        <f>COUNTIFS('Rote Karten'!$A$2:$A$4,$A92,'Rote Karten'!$D$2:$D$4,"&lt;&gt;"&amp;$B92,'Rote Karten'!$B$2:$B$4,"&lt;"&amp;$F92,'Rote Karten'!$C$2:$C$4,"&lt;="&amp;$G92)-COUNTIFS('Rote Karten'!$A$2:$A$4,$A92,'Rote Karten'!$D$2:$D$4,$B92,'Rote Karten'!$B$2:$B$4,"&lt;"&amp;$F92,'Rote Karten'!$C$2:$C$4,"&lt;="&amp;$G92)</f>
        <v>0</v>
      </c>
      <c r="I92" s="17" t="str">
        <f>IF(OR($L92="Tor",$L92="ET"),_xlfn.IFNA(IF(VLOOKUP($A92,Spiele!$A$2:$C$15,3,FALSE)=$B92,COUNTIFS($L$2:$L92,"Tor",$B$2:$B92,$B92,$A$2:$A92,$A92)+COUNTIFS($L$2:$L92,"ET",$B$2:$B92,$B92,$A$2:$A92,$A92)&amp;":"&amp;COUNTIFS($L$2:$L92,"Tor",$B$2:$B92,"&lt;&gt;"&amp;$B92,$A$2:$A92,$A92)+COUNTIFS($L$2:$L92,"ET",$B$2:$B92,"&lt;&gt;"&amp;$B92,$A$2:$A92,$A92),COUNTIFS($L$2:$L92,"Tor",$B$2:$B92,"&lt;&gt;"&amp;$B92,$A$2:$A92,$A92)+COUNTIFS($L$2:$L92,"ET",$B$2:$B92,"&lt;&gt;"&amp;$B92,$A$2:$A92,$A92)&amp;":"&amp;COUNTIFS($L$2:$L92,"Tor",$B$2:$B92,$B92,$A$2:$A92,$A92)+COUNTIFS($L$2:$L92,"ET",$B$2:$B92,$B92,$A$2:$A92,$A92)),""),"")</f>
        <v/>
      </c>
      <c r="J92" s="18">
        <f>_xlfn.IFNA(IF(VLOOKUP($A92,Spiele!$A$2:$D$15,3,FALSE)=$B92,(COUNTIFS($L$1:$L91,"Tor",$B$1:$B91,$B92,$A$1:$A91,$A92)+COUNTIFS($L$1:$L91,"ET",$B$1:$B91,$B92,$A$1:$A91,$A92))-(COUNTIFS($L$1:$L91,"Tor",$B$1:$B91,"&lt;&gt;"&amp;$B92,$A$1:$A91,$A92)+COUNTIFS($L$1:$L91,"ET",$B$1:$B91,"&lt;&gt;"&amp;$B92,$A$1:$A91,$A92)),(COUNTIFS($L$1:$L91,"Tor",$B$1:$B91,$B92,$A$1:$A91,$A92)+COUNTIFS($L$1:$L91,"ET",$B$1:$B91,$B92,$A$1:$A91,$A92))-(COUNTIFS($L$1:$L91,"Tor",$B$1:$B91,"&lt;&gt;"&amp;$B92,$A$1:$A91,$A92)+COUNTIFS($L$1:$L91,"ET",$B$1:$B91,"&lt;&gt;"&amp;$B92,$A$1:$A91,$A92))),"")</f>
        <v>1</v>
      </c>
      <c r="K92" s="3">
        <v>8</v>
      </c>
      <c r="L92" s="17" t="s">
        <v>18</v>
      </c>
      <c r="M92" s="2" t="s">
        <v>147</v>
      </c>
      <c r="N92" s="2" t="s">
        <v>158</v>
      </c>
      <c r="O92" s="2">
        <v>23</v>
      </c>
      <c r="X92" s="2" t="s">
        <v>151</v>
      </c>
      <c r="Y92" s="17" t="s">
        <v>143</v>
      </c>
      <c r="Z92" s="14" t="s">
        <v>150</v>
      </c>
      <c r="AA92" s="14" t="s">
        <v>145</v>
      </c>
      <c r="AB92" s="18">
        <v>16</v>
      </c>
      <c r="AC92" s="13">
        <v>-4</v>
      </c>
      <c r="AD92" s="13">
        <v>28.5</v>
      </c>
      <c r="AE92" s="19">
        <f t="shared" si="4"/>
        <v>28.502027998021475</v>
      </c>
      <c r="AF92" s="19">
        <f t="shared" si="5"/>
        <v>14.360476413754014</v>
      </c>
      <c r="AG92" s="2" t="s">
        <v>146</v>
      </c>
      <c r="AH92" s="13">
        <v>-1.5</v>
      </c>
      <c r="AI92" s="13">
        <v>2</v>
      </c>
      <c r="AJ92" s="19">
        <f>IF(Abschlüsse[[#This Row],[Ergeb]]="ET","",SQRT(($AC92-$AH92)^2+($AD92-$AI92)^2))</f>
        <v>26.617663308412329</v>
      </c>
      <c r="AK92" s="3">
        <v>0</v>
      </c>
      <c r="AL92" s="13"/>
      <c r="AM92" s="13"/>
      <c r="AN92" s="19" t="str">
        <f t="shared" si="6"/>
        <v/>
      </c>
      <c r="AO92" s="3">
        <v>4</v>
      </c>
      <c r="AP92" s="13">
        <v>-3.5</v>
      </c>
      <c r="AQ92" s="13">
        <v>24.5</v>
      </c>
      <c r="AR92" s="19">
        <f t="shared" si="7"/>
        <v>4.0311288741492746</v>
      </c>
    </row>
    <row r="93" spans="1:44" ht="25.05" customHeight="1">
      <c r="A93" s="3">
        <v>4</v>
      </c>
      <c r="B93" s="2" t="s">
        <v>8</v>
      </c>
      <c r="C93" s="17" t="str">
        <f>IF($A93="","",IF(VLOOKUP($A93,Spiele!$A$2:$D$15,3,FALSE)=$B93,"H","G"))</f>
        <v>G</v>
      </c>
      <c r="D93" s="17" t="str">
        <f>IF($B93="","",IF(VLOOKUP($A93,Spiele!$A$2:$F$15,3,FALSE)=$B93,VLOOKUP($A93,Spiele!$A$2:$F$15,4,FALSE),VLOOKUP($A93,Spiele!$A$2:$F$15,3,FALSE)))</f>
        <v>DJK</v>
      </c>
      <c r="E93" s="18">
        <f>IF(Abschlüsse[[#This Row],[Ergeb]]="ET",0,COUNTIFS($A$2:$A93,$A93,$B$2:$B93,$B93,$L$2:$L93,"&lt;&gt;ET"))</f>
        <v>10</v>
      </c>
      <c r="F93" s="11">
        <v>38</v>
      </c>
      <c r="G93" s="12">
        <v>1</v>
      </c>
      <c r="H93" s="18">
        <f>COUNTIFS('Rote Karten'!$A$2:$A$4,$A93,'Rote Karten'!$D$2:$D$4,"&lt;&gt;"&amp;$B93,'Rote Karten'!$B$2:$B$4,"&lt;"&amp;$F93,'Rote Karten'!$C$2:$C$4,"&lt;="&amp;$G93)-COUNTIFS('Rote Karten'!$A$2:$A$4,$A93,'Rote Karten'!$D$2:$D$4,$B93,'Rote Karten'!$B$2:$B$4,"&lt;"&amp;$F93,'Rote Karten'!$C$2:$C$4,"&lt;="&amp;$G93)</f>
        <v>0</v>
      </c>
      <c r="I93" s="17" t="str">
        <f>IF(OR($L93="Tor",$L93="ET"),_xlfn.IFNA(IF(VLOOKUP($A93,Spiele!$A$2:$C$15,3,FALSE)=$B93,COUNTIFS($L$2:$L93,"Tor",$B$2:$B93,$B93,$A$2:$A93,$A93)+COUNTIFS($L$2:$L93,"ET",$B$2:$B93,$B93,$A$2:$A93,$A93)&amp;":"&amp;COUNTIFS($L$2:$L93,"Tor",$B$2:$B93,"&lt;&gt;"&amp;$B93,$A$2:$A93,$A93)+COUNTIFS($L$2:$L93,"ET",$B$2:$B93,"&lt;&gt;"&amp;$B93,$A$2:$A93,$A93),COUNTIFS($L$2:$L93,"Tor",$B$2:$B93,"&lt;&gt;"&amp;$B93,$A$2:$A93,$A93)+COUNTIFS($L$2:$L93,"ET",$B$2:$B93,"&lt;&gt;"&amp;$B93,$A$2:$A93,$A93)&amp;":"&amp;COUNTIFS($L$2:$L93,"Tor",$B$2:$B93,$B93,$A$2:$A93,$A93)+COUNTIFS($L$2:$L93,"ET",$B$2:$B93,$B93,$A$2:$A93,$A93)),""),"")</f>
        <v/>
      </c>
      <c r="J93" s="18">
        <f>_xlfn.IFNA(IF(VLOOKUP($A93,Spiele!$A$2:$D$15,3,FALSE)=$B93,(COUNTIFS($L$1:$L92,"Tor",$B$1:$B92,$B93,$A$1:$A92,$A93)+COUNTIFS($L$1:$L92,"ET",$B$1:$B92,$B93,$A$1:$A92,$A93))-(COUNTIFS($L$1:$L92,"Tor",$B$1:$B92,"&lt;&gt;"&amp;$B93,$A$1:$A92,$A93)+COUNTIFS($L$1:$L92,"ET",$B$1:$B92,"&lt;&gt;"&amp;$B93,$A$1:$A92,$A93)),(COUNTIFS($L$1:$L92,"Tor",$B$1:$B92,$B93,$A$1:$A92,$A93)+COUNTIFS($L$1:$L92,"ET",$B$1:$B92,$B93,$A$1:$A92,$A93))-(COUNTIFS($L$1:$L92,"Tor",$B$1:$B92,"&lt;&gt;"&amp;$B93,$A$1:$A92,$A93)+COUNTIFS($L$1:$L92,"ET",$B$1:$B92,"&lt;&gt;"&amp;$B93,$A$1:$A92,$A93))),"")</f>
        <v>1</v>
      </c>
      <c r="K93" s="3">
        <v>9</v>
      </c>
      <c r="L93" s="17" t="s">
        <v>19</v>
      </c>
      <c r="M93" s="2" t="s">
        <v>168</v>
      </c>
      <c r="N93" s="2" t="s">
        <v>3</v>
      </c>
      <c r="X93" s="2" t="s">
        <v>141</v>
      </c>
      <c r="Y93" s="17" t="s">
        <v>143</v>
      </c>
      <c r="Z93" s="14" t="s">
        <v>144</v>
      </c>
      <c r="AA93" s="14" t="s">
        <v>145</v>
      </c>
      <c r="AB93" s="18">
        <v>6</v>
      </c>
      <c r="AC93" s="13">
        <v>0</v>
      </c>
      <c r="AD93" s="13">
        <v>37</v>
      </c>
      <c r="AE93" s="19">
        <f t="shared" si="4"/>
        <v>37</v>
      </c>
      <c r="AF93" s="19">
        <f t="shared" si="5"/>
        <v>11.298516987139715</v>
      </c>
      <c r="AG93" s="2" t="s">
        <v>169</v>
      </c>
      <c r="AH93" s="13">
        <v>-0.5</v>
      </c>
      <c r="AI93" s="13">
        <v>7.5</v>
      </c>
      <c r="AJ93" s="19">
        <f>IF(Abschlüsse[[#This Row],[Ergeb]]="ET","",SQRT(($AC93-$AH93)^2+($AD93-$AI93)^2))</f>
        <v>29.504236983863859</v>
      </c>
      <c r="AK93" s="3">
        <v>1</v>
      </c>
      <c r="AL93" s="13">
        <v>0</v>
      </c>
      <c r="AM93" s="13">
        <v>39</v>
      </c>
      <c r="AN93" s="19">
        <f t="shared" si="6"/>
        <v>2</v>
      </c>
      <c r="AO93" s="3">
        <v>4</v>
      </c>
      <c r="AP93" s="13">
        <v>0</v>
      </c>
      <c r="AQ93" s="13">
        <v>20</v>
      </c>
      <c r="AR93" s="19">
        <f t="shared" si="7"/>
        <v>17</v>
      </c>
    </row>
    <row r="94" spans="1:44" ht="25.05" customHeight="1">
      <c r="A94" s="3">
        <v>4</v>
      </c>
      <c r="B94" s="2" t="s">
        <v>60</v>
      </c>
      <c r="C94" s="17" t="str">
        <f>IF($A94="","",IF(VLOOKUP($A94,Spiele!$A$2:$D$15,3,FALSE)=$B94,"H","G"))</f>
        <v>H</v>
      </c>
      <c r="D94" s="17" t="str">
        <f>IF($B94="","",IF(VLOOKUP($A94,Spiele!$A$2:$F$15,3,FALSE)=$B94,VLOOKUP($A94,Spiele!$A$2:$F$15,4,FALSE),VLOOKUP($A94,Spiele!$A$2:$F$15,3,FALSE)))</f>
        <v>FCN</v>
      </c>
      <c r="E94" s="18">
        <f>IF(Abschlüsse[[#This Row],[Ergeb]]="ET",0,COUNTIFS($A$2:$A94,$A94,$B$2:$B94,$B94,$L$2:$L94,"&lt;&gt;ET"))</f>
        <v>1</v>
      </c>
      <c r="F94" s="11">
        <v>39</v>
      </c>
      <c r="G94" s="12">
        <v>1</v>
      </c>
      <c r="H94" s="18">
        <f>COUNTIFS('Rote Karten'!$A$2:$A$4,$A94,'Rote Karten'!$D$2:$D$4,"&lt;&gt;"&amp;$B94,'Rote Karten'!$B$2:$B$4,"&lt;"&amp;$F94,'Rote Karten'!$C$2:$C$4,"&lt;="&amp;$G94)-COUNTIFS('Rote Karten'!$A$2:$A$4,$A94,'Rote Karten'!$D$2:$D$4,$B94,'Rote Karten'!$B$2:$B$4,"&lt;"&amp;$F94,'Rote Karten'!$C$2:$C$4,"&lt;="&amp;$G94)</f>
        <v>0</v>
      </c>
      <c r="I94" s="17" t="str">
        <f>IF(OR($L94="Tor",$L94="ET"),_xlfn.IFNA(IF(VLOOKUP($A94,Spiele!$A$2:$C$15,3,FALSE)=$B94,COUNTIFS($L$2:$L94,"Tor",$B$2:$B94,$B94,$A$2:$A94,$A94)+COUNTIFS($L$2:$L94,"ET",$B$2:$B94,$B94,$A$2:$A94,$A94)&amp;":"&amp;COUNTIFS($L$2:$L94,"Tor",$B$2:$B94,"&lt;&gt;"&amp;$B94,$A$2:$A94,$A94)+COUNTIFS($L$2:$L94,"ET",$B$2:$B94,"&lt;&gt;"&amp;$B94,$A$2:$A94,$A94),COUNTIFS($L$2:$L94,"Tor",$B$2:$B94,"&lt;&gt;"&amp;$B94,$A$2:$A94,$A94)+COUNTIFS($L$2:$L94,"ET",$B$2:$B94,"&lt;&gt;"&amp;$B94,$A$2:$A94,$A94)&amp;":"&amp;COUNTIFS($L$2:$L94,"Tor",$B$2:$B94,$B94,$A$2:$A94,$A94)+COUNTIFS($L$2:$L94,"ET",$B$2:$B94,$B94,$A$2:$A94,$A94)),""),"")</f>
        <v/>
      </c>
      <c r="J94" s="18">
        <f>_xlfn.IFNA(IF(VLOOKUP($A94,Spiele!$A$2:$D$15,3,FALSE)=$B94,(COUNTIFS($L$1:$L93,"Tor",$B$1:$B93,$B94,$A$1:$A93,$A94)+COUNTIFS($L$1:$L93,"ET",$B$1:$B93,$B94,$A$1:$A93,$A94))-(COUNTIFS($L$1:$L93,"Tor",$B$1:$B93,"&lt;&gt;"&amp;$B94,$A$1:$A93,$A94)+COUNTIFS($L$1:$L93,"ET",$B$1:$B93,"&lt;&gt;"&amp;$B94,$A$1:$A93,$A94)),(COUNTIFS($L$1:$L93,"Tor",$B$1:$B93,$B94,$A$1:$A93,$A94)+COUNTIFS($L$1:$L93,"ET",$B$1:$B93,$B94,$A$1:$A93,$A94))-(COUNTIFS($L$1:$L93,"Tor",$B$1:$B93,"&lt;&gt;"&amp;$B94,$A$1:$A93,$A94)+COUNTIFS($L$1:$L93,"ET",$B$1:$B93,"&lt;&gt;"&amp;$B94,$A$1:$A93,$A94))),"")</f>
        <v>-1</v>
      </c>
      <c r="K94" s="3">
        <v>10</v>
      </c>
      <c r="L94" s="17" t="s">
        <v>19</v>
      </c>
      <c r="M94" s="2" t="s">
        <v>147</v>
      </c>
      <c r="N94" s="2" t="s">
        <v>158</v>
      </c>
      <c r="X94" s="2" t="s">
        <v>151</v>
      </c>
      <c r="Y94" s="17" t="s">
        <v>143</v>
      </c>
      <c r="Z94" s="14" t="s">
        <v>150</v>
      </c>
      <c r="AA94" s="14" t="s">
        <v>156</v>
      </c>
      <c r="AB94" s="18"/>
      <c r="AC94" s="13">
        <v>-15</v>
      </c>
      <c r="AD94" s="13">
        <v>22</v>
      </c>
      <c r="AE94" s="19">
        <f t="shared" si="4"/>
        <v>24.750668677835755</v>
      </c>
      <c r="AF94" s="19">
        <f t="shared" si="5"/>
        <v>13.034956093856573</v>
      </c>
      <c r="AG94" s="2" t="s">
        <v>146</v>
      </c>
      <c r="AH94" s="13">
        <v>-0.5</v>
      </c>
      <c r="AI94" s="13">
        <v>1</v>
      </c>
      <c r="AJ94" s="19">
        <f>IF(Abschlüsse[[#This Row],[Ergeb]]="ET","",SQRT(($AC94-$AH94)^2+($AD94-$AI94)^2))</f>
        <v>25.519600310349691</v>
      </c>
      <c r="AK94" s="3">
        <v>0</v>
      </c>
      <c r="AL94" s="13"/>
      <c r="AM94" s="13"/>
      <c r="AN94" s="19" t="str">
        <f t="shared" si="6"/>
        <v/>
      </c>
      <c r="AO94" s="3">
        <v>2</v>
      </c>
      <c r="AP94" s="13">
        <v>-12.5</v>
      </c>
      <c r="AQ94" s="13">
        <v>18</v>
      </c>
      <c r="AR94" s="19">
        <f t="shared" si="7"/>
        <v>4.7169905660283016</v>
      </c>
    </row>
    <row r="95" spans="1:44" ht="25.05" customHeight="1">
      <c r="A95" s="3">
        <v>4</v>
      </c>
      <c r="B95" s="2" t="s">
        <v>8</v>
      </c>
      <c r="C95" s="17" t="str">
        <f>IF($A95="","",IF(VLOOKUP($A95,Spiele!$A$2:$D$15,3,FALSE)=$B95,"H","G"))</f>
        <v>G</v>
      </c>
      <c r="D95" s="17" t="str">
        <f>IF($B95="","",IF(VLOOKUP($A95,Spiele!$A$2:$F$15,3,FALSE)=$B95,VLOOKUP($A95,Spiele!$A$2:$F$15,4,FALSE),VLOOKUP($A95,Spiele!$A$2:$F$15,3,FALSE)))</f>
        <v>DJK</v>
      </c>
      <c r="E95" s="18">
        <f>IF(Abschlüsse[[#This Row],[Ergeb]]="ET",0,COUNTIFS($A$2:$A95,$A95,$B$2:$B95,$B95,$L$2:$L95,"&lt;&gt;ET"))</f>
        <v>11</v>
      </c>
      <c r="F95" s="11">
        <v>42</v>
      </c>
      <c r="G95" s="12">
        <v>1</v>
      </c>
      <c r="H95" s="18">
        <f>COUNTIFS('Rote Karten'!$A$2:$A$4,$A95,'Rote Karten'!$D$2:$D$4,"&lt;&gt;"&amp;$B95,'Rote Karten'!$B$2:$B$4,"&lt;"&amp;$F95,'Rote Karten'!$C$2:$C$4,"&lt;="&amp;$G95)-COUNTIFS('Rote Karten'!$A$2:$A$4,$A95,'Rote Karten'!$D$2:$D$4,$B95,'Rote Karten'!$B$2:$B$4,"&lt;"&amp;$F95,'Rote Karten'!$C$2:$C$4,"&lt;="&amp;$G95)</f>
        <v>0</v>
      </c>
      <c r="I95" s="17" t="str">
        <f>IF(OR($L95="Tor",$L95="ET"),_xlfn.IFNA(IF(VLOOKUP($A95,Spiele!$A$2:$C$15,3,FALSE)=$B95,COUNTIFS($L$2:$L95,"Tor",$B$2:$B95,$B95,$A$2:$A95,$A95)+COUNTIFS($L$2:$L95,"ET",$B$2:$B95,$B95,$A$2:$A95,$A95)&amp;":"&amp;COUNTIFS($L$2:$L95,"Tor",$B$2:$B95,"&lt;&gt;"&amp;$B95,$A$2:$A95,$A95)+COUNTIFS($L$2:$L95,"ET",$B$2:$B95,"&lt;&gt;"&amp;$B95,$A$2:$A95,$A95),COUNTIFS($L$2:$L95,"Tor",$B$2:$B95,"&lt;&gt;"&amp;$B95,$A$2:$A95,$A95)+COUNTIFS($L$2:$L95,"ET",$B$2:$B95,"&lt;&gt;"&amp;$B95,$A$2:$A95,$A95)&amp;":"&amp;COUNTIFS($L$2:$L95,"Tor",$B$2:$B95,$B95,$A$2:$A95,$A95)+COUNTIFS($L$2:$L95,"ET",$B$2:$B95,$B95,$A$2:$A95,$A95)),""),"")</f>
        <v/>
      </c>
      <c r="J95" s="18">
        <f>_xlfn.IFNA(IF(VLOOKUP($A95,Spiele!$A$2:$D$15,3,FALSE)=$B95,(COUNTIFS($L$1:$L94,"Tor",$B$1:$B94,$B95,$A$1:$A94,$A95)+COUNTIFS($L$1:$L94,"ET",$B$1:$B94,$B95,$A$1:$A94,$A95))-(COUNTIFS($L$1:$L94,"Tor",$B$1:$B94,"&lt;&gt;"&amp;$B95,$A$1:$A94,$A95)+COUNTIFS($L$1:$L94,"ET",$B$1:$B94,"&lt;&gt;"&amp;$B95,$A$1:$A94,$A95)),(COUNTIFS($L$1:$L94,"Tor",$B$1:$B94,$B95,$A$1:$A94,$A95)+COUNTIFS($L$1:$L94,"ET",$B$1:$B94,$B95,$A$1:$A94,$A95))-(COUNTIFS($L$1:$L94,"Tor",$B$1:$B94,"&lt;&gt;"&amp;$B95,$A$1:$A94,$A95)+COUNTIFS($L$1:$L94,"ET",$B$1:$B94,"&lt;&gt;"&amp;$B95,$A$1:$A94,$A95))),"")</f>
        <v>1</v>
      </c>
      <c r="K95" s="3">
        <v>11</v>
      </c>
      <c r="L95" s="17" t="s">
        <v>20</v>
      </c>
      <c r="M95" s="2" t="s">
        <v>147</v>
      </c>
      <c r="N95" s="2" t="s">
        <v>3</v>
      </c>
      <c r="X95" s="2" t="s">
        <v>151</v>
      </c>
      <c r="Y95" s="17" t="s">
        <v>149</v>
      </c>
      <c r="Z95" s="14" t="s">
        <v>150</v>
      </c>
      <c r="AA95" s="14" t="s">
        <v>145</v>
      </c>
      <c r="AB95" s="18">
        <v>20</v>
      </c>
      <c r="AC95" s="13">
        <v>-7.5</v>
      </c>
      <c r="AD95" s="13">
        <v>21</v>
      </c>
      <c r="AE95" s="19">
        <f t="shared" si="4"/>
        <v>21.348198987268223</v>
      </c>
      <c r="AF95" s="19">
        <f t="shared" si="5"/>
        <v>17.624994092324112</v>
      </c>
      <c r="AG95" s="2" t="s">
        <v>146</v>
      </c>
      <c r="AH95" s="13">
        <v>-1</v>
      </c>
      <c r="AI95" s="13">
        <v>3</v>
      </c>
      <c r="AJ95" s="19">
        <f>IF(Abschlüsse[[#This Row],[Ergeb]]="ET","",SQRT(($AC95-$AH95)^2+($AD95-$AI95)^2))</f>
        <v>19.137659209004639</v>
      </c>
      <c r="AK95" s="3">
        <v>0</v>
      </c>
      <c r="AL95" s="13"/>
      <c r="AM95" s="13"/>
      <c r="AN95" s="19" t="str">
        <f t="shared" si="6"/>
        <v/>
      </c>
      <c r="AO95" s="3">
        <v>3</v>
      </c>
      <c r="AP95" s="13">
        <v>-6.5</v>
      </c>
      <c r="AQ95" s="13">
        <v>18</v>
      </c>
      <c r="AR95" s="19">
        <f t="shared" si="7"/>
        <v>3.1622776601683795</v>
      </c>
    </row>
    <row r="96" spans="1:44" ht="25.05" customHeight="1">
      <c r="A96" s="3">
        <v>4</v>
      </c>
      <c r="B96" s="2" t="s">
        <v>60</v>
      </c>
      <c r="C96" s="17" t="str">
        <f>IF($A96="","",IF(VLOOKUP($A96,Spiele!$A$2:$D$15,3,FALSE)=$B96,"H","G"))</f>
        <v>H</v>
      </c>
      <c r="D96" s="17" t="str">
        <f>IF($B96="","",IF(VLOOKUP($A96,Spiele!$A$2:$F$15,3,FALSE)=$B96,VLOOKUP($A96,Spiele!$A$2:$F$15,4,FALSE),VLOOKUP($A96,Spiele!$A$2:$F$15,3,FALSE)))</f>
        <v>FCN</v>
      </c>
      <c r="E96" s="18">
        <f>IF(Abschlüsse[[#This Row],[Ergeb]]="ET",0,COUNTIFS($A$2:$A96,$A96,$B$2:$B96,$B96,$L$2:$L96,"&lt;&gt;ET"))</f>
        <v>2</v>
      </c>
      <c r="F96" s="11">
        <v>41</v>
      </c>
      <c r="G96" s="12">
        <v>2</v>
      </c>
      <c r="H96" s="18">
        <f>COUNTIFS('Rote Karten'!$A$2:$A$4,$A96,'Rote Karten'!$D$2:$D$4,"&lt;&gt;"&amp;$B96,'Rote Karten'!$B$2:$B$4,"&lt;"&amp;$F96,'Rote Karten'!$C$2:$C$4,"&lt;="&amp;$G96)-COUNTIFS('Rote Karten'!$A$2:$A$4,$A96,'Rote Karten'!$D$2:$D$4,$B96,'Rote Karten'!$B$2:$B$4,"&lt;"&amp;$F96,'Rote Karten'!$C$2:$C$4,"&lt;="&amp;$G96)</f>
        <v>0</v>
      </c>
      <c r="I96" s="17" t="str">
        <f>IF(OR($L96="Tor",$L96="ET"),_xlfn.IFNA(IF(VLOOKUP($A96,Spiele!$A$2:$C$15,3,FALSE)=$B96,COUNTIFS($L$2:$L96,"Tor",$B$2:$B96,$B96,$A$2:$A96,$A96)+COUNTIFS($L$2:$L96,"ET",$B$2:$B96,$B96,$A$2:$A96,$A96)&amp;":"&amp;COUNTIFS($L$2:$L96,"Tor",$B$2:$B96,"&lt;&gt;"&amp;$B96,$A$2:$A96,$A96)+COUNTIFS($L$2:$L96,"ET",$B$2:$B96,"&lt;&gt;"&amp;$B96,$A$2:$A96,$A96),COUNTIFS($L$2:$L96,"Tor",$B$2:$B96,"&lt;&gt;"&amp;$B96,$A$2:$A96,$A96)+COUNTIFS($L$2:$L96,"ET",$B$2:$B96,"&lt;&gt;"&amp;$B96,$A$2:$A96,$A96)&amp;":"&amp;COUNTIFS($L$2:$L96,"Tor",$B$2:$B96,$B96,$A$2:$A96,$A96)+COUNTIFS($L$2:$L96,"ET",$B$2:$B96,$B96,$A$2:$A96,$A96)),""),"")</f>
        <v/>
      </c>
      <c r="J96" s="18">
        <f>_xlfn.IFNA(IF(VLOOKUP($A96,Spiele!$A$2:$D$15,3,FALSE)=$B96,(COUNTIFS($L$1:$L95,"Tor",$B$1:$B95,$B96,$A$1:$A95,$A96)+COUNTIFS($L$1:$L95,"ET",$B$1:$B95,$B96,$A$1:$A95,$A96))-(COUNTIFS($L$1:$L95,"Tor",$B$1:$B95,"&lt;&gt;"&amp;$B96,$A$1:$A95,$A96)+COUNTIFS($L$1:$L95,"ET",$B$1:$B95,"&lt;&gt;"&amp;$B96,$A$1:$A95,$A96)),(COUNTIFS($L$1:$L95,"Tor",$B$1:$B95,$B96,$A$1:$A95,$A96)+COUNTIFS($L$1:$L95,"ET",$B$1:$B95,$B96,$A$1:$A95,$A96))-(COUNTIFS($L$1:$L95,"Tor",$B$1:$B95,"&lt;&gt;"&amp;$B96,$A$1:$A95,$A96)+COUNTIFS($L$1:$L95,"ET",$B$1:$B95,"&lt;&gt;"&amp;$B96,$A$1:$A95,$A96))),"")</f>
        <v>-1</v>
      </c>
      <c r="K96" s="3">
        <v>12</v>
      </c>
      <c r="L96" s="17" t="s">
        <v>19</v>
      </c>
      <c r="M96" s="2" t="s">
        <v>173</v>
      </c>
      <c r="N96" s="2" t="s">
        <v>173</v>
      </c>
      <c r="X96" s="2" t="s">
        <v>154</v>
      </c>
      <c r="Y96" s="17" t="s">
        <v>160</v>
      </c>
      <c r="Z96" s="14" t="s">
        <v>161</v>
      </c>
      <c r="AA96" s="14" t="s">
        <v>156</v>
      </c>
      <c r="AB96" s="18"/>
      <c r="AC96" s="13">
        <v>-5</v>
      </c>
      <c r="AD96" s="13">
        <v>9.5</v>
      </c>
      <c r="AE96" s="19">
        <f t="shared" si="4"/>
        <v>9.5940398164693885</v>
      </c>
      <c r="AF96" s="19">
        <f t="shared" si="5"/>
        <v>34.322888606241513</v>
      </c>
      <c r="AG96" s="2" t="s">
        <v>146</v>
      </c>
      <c r="AH96" s="13">
        <v>-0.5</v>
      </c>
      <c r="AI96" s="13">
        <v>0.5</v>
      </c>
      <c r="AJ96" s="19">
        <f>IF(Abschlüsse[[#This Row],[Ergeb]]="ET","",SQRT(($AC96-$AH96)^2+($AD96-$AI96)^2))</f>
        <v>10.062305898749054</v>
      </c>
      <c r="AK96" s="3">
        <v>1</v>
      </c>
      <c r="AL96" s="13">
        <v>-6.5</v>
      </c>
      <c r="AM96" s="13">
        <v>7.5</v>
      </c>
      <c r="AN96" s="19">
        <f t="shared" si="6"/>
        <v>2.5</v>
      </c>
      <c r="AO96" s="3">
        <v>2</v>
      </c>
      <c r="AP96" s="13">
        <v>-2.5</v>
      </c>
      <c r="AQ96" s="13">
        <v>7.5</v>
      </c>
      <c r="AR96" s="19">
        <f t="shared" si="7"/>
        <v>3.2015621187164243</v>
      </c>
    </row>
    <row r="97" spans="1:44" ht="25.05" customHeight="1">
      <c r="A97" s="3">
        <v>4</v>
      </c>
      <c r="B97" s="2" t="s">
        <v>8</v>
      </c>
      <c r="C97" s="17" t="str">
        <f>IF($A97="","",IF(VLOOKUP($A97,Spiele!$A$2:$D$15,3,FALSE)=$B97,"H","G"))</f>
        <v>G</v>
      </c>
      <c r="D97" s="17" t="str">
        <f>IF($B97="","",IF(VLOOKUP($A97,Spiele!$A$2:$F$15,3,FALSE)=$B97,VLOOKUP($A97,Spiele!$A$2:$F$15,4,FALSE),VLOOKUP($A97,Spiele!$A$2:$F$15,3,FALSE)))</f>
        <v>DJK</v>
      </c>
      <c r="E97" s="18">
        <f>IF(Abschlüsse[[#This Row],[Ergeb]]="ET",0,COUNTIFS($A$2:$A97,$A97,$B$2:$B97,$B97,$L$2:$L97,"&lt;&gt;ET"))</f>
        <v>12</v>
      </c>
      <c r="F97" s="11">
        <v>42</v>
      </c>
      <c r="G97" s="12">
        <v>2</v>
      </c>
      <c r="H97" s="18">
        <f>COUNTIFS('Rote Karten'!$A$2:$A$4,$A97,'Rote Karten'!$D$2:$D$4,"&lt;&gt;"&amp;$B97,'Rote Karten'!$B$2:$B$4,"&lt;"&amp;$F97,'Rote Karten'!$C$2:$C$4,"&lt;="&amp;$G97)-COUNTIFS('Rote Karten'!$A$2:$A$4,$A97,'Rote Karten'!$D$2:$D$4,$B97,'Rote Karten'!$B$2:$B$4,"&lt;"&amp;$F97,'Rote Karten'!$C$2:$C$4,"&lt;="&amp;$G97)</f>
        <v>0</v>
      </c>
      <c r="I97" s="17" t="str">
        <f>IF(OR($L97="Tor",$L97="ET"),_xlfn.IFNA(IF(VLOOKUP($A97,Spiele!$A$2:$C$15,3,FALSE)=$B97,COUNTIFS($L$2:$L97,"Tor",$B$2:$B97,$B97,$A$2:$A97,$A97)+COUNTIFS($L$2:$L97,"ET",$B$2:$B97,$B97,$A$2:$A97,$A97)&amp;":"&amp;COUNTIFS($L$2:$L97,"Tor",$B$2:$B97,"&lt;&gt;"&amp;$B97,$A$2:$A97,$A97)+COUNTIFS($L$2:$L97,"ET",$B$2:$B97,"&lt;&gt;"&amp;$B97,$A$2:$A97,$A97),COUNTIFS($L$2:$L97,"Tor",$B$2:$B97,"&lt;&gt;"&amp;$B97,$A$2:$A97,$A97)+COUNTIFS($L$2:$L97,"ET",$B$2:$B97,"&lt;&gt;"&amp;$B97,$A$2:$A97,$A97)&amp;":"&amp;COUNTIFS($L$2:$L97,"Tor",$B$2:$B97,$B97,$A$2:$A97,$A97)+COUNTIFS($L$2:$L97,"ET",$B$2:$B97,$B97,$A$2:$A97,$A97)),""),"")</f>
        <v/>
      </c>
      <c r="J97" s="18">
        <f>_xlfn.IFNA(IF(VLOOKUP($A97,Spiele!$A$2:$D$15,3,FALSE)=$B97,(COUNTIFS($L$1:$L96,"Tor",$B$1:$B96,$B97,$A$1:$A96,$A97)+COUNTIFS($L$1:$L96,"ET",$B$1:$B96,$B97,$A$1:$A96,$A97))-(COUNTIFS($L$1:$L96,"Tor",$B$1:$B96,"&lt;&gt;"&amp;$B97,$A$1:$A96,$A97)+COUNTIFS($L$1:$L96,"ET",$B$1:$B96,"&lt;&gt;"&amp;$B97,$A$1:$A96,$A97)),(COUNTIFS($L$1:$L96,"Tor",$B$1:$B96,$B97,$A$1:$A96,$A97)+COUNTIFS($L$1:$L96,"ET",$B$1:$B96,$B97,$A$1:$A96,$A97))-(COUNTIFS($L$1:$L96,"Tor",$B$1:$B96,"&lt;&gt;"&amp;$B97,$A$1:$A96,$A97)+COUNTIFS($L$1:$L96,"ET",$B$1:$B96,"&lt;&gt;"&amp;$B97,$A$1:$A96,$A97))),"")</f>
        <v>1</v>
      </c>
      <c r="K97" s="3">
        <v>13</v>
      </c>
      <c r="L97" s="17" t="s">
        <v>19</v>
      </c>
      <c r="M97" s="2" t="s">
        <v>147</v>
      </c>
      <c r="N97" s="2" t="s">
        <v>3</v>
      </c>
      <c r="X97" s="2" t="s">
        <v>141</v>
      </c>
      <c r="Y97" s="17" t="s">
        <v>143</v>
      </c>
      <c r="Z97" s="14" t="s">
        <v>144</v>
      </c>
      <c r="AA97" s="14" t="s">
        <v>145</v>
      </c>
      <c r="AB97" s="18">
        <v>5</v>
      </c>
      <c r="AC97" s="13">
        <v>0.5</v>
      </c>
      <c r="AD97" s="13">
        <v>21</v>
      </c>
      <c r="AE97" s="19">
        <f t="shared" si="4"/>
        <v>21</v>
      </c>
      <c r="AF97" s="19">
        <f t="shared" si="5"/>
        <v>19.762403887453033</v>
      </c>
      <c r="AG97" s="2" t="s">
        <v>146</v>
      </c>
      <c r="AH97" s="13">
        <v>0</v>
      </c>
      <c r="AI97" s="13">
        <v>2.5</v>
      </c>
      <c r="AJ97" s="19">
        <f>IF(Abschlüsse[[#This Row],[Ergeb]]="ET","",SQRT(($AC97-$AH97)^2+($AD97-$AI97)^2))</f>
        <v>18.506755523321747</v>
      </c>
      <c r="AK97" s="3">
        <v>1</v>
      </c>
      <c r="AL97" s="13">
        <v>-2</v>
      </c>
      <c r="AM97" s="13">
        <v>19</v>
      </c>
      <c r="AN97" s="19">
        <f t="shared" si="6"/>
        <v>3.2015621187164243</v>
      </c>
      <c r="AO97" s="3">
        <v>3</v>
      </c>
      <c r="AP97" s="13">
        <v>0.5</v>
      </c>
      <c r="AQ97" s="13">
        <v>19</v>
      </c>
      <c r="AR97" s="19">
        <f t="shared" si="7"/>
        <v>2</v>
      </c>
    </row>
    <row r="98" spans="1:44" ht="25.05" customHeight="1">
      <c r="A98" s="3">
        <v>4</v>
      </c>
      <c r="B98" s="2" t="s">
        <v>8</v>
      </c>
      <c r="C98" s="17" t="str">
        <f>IF($A98="","",IF(VLOOKUP($A98,Spiele!$A$2:$D$15,3,FALSE)=$B98,"H","G"))</f>
        <v>G</v>
      </c>
      <c r="D98" s="17" t="str">
        <f>IF($B98="","",IF(VLOOKUP($A98,Spiele!$A$2:$F$15,3,FALSE)=$B98,VLOOKUP($A98,Spiele!$A$2:$F$15,4,FALSE),VLOOKUP($A98,Spiele!$A$2:$F$15,3,FALSE)))</f>
        <v>DJK</v>
      </c>
      <c r="E98" s="18">
        <f>IF(Abschlüsse[[#This Row],[Ergeb]]="ET",0,COUNTIFS($A$2:$A98,$A98,$B$2:$B98,$B98,$L$2:$L98,"&lt;&gt;ET"))</f>
        <v>13</v>
      </c>
      <c r="F98" s="11">
        <v>43</v>
      </c>
      <c r="G98" s="12">
        <v>2</v>
      </c>
      <c r="H98" s="18">
        <f>COUNTIFS('Rote Karten'!$A$2:$A$4,$A98,'Rote Karten'!$D$2:$D$4,"&lt;&gt;"&amp;$B98,'Rote Karten'!$B$2:$B$4,"&lt;"&amp;$F98,'Rote Karten'!$C$2:$C$4,"&lt;="&amp;$G98)-COUNTIFS('Rote Karten'!$A$2:$A$4,$A98,'Rote Karten'!$D$2:$D$4,$B98,'Rote Karten'!$B$2:$B$4,"&lt;"&amp;$F98,'Rote Karten'!$C$2:$C$4,"&lt;="&amp;$G98)</f>
        <v>0</v>
      </c>
      <c r="I98" s="17" t="str">
        <f>IF(OR($L98="Tor",$L98="ET"),_xlfn.IFNA(IF(VLOOKUP($A98,Spiele!$A$2:$C$15,3,FALSE)=$B98,COUNTIFS($L$2:$L98,"Tor",$B$2:$B98,$B98,$A$2:$A98,$A98)+COUNTIFS($L$2:$L98,"ET",$B$2:$B98,$B98,$A$2:$A98,$A98)&amp;":"&amp;COUNTIFS($L$2:$L98,"Tor",$B$2:$B98,"&lt;&gt;"&amp;$B98,$A$2:$A98,$A98)+COUNTIFS($L$2:$L98,"ET",$B$2:$B98,"&lt;&gt;"&amp;$B98,$A$2:$A98,$A98),COUNTIFS($L$2:$L98,"Tor",$B$2:$B98,"&lt;&gt;"&amp;$B98,$A$2:$A98,$A98)+COUNTIFS($L$2:$L98,"ET",$B$2:$B98,"&lt;&gt;"&amp;$B98,$A$2:$A98,$A98)&amp;":"&amp;COUNTIFS($L$2:$L98,"Tor",$B$2:$B98,$B98,$A$2:$A98,$A98)+COUNTIFS($L$2:$L98,"ET",$B$2:$B98,$B98,$A$2:$A98,$A98)),""),"")</f>
        <v/>
      </c>
      <c r="J98" s="18">
        <f>_xlfn.IFNA(IF(VLOOKUP($A98,Spiele!$A$2:$D$15,3,FALSE)=$B98,(COUNTIFS($L$1:$L97,"Tor",$B$1:$B97,$B98,$A$1:$A97,$A98)+COUNTIFS($L$1:$L97,"ET",$B$1:$B97,$B98,$A$1:$A97,$A98))-(COUNTIFS($L$1:$L97,"Tor",$B$1:$B97,"&lt;&gt;"&amp;$B98,$A$1:$A97,$A98)+COUNTIFS($L$1:$L97,"ET",$B$1:$B97,"&lt;&gt;"&amp;$B98,$A$1:$A97,$A98)),(COUNTIFS($L$1:$L97,"Tor",$B$1:$B97,$B98,$A$1:$A97,$A98)+COUNTIFS($L$1:$L97,"ET",$B$1:$B97,$B98,$A$1:$A97,$A98))-(COUNTIFS($L$1:$L97,"Tor",$B$1:$B97,"&lt;&gt;"&amp;$B98,$A$1:$A97,$A98)+COUNTIFS($L$1:$L97,"ET",$B$1:$B97,"&lt;&gt;"&amp;$B98,$A$1:$A97,$A98))),"")</f>
        <v>1</v>
      </c>
      <c r="K98" s="3">
        <v>14</v>
      </c>
      <c r="L98" s="17" t="s">
        <v>18</v>
      </c>
      <c r="M98" s="2" t="s">
        <v>147</v>
      </c>
      <c r="N98" s="2" t="s">
        <v>164</v>
      </c>
      <c r="O98" s="2">
        <v>8</v>
      </c>
      <c r="P98" s="2">
        <v>27</v>
      </c>
      <c r="Q98" s="2">
        <v>13</v>
      </c>
      <c r="R98" s="2">
        <v>20</v>
      </c>
      <c r="S98" s="2">
        <v>21</v>
      </c>
      <c r="T98" s="2">
        <v>23</v>
      </c>
      <c r="X98" s="2" t="s">
        <v>151</v>
      </c>
      <c r="Y98" s="17" t="s">
        <v>143</v>
      </c>
      <c r="Z98" s="14" t="s">
        <v>150</v>
      </c>
      <c r="AA98" s="14" t="s">
        <v>156</v>
      </c>
      <c r="AB98" s="18">
        <v>7</v>
      </c>
      <c r="AC98" s="13">
        <v>-16.5</v>
      </c>
      <c r="AD98" s="13">
        <v>13</v>
      </c>
      <c r="AE98" s="19">
        <f t="shared" si="4"/>
        <v>18.271989492116067</v>
      </c>
      <c r="AF98" s="19">
        <f t="shared" si="5"/>
        <v>12.539175087027264</v>
      </c>
      <c r="AG98" s="2" t="s">
        <v>146</v>
      </c>
      <c r="AH98" s="13">
        <v>-3</v>
      </c>
      <c r="AI98" s="13">
        <v>0.5</v>
      </c>
      <c r="AJ98" s="19">
        <f>IF(Abschlüsse[[#This Row],[Ergeb]]="ET","",SQRT(($AC98-$AH98)^2+($AD98-$AI98)^2))</f>
        <v>18.398369492974098</v>
      </c>
      <c r="AK98" s="3">
        <v>1</v>
      </c>
      <c r="AL98" s="13">
        <v>-16.5</v>
      </c>
      <c r="AM98" s="13">
        <v>10.5</v>
      </c>
      <c r="AN98" s="19">
        <f t="shared" si="6"/>
        <v>2.5</v>
      </c>
      <c r="AO98" s="3">
        <v>0</v>
      </c>
      <c r="AR98" s="19" t="str">
        <f t="shared" si="7"/>
        <v/>
      </c>
    </row>
    <row r="99" spans="1:44" ht="25.05" customHeight="1">
      <c r="A99" s="3">
        <v>4</v>
      </c>
      <c r="B99" s="2" t="s">
        <v>8</v>
      </c>
      <c r="C99" s="17" t="str">
        <f>IF($A99="","",IF(VLOOKUP($A99,Spiele!$A$2:$D$15,3,FALSE)=$B99,"H","G"))</f>
        <v>G</v>
      </c>
      <c r="D99" s="17" t="str">
        <f>IF($B99="","",IF(VLOOKUP($A99,Spiele!$A$2:$F$15,3,FALSE)=$B99,VLOOKUP($A99,Spiele!$A$2:$F$15,4,FALSE),VLOOKUP($A99,Spiele!$A$2:$F$15,3,FALSE)))</f>
        <v>DJK</v>
      </c>
      <c r="E99" s="18">
        <f>IF(Abschlüsse[[#This Row],[Ergeb]]="ET",0,COUNTIFS($A$2:$A99,$A99,$B$2:$B99,$B99,$L$2:$L99,"&lt;&gt;ET"))</f>
        <v>14</v>
      </c>
      <c r="F99" s="11">
        <v>53</v>
      </c>
      <c r="G99" s="12">
        <v>2</v>
      </c>
      <c r="H99" s="18">
        <f>COUNTIFS('Rote Karten'!$A$2:$A$4,$A99,'Rote Karten'!$D$2:$D$4,"&lt;&gt;"&amp;$B99,'Rote Karten'!$B$2:$B$4,"&lt;"&amp;$F99,'Rote Karten'!$C$2:$C$4,"&lt;="&amp;$G99)-COUNTIFS('Rote Karten'!$A$2:$A$4,$A99,'Rote Karten'!$D$2:$D$4,$B99,'Rote Karten'!$B$2:$B$4,"&lt;"&amp;$F99,'Rote Karten'!$C$2:$C$4,"&lt;="&amp;$G99)</f>
        <v>0</v>
      </c>
      <c r="I99" s="17" t="str">
        <f>IF(OR($L99="Tor",$L99="ET"),_xlfn.IFNA(IF(VLOOKUP($A99,Spiele!$A$2:$C$15,3,FALSE)=$B99,COUNTIFS($L$2:$L99,"Tor",$B$2:$B99,$B99,$A$2:$A99,$A99)+COUNTIFS($L$2:$L99,"ET",$B$2:$B99,$B99,$A$2:$A99,$A99)&amp;":"&amp;COUNTIFS($L$2:$L99,"Tor",$B$2:$B99,"&lt;&gt;"&amp;$B99,$A$2:$A99,$A99)+COUNTIFS($L$2:$L99,"ET",$B$2:$B99,"&lt;&gt;"&amp;$B99,$A$2:$A99,$A99),COUNTIFS($L$2:$L99,"Tor",$B$2:$B99,"&lt;&gt;"&amp;$B99,$A$2:$A99,$A99)+COUNTIFS($L$2:$L99,"ET",$B$2:$B99,"&lt;&gt;"&amp;$B99,$A$2:$A99,$A99)&amp;":"&amp;COUNTIFS($L$2:$L99,"Tor",$B$2:$B99,$B99,$A$2:$A99,$A99)+COUNTIFS($L$2:$L99,"ET",$B$2:$B99,$B99,$A$2:$A99,$A99)),""),"")</f>
        <v/>
      </c>
      <c r="J99" s="18">
        <f>_xlfn.IFNA(IF(VLOOKUP($A99,Spiele!$A$2:$D$15,3,FALSE)=$B99,(COUNTIFS($L$1:$L98,"Tor",$B$1:$B98,$B99,$A$1:$A98,$A99)+COUNTIFS($L$1:$L98,"ET",$B$1:$B98,$B99,$A$1:$A98,$A99))-(COUNTIFS($L$1:$L98,"Tor",$B$1:$B98,"&lt;&gt;"&amp;$B99,$A$1:$A98,$A99)+COUNTIFS($L$1:$L98,"ET",$B$1:$B98,"&lt;&gt;"&amp;$B99,$A$1:$A98,$A99)),(COUNTIFS($L$1:$L98,"Tor",$B$1:$B98,$B99,$A$1:$A98,$A99)+COUNTIFS($L$1:$L98,"ET",$B$1:$B98,$B99,$A$1:$A98,$A99))-(COUNTIFS($L$1:$L98,"Tor",$B$1:$B98,"&lt;&gt;"&amp;$B99,$A$1:$A98,$A99)+COUNTIFS($L$1:$L98,"ET",$B$1:$B98,"&lt;&gt;"&amp;$B99,$A$1:$A98,$A99))),"")</f>
        <v>1</v>
      </c>
      <c r="K99" s="3">
        <v>15</v>
      </c>
      <c r="L99" s="17" t="s">
        <v>18</v>
      </c>
      <c r="M99" s="2" t="s">
        <v>163</v>
      </c>
      <c r="N99" s="2" t="s">
        <v>158</v>
      </c>
      <c r="O99" s="2">
        <v>5</v>
      </c>
      <c r="X99" s="2" t="s">
        <v>151</v>
      </c>
      <c r="Y99" s="17" t="s">
        <v>149</v>
      </c>
      <c r="Z99" s="14" t="s">
        <v>150</v>
      </c>
      <c r="AA99" s="14" t="s">
        <v>145</v>
      </c>
      <c r="AB99" s="18">
        <v>7</v>
      </c>
      <c r="AC99" s="13">
        <v>4</v>
      </c>
      <c r="AD99" s="13">
        <v>17.5</v>
      </c>
      <c r="AE99" s="19">
        <f t="shared" si="4"/>
        <v>17.503302545519801</v>
      </c>
      <c r="AF99" s="19">
        <f t="shared" si="5"/>
        <v>22.526646995733866</v>
      </c>
      <c r="AG99" s="2" t="s">
        <v>146</v>
      </c>
      <c r="AH99" s="13">
        <v>0.5</v>
      </c>
      <c r="AI99" s="13">
        <v>4.5</v>
      </c>
      <c r="AJ99" s="19">
        <f>IF(Abschlüsse[[#This Row],[Ergeb]]="ET","",SQRT(($AC99-$AH99)^2+($AD99-$AI99)^2))</f>
        <v>13.46291201783626</v>
      </c>
      <c r="AK99" s="3">
        <v>2</v>
      </c>
      <c r="AL99" s="13">
        <v>5.5</v>
      </c>
      <c r="AM99" s="13">
        <v>18.5</v>
      </c>
      <c r="AN99" s="19">
        <f t="shared" si="6"/>
        <v>1.8027756377319946</v>
      </c>
      <c r="AO99" s="3">
        <v>0</v>
      </c>
      <c r="AR99" s="19" t="str">
        <f t="shared" si="7"/>
        <v/>
      </c>
    </row>
    <row r="100" spans="1:44" ht="25.05" customHeight="1">
      <c r="A100" s="3">
        <v>4</v>
      </c>
      <c r="B100" s="2" t="s">
        <v>8</v>
      </c>
      <c r="C100" s="17" t="str">
        <f>IF($A100="","",IF(VLOOKUP($A100,Spiele!$A$2:$D$15,3,FALSE)=$B100,"H","G"))</f>
        <v>G</v>
      </c>
      <c r="D100" s="17" t="str">
        <f>IF($B100="","",IF(VLOOKUP($A100,Spiele!$A$2:$F$15,3,FALSE)=$B100,VLOOKUP($A100,Spiele!$A$2:$F$15,4,FALSE),VLOOKUP($A100,Spiele!$A$2:$F$15,3,FALSE)))</f>
        <v>DJK</v>
      </c>
      <c r="E100" s="18">
        <f>IF(Abschlüsse[[#This Row],[Ergeb]]="ET",0,COUNTIFS($A$2:$A100,$A100,$B$2:$B100,$B100,$L$2:$L100,"&lt;&gt;ET"))</f>
        <v>15</v>
      </c>
      <c r="F100" s="11">
        <v>61</v>
      </c>
      <c r="G100" s="12">
        <v>2</v>
      </c>
      <c r="H100" s="18">
        <f>COUNTIFS('Rote Karten'!$A$2:$A$4,$A100,'Rote Karten'!$D$2:$D$4,"&lt;&gt;"&amp;$B100,'Rote Karten'!$B$2:$B$4,"&lt;"&amp;$F100,'Rote Karten'!$C$2:$C$4,"&lt;="&amp;$G100)-COUNTIFS('Rote Karten'!$A$2:$A$4,$A100,'Rote Karten'!$D$2:$D$4,$B100,'Rote Karten'!$B$2:$B$4,"&lt;"&amp;$F100,'Rote Karten'!$C$2:$C$4,"&lt;="&amp;$G100)</f>
        <v>0</v>
      </c>
      <c r="I100" s="17" t="str">
        <f>IF(OR($L100="Tor",$L100="ET"),_xlfn.IFNA(IF(VLOOKUP($A100,Spiele!$A$2:$C$15,3,FALSE)=$B100,COUNTIFS($L$2:$L100,"Tor",$B$2:$B100,$B100,$A$2:$A100,$A100)+COUNTIFS($L$2:$L100,"ET",$B$2:$B100,$B100,$A$2:$A100,$A100)&amp;":"&amp;COUNTIFS($L$2:$L100,"Tor",$B$2:$B100,"&lt;&gt;"&amp;$B100,$A$2:$A100,$A100)+COUNTIFS($L$2:$L100,"ET",$B$2:$B100,"&lt;&gt;"&amp;$B100,$A$2:$A100,$A100),COUNTIFS($L$2:$L100,"Tor",$B$2:$B100,"&lt;&gt;"&amp;$B100,$A$2:$A100,$A100)+COUNTIFS($L$2:$L100,"ET",$B$2:$B100,"&lt;&gt;"&amp;$B100,$A$2:$A100,$A100)&amp;":"&amp;COUNTIFS($L$2:$L100,"Tor",$B$2:$B100,$B100,$A$2:$A100,$A100)+COUNTIFS($L$2:$L100,"ET",$B$2:$B100,$B100,$A$2:$A100,$A100)),""),"")</f>
        <v/>
      </c>
      <c r="J100" s="18">
        <f>_xlfn.IFNA(IF(VLOOKUP($A100,Spiele!$A$2:$D$15,3,FALSE)=$B100,(COUNTIFS($L$1:$L99,"Tor",$B$1:$B99,$B100,$A$1:$A99,$A100)+COUNTIFS($L$1:$L99,"ET",$B$1:$B99,$B100,$A$1:$A99,$A100))-(COUNTIFS($L$1:$L99,"Tor",$B$1:$B99,"&lt;&gt;"&amp;$B100,$A$1:$A99,$A100)+COUNTIFS($L$1:$L99,"ET",$B$1:$B99,"&lt;&gt;"&amp;$B100,$A$1:$A99,$A100)),(COUNTIFS($L$1:$L99,"Tor",$B$1:$B99,$B100,$A$1:$A99,$A100)+COUNTIFS($L$1:$L99,"ET",$B$1:$B99,$B100,$A$1:$A99,$A100))-(COUNTIFS($L$1:$L99,"Tor",$B$1:$B99,"&lt;&gt;"&amp;$B100,$A$1:$A99,$A100)+COUNTIFS($L$1:$L99,"ET",$B$1:$B99,"&lt;&gt;"&amp;$B100,$A$1:$A99,$A100))),"")</f>
        <v>1</v>
      </c>
      <c r="K100" s="3">
        <v>16</v>
      </c>
      <c r="L100" s="17" t="s">
        <v>19</v>
      </c>
      <c r="M100" s="2" t="s">
        <v>147</v>
      </c>
      <c r="N100" s="2" t="s">
        <v>158</v>
      </c>
      <c r="O100" s="2">
        <v>8</v>
      </c>
      <c r="P100" s="2">
        <v>23</v>
      </c>
      <c r="Q100" s="2">
        <v>16</v>
      </c>
      <c r="R100" s="2">
        <v>20</v>
      </c>
      <c r="S100" s="2">
        <v>26</v>
      </c>
      <c r="X100" s="2" t="s">
        <v>151</v>
      </c>
      <c r="Y100" s="17" t="s">
        <v>149</v>
      </c>
      <c r="Z100" s="14" t="s">
        <v>150</v>
      </c>
      <c r="AA100" s="14" t="s">
        <v>145</v>
      </c>
      <c r="AB100" s="18">
        <v>20</v>
      </c>
      <c r="AC100" s="13">
        <v>-7.5</v>
      </c>
      <c r="AD100" s="13">
        <v>27</v>
      </c>
      <c r="AE100" s="19">
        <f t="shared" si="4"/>
        <v>27.271699617002238</v>
      </c>
      <c r="AF100" s="19">
        <f t="shared" si="5"/>
        <v>14.362490517670119</v>
      </c>
      <c r="AG100" s="2" t="s">
        <v>146</v>
      </c>
      <c r="AH100" s="13">
        <v>-1</v>
      </c>
      <c r="AI100" s="13">
        <v>3</v>
      </c>
      <c r="AJ100" s="19">
        <f>IF(Abschlüsse[[#This Row],[Ergeb]]="ET","",SQRT(($AC100-$AH100)^2+($AD100-$AI100)^2))</f>
        <v>24.864633518312711</v>
      </c>
      <c r="AK100" s="3">
        <v>0</v>
      </c>
      <c r="AL100" s="13"/>
      <c r="AM100" s="13"/>
      <c r="AN100" s="19" t="str">
        <f t="shared" si="6"/>
        <v/>
      </c>
      <c r="AO100" s="3">
        <v>2</v>
      </c>
      <c r="AP100" s="13">
        <v>-5.5</v>
      </c>
      <c r="AQ100" s="13">
        <v>23</v>
      </c>
      <c r="AR100" s="19">
        <f t="shared" si="7"/>
        <v>4.4721359549995796</v>
      </c>
    </row>
    <row r="101" spans="1:44" ht="25.05" customHeight="1">
      <c r="A101" s="3">
        <v>4</v>
      </c>
      <c r="B101" s="2" t="s">
        <v>60</v>
      </c>
      <c r="C101" s="17" t="str">
        <f>IF($A101="","",IF(VLOOKUP($A101,Spiele!$A$2:$D$15,3,FALSE)=$B101,"H","G"))</f>
        <v>H</v>
      </c>
      <c r="D101" s="17" t="str">
        <f>IF($B101="","",IF(VLOOKUP($A101,Spiele!$A$2:$F$15,3,FALSE)=$B101,VLOOKUP($A101,Spiele!$A$2:$F$15,4,FALSE),VLOOKUP($A101,Spiele!$A$2:$F$15,3,FALSE)))</f>
        <v>FCN</v>
      </c>
      <c r="E101" s="18">
        <f>IF(Abschlüsse[[#This Row],[Ergeb]]="ET",0,COUNTIFS($A$2:$A101,$A101,$B$2:$B101,$B101,$L$2:$L101,"&lt;&gt;ET"))</f>
        <v>3</v>
      </c>
      <c r="F101" s="11">
        <v>64</v>
      </c>
      <c r="G101" s="12">
        <v>2</v>
      </c>
      <c r="H101" s="18">
        <f>COUNTIFS('Rote Karten'!$A$2:$A$4,$A101,'Rote Karten'!$D$2:$D$4,"&lt;&gt;"&amp;$B101,'Rote Karten'!$B$2:$B$4,"&lt;"&amp;$F101,'Rote Karten'!$C$2:$C$4,"&lt;="&amp;$G101)-COUNTIFS('Rote Karten'!$A$2:$A$4,$A101,'Rote Karten'!$D$2:$D$4,$B101,'Rote Karten'!$B$2:$B$4,"&lt;"&amp;$F101,'Rote Karten'!$C$2:$C$4,"&lt;="&amp;$G101)</f>
        <v>0</v>
      </c>
      <c r="I101" s="17" t="str">
        <f>IF(OR($L101="Tor",$L101="ET"),_xlfn.IFNA(IF(VLOOKUP($A101,Spiele!$A$2:$C$15,3,FALSE)=$B101,COUNTIFS($L$2:$L101,"Tor",$B$2:$B101,$B101,$A$2:$A101,$A101)+COUNTIFS($L$2:$L101,"ET",$B$2:$B101,$B101,$A$2:$A101,$A101)&amp;":"&amp;COUNTIFS($L$2:$L101,"Tor",$B$2:$B101,"&lt;&gt;"&amp;$B101,$A$2:$A101,$A101)+COUNTIFS($L$2:$L101,"ET",$B$2:$B101,"&lt;&gt;"&amp;$B101,$A$2:$A101,$A101),COUNTIFS($L$2:$L101,"Tor",$B$2:$B101,"&lt;&gt;"&amp;$B101,$A$2:$A101,$A101)+COUNTIFS($L$2:$L101,"ET",$B$2:$B101,"&lt;&gt;"&amp;$B101,$A$2:$A101,$A101)&amp;":"&amp;COUNTIFS($L$2:$L101,"Tor",$B$2:$B101,$B101,$A$2:$A101,$A101)+COUNTIFS($L$2:$L101,"ET",$B$2:$B101,$B101,$A$2:$A101,$A101)),""),"")</f>
        <v/>
      </c>
      <c r="J101" s="18">
        <f>_xlfn.IFNA(IF(VLOOKUP($A101,Spiele!$A$2:$D$15,3,FALSE)=$B101,(COUNTIFS($L$1:$L100,"Tor",$B$1:$B100,$B101,$A$1:$A100,$A101)+COUNTIFS($L$1:$L100,"ET",$B$1:$B100,$B101,$A$1:$A100,$A101))-(COUNTIFS($L$1:$L100,"Tor",$B$1:$B100,"&lt;&gt;"&amp;$B101,$A$1:$A100,$A101)+COUNTIFS($L$1:$L100,"ET",$B$1:$B100,"&lt;&gt;"&amp;$B101,$A$1:$A100,$A101)),(COUNTIFS($L$1:$L100,"Tor",$B$1:$B100,$B101,$A$1:$A100,$A101)+COUNTIFS($L$1:$L100,"ET",$B$1:$B100,$B101,$A$1:$A100,$A101))-(COUNTIFS($L$1:$L100,"Tor",$B$1:$B100,"&lt;&gt;"&amp;$B101,$A$1:$A100,$A101)+COUNTIFS($L$1:$L100,"ET",$B$1:$B100,"&lt;&gt;"&amp;$B101,$A$1:$A100,$A101))),"")</f>
        <v>-1</v>
      </c>
      <c r="K101" s="3">
        <v>17</v>
      </c>
      <c r="L101" s="17" t="s">
        <v>19</v>
      </c>
      <c r="M101" s="2" t="s">
        <v>163</v>
      </c>
      <c r="N101" s="2" t="s">
        <v>164</v>
      </c>
      <c r="X101" s="2" t="s">
        <v>151</v>
      </c>
      <c r="Y101" s="17" t="s">
        <v>143</v>
      </c>
      <c r="Z101" s="14" t="s">
        <v>144</v>
      </c>
      <c r="AA101" s="14" t="s">
        <v>156</v>
      </c>
      <c r="AB101" s="18"/>
      <c r="AC101" s="13">
        <v>1</v>
      </c>
      <c r="AD101" s="13">
        <v>25</v>
      </c>
      <c r="AE101" s="19">
        <f t="shared" si="4"/>
        <v>25</v>
      </c>
      <c r="AF101" s="19">
        <f t="shared" si="5"/>
        <v>16.632179031120778</v>
      </c>
      <c r="AG101" s="2" t="s">
        <v>146</v>
      </c>
      <c r="AH101" s="13">
        <v>0</v>
      </c>
      <c r="AI101" s="13">
        <v>1.5</v>
      </c>
      <c r="AJ101" s="19">
        <f>IF(Abschlüsse[[#This Row],[Ergeb]]="ET","",SQRT(($AC101-$AH101)^2+($AD101-$AI101)^2))</f>
        <v>23.521266972678152</v>
      </c>
      <c r="AK101" s="3">
        <v>1</v>
      </c>
      <c r="AL101" s="13">
        <v>-0.5</v>
      </c>
      <c r="AM101" s="13">
        <v>22.5</v>
      </c>
      <c r="AN101" s="19">
        <f t="shared" si="6"/>
        <v>2.9154759474226504</v>
      </c>
      <c r="AO101" s="3">
        <v>0</v>
      </c>
      <c r="AR101" s="19" t="str">
        <f t="shared" si="7"/>
        <v/>
      </c>
    </row>
    <row r="102" spans="1:44" ht="25.05" customHeight="1">
      <c r="A102" s="3">
        <v>4</v>
      </c>
      <c r="B102" s="2" t="s">
        <v>8</v>
      </c>
      <c r="C102" s="17" t="str">
        <f>IF($A102="","",IF(VLOOKUP($A102,Spiele!$A$2:$D$15,3,FALSE)=$B102,"H","G"))</f>
        <v>G</v>
      </c>
      <c r="D102" s="17" t="str">
        <f>IF($B102="","",IF(VLOOKUP($A102,Spiele!$A$2:$F$15,3,FALSE)=$B102,VLOOKUP($A102,Spiele!$A$2:$F$15,4,FALSE),VLOOKUP($A102,Spiele!$A$2:$F$15,3,FALSE)))</f>
        <v>DJK</v>
      </c>
      <c r="E102" s="18">
        <f>IF(Abschlüsse[[#This Row],[Ergeb]]="ET",0,COUNTIFS($A$2:$A102,$A102,$B$2:$B102,$B102,$L$2:$L102,"&lt;&gt;ET"))</f>
        <v>16</v>
      </c>
      <c r="F102" s="11">
        <v>70</v>
      </c>
      <c r="G102" s="12">
        <v>2</v>
      </c>
      <c r="H102" s="18">
        <f>COUNTIFS('Rote Karten'!$A$2:$A$4,$A102,'Rote Karten'!$D$2:$D$4,"&lt;&gt;"&amp;$B102,'Rote Karten'!$B$2:$B$4,"&lt;"&amp;$F102,'Rote Karten'!$C$2:$C$4,"&lt;="&amp;$G102)-COUNTIFS('Rote Karten'!$A$2:$A$4,$A102,'Rote Karten'!$D$2:$D$4,$B102,'Rote Karten'!$B$2:$B$4,"&lt;"&amp;$F102,'Rote Karten'!$C$2:$C$4,"&lt;="&amp;$G102)</f>
        <v>0</v>
      </c>
      <c r="I102" s="17" t="str">
        <f>IF(OR($L102="Tor",$L102="ET"),_xlfn.IFNA(IF(VLOOKUP($A102,Spiele!$A$2:$C$15,3,FALSE)=$B102,COUNTIFS($L$2:$L102,"Tor",$B$2:$B102,$B102,$A$2:$A102,$A102)+COUNTIFS($L$2:$L102,"ET",$B$2:$B102,$B102,$A$2:$A102,$A102)&amp;":"&amp;COUNTIFS($L$2:$L102,"Tor",$B$2:$B102,"&lt;&gt;"&amp;$B102,$A$2:$A102,$A102)+COUNTIFS($L$2:$L102,"ET",$B$2:$B102,"&lt;&gt;"&amp;$B102,$A$2:$A102,$A102),COUNTIFS($L$2:$L102,"Tor",$B$2:$B102,"&lt;&gt;"&amp;$B102,$A$2:$A102,$A102)+COUNTIFS($L$2:$L102,"ET",$B$2:$B102,"&lt;&gt;"&amp;$B102,$A$2:$A102,$A102)&amp;":"&amp;COUNTIFS($L$2:$L102,"Tor",$B$2:$B102,$B102,$A$2:$A102,$A102)+COUNTIFS($L$2:$L102,"ET",$B$2:$B102,$B102,$A$2:$A102,$A102)),""),"")</f>
        <v/>
      </c>
      <c r="J102" s="18">
        <f>_xlfn.IFNA(IF(VLOOKUP($A102,Spiele!$A$2:$D$15,3,FALSE)=$B102,(COUNTIFS($L$1:$L101,"Tor",$B$1:$B101,$B102,$A$1:$A101,$A102)+COUNTIFS($L$1:$L101,"ET",$B$1:$B101,$B102,$A$1:$A101,$A102))-(COUNTIFS($L$1:$L101,"Tor",$B$1:$B101,"&lt;&gt;"&amp;$B102,$A$1:$A101,$A102)+COUNTIFS($L$1:$L101,"ET",$B$1:$B101,"&lt;&gt;"&amp;$B102,$A$1:$A101,$A102)),(COUNTIFS($L$1:$L101,"Tor",$B$1:$B101,$B102,$A$1:$A101,$A102)+COUNTIFS($L$1:$L101,"ET",$B$1:$B101,$B102,$A$1:$A101,$A102))-(COUNTIFS($L$1:$L101,"Tor",$B$1:$B101,"&lt;&gt;"&amp;$B102,$A$1:$A101,$A102)+COUNTIFS($L$1:$L101,"ET",$B$1:$B101,"&lt;&gt;"&amp;$B102,$A$1:$A101,$A102))),"")</f>
        <v>1</v>
      </c>
      <c r="K102" s="3">
        <v>18</v>
      </c>
      <c r="L102" s="18" t="s">
        <v>18</v>
      </c>
      <c r="M102" s="3" t="s">
        <v>147</v>
      </c>
      <c r="N102" s="2" t="s">
        <v>153</v>
      </c>
      <c r="O102" s="2">
        <v>20</v>
      </c>
      <c r="P102" s="2">
        <v>16</v>
      </c>
      <c r="Q102" s="2">
        <v>26</v>
      </c>
      <c r="X102" s="2" t="s">
        <v>154</v>
      </c>
      <c r="Y102" s="18" t="s">
        <v>160</v>
      </c>
      <c r="Z102" s="14" t="s">
        <v>161</v>
      </c>
      <c r="AA102" s="14" t="s">
        <v>156</v>
      </c>
      <c r="AB102" s="18">
        <v>7</v>
      </c>
      <c r="AC102" s="13">
        <v>-4.5</v>
      </c>
      <c r="AD102" s="13">
        <v>7</v>
      </c>
      <c r="AE102" s="19">
        <f t="shared" si="4"/>
        <v>7.0502198547279358</v>
      </c>
      <c r="AF102" s="19">
        <f t="shared" si="5"/>
        <v>42.532810160119716</v>
      </c>
      <c r="AG102" s="3" t="s">
        <v>146</v>
      </c>
      <c r="AH102" s="13">
        <v>-2</v>
      </c>
      <c r="AI102" s="13">
        <v>3.5</v>
      </c>
      <c r="AJ102" s="19">
        <f>IF(Abschlüsse[[#This Row],[Ergeb]]="ET","",SQRT(($AC102-$AH102)^2+($AD102-$AI102)^2))</f>
        <v>4.3011626335213133</v>
      </c>
      <c r="AK102" s="3">
        <v>1</v>
      </c>
      <c r="AL102" s="13">
        <v>-2.5</v>
      </c>
      <c r="AM102" s="13">
        <v>7</v>
      </c>
      <c r="AN102" s="19">
        <f t="shared" si="6"/>
        <v>2</v>
      </c>
      <c r="AO102" s="3">
        <v>0</v>
      </c>
      <c r="AR102" s="19" t="str">
        <f t="shared" si="7"/>
        <v/>
      </c>
    </row>
    <row r="103" spans="1:44" ht="25.05" customHeight="1">
      <c r="A103" s="3">
        <v>4</v>
      </c>
      <c r="B103" s="2" t="s">
        <v>60</v>
      </c>
      <c r="C103" s="17" t="str">
        <f>IF($A103="","",IF(VLOOKUP($A103,Spiele!$A$2:$D$15,3,FALSE)=$B103,"H","G"))</f>
        <v>H</v>
      </c>
      <c r="D103" s="17" t="str">
        <f>IF($B103="","",IF(VLOOKUP($A103,Spiele!$A$2:$F$15,3,FALSE)=$B103,VLOOKUP($A103,Spiele!$A$2:$F$15,4,FALSE),VLOOKUP($A103,Spiele!$A$2:$F$15,3,FALSE)))</f>
        <v>FCN</v>
      </c>
      <c r="E103" s="18">
        <f>IF(Abschlüsse[[#This Row],[Ergeb]]="ET",0,COUNTIFS($A$2:$A103,$A103,$B$2:$B103,$B103,$L$2:$L103,"&lt;&gt;ET"))</f>
        <v>4</v>
      </c>
      <c r="F103" s="11">
        <v>76</v>
      </c>
      <c r="G103" s="12">
        <v>2</v>
      </c>
      <c r="H103" s="18">
        <f>COUNTIFS('Rote Karten'!$A$2:$A$4,$A103,'Rote Karten'!$D$2:$D$4,"&lt;&gt;"&amp;$B103,'Rote Karten'!$B$2:$B$4,"&lt;"&amp;$F103,'Rote Karten'!$C$2:$C$4,"&lt;="&amp;$G103)-COUNTIFS('Rote Karten'!$A$2:$A$4,$A103,'Rote Karten'!$D$2:$D$4,$B103,'Rote Karten'!$B$2:$B$4,"&lt;"&amp;$F103,'Rote Karten'!$C$2:$C$4,"&lt;="&amp;$G103)</f>
        <v>0</v>
      </c>
      <c r="I103" s="17" t="str">
        <f>IF(OR($L103="Tor",$L103="ET"),_xlfn.IFNA(IF(VLOOKUP($A103,Spiele!$A$2:$C$15,3,FALSE)=$B103,COUNTIFS($L$2:$L103,"Tor",$B$2:$B103,$B103,$A$2:$A103,$A103)+COUNTIFS($L$2:$L103,"ET",$B$2:$B103,$B103,$A$2:$A103,$A103)&amp;":"&amp;COUNTIFS($L$2:$L103,"Tor",$B$2:$B103,"&lt;&gt;"&amp;$B103,$A$2:$A103,$A103)+COUNTIFS($L$2:$L103,"ET",$B$2:$B103,"&lt;&gt;"&amp;$B103,$A$2:$A103,$A103),COUNTIFS($L$2:$L103,"Tor",$B$2:$B103,"&lt;&gt;"&amp;$B103,$A$2:$A103,$A103)+COUNTIFS($L$2:$L103,"ET",$B$2:$B103,"&lt;&gt;"&amp;$B103,$A$2:$A103,$A103)&amp;":"&amp;COUNTIFS($L$2:$L103,"Tor",$B$2:$B103,$B103,$A$2:$A103,$A103)+COUNTIFS($L$2:$L103,"ET",$B$2:$B103,$B103,$A$2:$A103,$A103)),""),"")</f>
        <v/>
      </c>
      <c r="J103" s="18">
        <f>_xlfn.IFNA(IF(VLOOKUP($A103,Spiele!$A$2:$D$15,3,FALSE)=$B103,(COUNTIFS($L$1:$L102,"Tor",$B$1:$B102,$B103,$A$1:$A102,$A103)+COUNTIFS($L$1:$L102,"ET",$B$1:$B102,$B103,$A$1:$A102,$A103))-(COUNTIFS($L$1:$L102,"Tor",$B$1:$B102,"&lt;&gt;"&amp;$B103,$A$1:$A102,$A103)+COUNTIFS($L$1:$L102,"ET",$B$1:$B102,"&lt;&gt;"&amp;$B103,$A$1:$A102,$A103)),(COUNTIFS($L$1:$L102,"Tor",$B$1:$B102,$B103,$A$1:$A102,$A103)+COUNTIFS($L$1:$L102,"ET",$B$1:$B102,$B103,$A$1:$A102,$A103))-(COUNTIFS($L$1:$L102,"Tor",$B$1:$B102,"&lt;&gt;"&amp;$B103,$A$1:$A102,$A103)+COUNTIFS($L$1:$L102,"ET",$B$1:$B102,"&lt;&gt;"&amp;$B103,$A$1:$A102,$A103))),"")</f>
        <v>-1</v>
      </c>
      <c r="K103" s="3">
        <v>19</v>
      </c>
      <c r="L103" s="17" t="s">
        <v>19</v>
      </c>
      <c r="M103" s="2" t="s">
        <v>174</v>
      </c>
      <c r="X103" s="2" t="s">
        <v>142</v>
      </c>
      <c r="Y103" s="17" t="s">
        <v>149</v>
      </c>
      <c r="Z103" s="14" t="s">
        <v>150</v>
      </c>
      <c r="AA103" s="14" t="s">
        <v>145</v>
      </c>
      <c r="AB103" s="18"/>
      <c r="AC103" s="13">
        <v>-15</v>
      </c>
      <c r="AD103" s="13">
        <v>27</v>
      </c>
      <c r="AE103" s="19">
        <f t="shared" si="4"/>
        <v>29.284733223985498</v>
      </c>
      <c r="AF103" s="19">
        <f t="shared" si="5"/>
        <v>11.866375923191878</v>
      </c>
      <c r="AG103" s="2" t="s">
        <v>146</v>
      </c>
      <c r="AH103" s="13">
        <v>-0.5</v>
      </c>
      <c r="AI103" s="13">
        <v>2</v>
      </c>
      <c r="AJ103" s="19">
        <f>IF(Abschlüsse[[#This Row],[Ergeb]]="ET","",SQRT(($AC103-$AH103)^2+($AD103-$AI103)^2))</f>
        <v>28.900692033236851</v>
      </c>
      <c r="AK103" s="3">
        <v>0</v>
      </c>
      <c r="AL103" s="13"/>
      <c r="AM103" s="13"/>
      <c r="AN103" s="19" t="str">
        <f t="shared" si="6"/>
        <v/>
      </c>
      <c r="AO103" s="3">
        <v>3</v>
      </c>
      <c r="AP103" s="13">
        <v>-11</v>
      </c>
      <c r="AQ103" s="13">
        <v>18.5</v>
      </c>
      <c r="AR103" s="19">
        <f t="shared" si="7"/>
        <v>9.3941471140279678</v>
      </c>
    </row>
    <row r="104" spans="1:44" ht="25.05" customHeight="1">
      <c r="A104" s="3">
        <v>4</v>
      </c>
      <c r="B104" s="2" t="s">
        <v>8</v>
      </c>
      <c r="C104" s="17" t="str">
        <f>IF($A104="","",IF(VLOOKUP($A104,Spiele!$A$2:$D$15,3,FALSE)=$B104,"H","G"))</f>
        <v>G</v>
      </c>
      <c r="D104" s="17" t="str">
        <f>IF($B104="","",IF(VLOOKUP($A104,Spiele!$A$2:$F$15,3,FALSE)=$B104,VLOOKUP($A104,Spiele!$A$2:$F$15,4,FALSE),VLOOKUP($A104,Spiele!$A$2:$F$15,3,FALSE)))</f>
        <v>DJK</v>
      </c>
      <c r="E104" s="18">
        <f>IF(Abschlüsse[[#This Row],[Ergeb]]="ET",0,COUNTIFS($A$2:$A104,$A104,$B$2:$B104,$B104,$L$2:$L104,"&lt;&gt;ET"))</f>
        <v>17</v>
      </c>
      <c r="F104" s="11">
        <v>82</v>
      </c>
      <c r="G104" s="12">
        <v>2</v>
      </c>
      <c r="H104" s="18">
        <f>COUNTIFS('Rote Karten'!$A$2:$A$4,$A104,'Rote Karten'!$D$2:$D$4,"&lt;&gt;"&amp;$B104,'Rote Karten'!$B$2:$B$4,"&lt;"&amp;$F104,'Rote Karten'!$C$2:$C$4,"&lt;="&amp;$G104)-COUNTIFS('Rote Karten'!$A$2:$A$4,$A104,'Rote Karten'!$D$2:$D$4,$B104,'Rote Karten'!$B$2:$B$4,"&lt;"&amp;$F104,'Rote Karten'!$C$2:$C$4,"&lt;="&amp;$G104)</f>
        <v>0</v>
      </c>
      <c r="I104" s="17" t="str">
        <f>IF(OR($L104="Tor",$L104="ET"),_xlfn.IFNA(IF(VLOOKUP($A104,Spiele!$A$2:$C$15,3,FALSE)=$B104,COUNTIFS($L$2:$L104,"Tor",$B$2:$B104,$B104,$A$2:$A104,$A104)+COUNTIFS($L$2:$L104,"ET",$B$2:$B104,$B104,$A$2:$A104,$A104)&amp;":"&amp;COUNTIFS($L$2:$L104,"Tor",$B$2:$B104,"&lt;&gt;"&amp;$B104,$A$2:$A104,$A104)+COUNTIFS($L$2:$L104,"ET",$B$2:$B104,"&lt;&gt;"&amp;$B104,$A$2:$A104,$A104),COUNTIFS($L$2:$L104,"Tor",$B$2:$B104,"&lt;&gt;"&amp;$B104,$A$2:$A104,$A104)+COUNTIFS($L$2:$L104,"ET",$B$2:$B104,"&lt;&gt;"&amp;$B104,$A$2:$A104,$A104)&amp;":"&amp;COUNTIFS($L$2:$L104,"Tor",$B$2:$B104,$B104,$A$2:$A104,$A104)+COUNTIFS($L$2:$L104,"ET",$B$2:$B104,$B104,$A$2:$A104,$A104)),""),"")</f>
        <v/>
      </c>
      <c r="J104" s="18">
        <f>_xlfn.IFNA(IF(VLOOKUP($A104,Spiele!$A$2:$D$15,3,FALSE)=$B104,(COUNTIFS($L$1:$L103,"Tor",$B$1:$B103,$B104,$A$1:$A103,$A104)+COUNTIFS($L$1:$L103,"ET",$B$1:$B103,$B104,$A$1:$A103,$A104))-(COUNTIFS($L$1:$L103,"Tor",$B$1:$B103,"&lt;&gt;"&amp;$B104,$A$1:$A103,$A104)+COUNTIFS($L$1:$L103,"ET",$B$1:$B103,"&lt;&gt;"&amp;$B104,$A$1:$A103,$A104)),(COUNTIFS($L$1:$L103,"Tor",$B$1:$B103,$B104,$A$1:$A103,$A104)+COUNTIFS($L$1:$L103,"ET",$B$1:$B103,$B104,$A$1:$A103,$A104))-(COUNTIFS($L$1:$L103,"Tor",$B$1:$B103,"&lt;&gt;"&amp;$B104,$A$1:$A103,$A104)+COUNTIFS($L$1:$L103,"ET",$B$1:$B103,"&lt;&gt;"&amp;$B104,$A$1:$A103,$A104))),"")</f>
        <v>1</v>
      </c>
      <c r="K104" s="3">
        <v>20</v>
      </c>
      <c r="L104" s="17" t="s">
        <v>18</v>
      </c>
      <c r="M104" s="2" t="s">
        <v>163</v>
      </c>
      <c r="N104" s="2" t="s">
        <v>152</v>
      </c>
      <c r="O104" s="2">
        <v>8</v>
      </c>
      <c r="P104" s="2">
        <v>23</v>
      </c>
      <c r="X104" s="2" t="s">
        <v>151</v>
      </c>
      <c r="Y104" s="17" t="s">
        <v>143</v>
      </c>
      <c r="Z104" s="14" t="s">
        <v>150</v>
      </c>
      <c r="AA104" s="14" t="s">
        <v>145</v>
      </c>
      <c r="AB104" s="18">
        <v>25</v>
      </c>
      <c r="AC104" s="13">
        <v>4.5</v>
      </c>
      <c r="AD104" s="13">
        <v>16</v>
      </c>
      <c r="AE104" s="19">
        <f t="shared" si="4"/>
        <v>16.022034827074869</v>
      </c>
      <c r="AF104" s="19">
        <f t="shared" si="5"/>
        <v>24.016312231487106</v>
      </c>
      <c r="AG104" s="2" t="s">
        <v>146</v>
      </c>
      <c r="AH104" s="13">
        <v>4</v>
      </c>
      <c r="AI104" s="13">
        <v>13</v>
      </c>
      <c r="AJ104" s="19">
        <f>IF(Abschlüsse[[#This Row],[Ergeb]]="ET","",SQRT(($AC104-$AH104)^2+($AD104-$AI104)^2))</f>
        <v>3.0413812651491097</v>
      </c>
      <c r="AK104" s="3">
        <v>1</v>
      </c>
      <c r="AL104" s="13">
        <v>4.5</v>
      </c>
      <c r="AM104" s="13">
        <v>17</v>
      </c>
      <c r="AN104" s="19">
        <f t="shared" si="6"/>
        <v>1</v>
      </c>
      <c r="AO104" s="3">
        <v>0</v>
      </c>
      <c r="AR104" s="19" t="str">
        <f t="shared" si="7"/>
        <v/>
      </c>
    </row>
    <row r="105" spans="1:44" ht="25.05" customHeight="1">
      <c r="A105" s="3">
        <v>4</v>
      </c>
      <c r="B105" s="2" t="s">
        <v>8</v>
      </c>
      <c r="C105" s="17" t="str">
        <f>IF($A105="","",IF(VLOOKUP($A105,Spiele!$A$2:$D$15,3,FALSE)=$B105,"H","G"))</f>
        <v>G</v>
      </c>
      <c r="D105" s="17" t="str">
        <f>IF($B105="","",IF(VLOOKUP($A105,Spiele!$A$2:$F$15,3,FALSE)=$B105,VLOOKUP($A105,Spiele!$A$2:$F$15,4,FALSE),VLOOKUP($A105,Spiele!$A$2:$F$15,3,FALSE)))</f>
        <v>DJK</v>
      </c>
      <c r="E105" s="18">
        <f>IF(Abschlüsse[[#This Row],[Ergeb]]="ET",0,COUNTIFS($A$2:$A105,$A105,$B$2:$B105,$B105,$L$2:$L105,"&lt;&gt;ET"))</f>
        <v>18</v>
      </c>
      <c r="F105" s="11">
        <v>82</v>
      </c>
      <c r="G105" s="12">
        <v>2</v>
      </c>
      <c r="H105" s="18">
        <f>COUNTIFS('Rote Karten'!$A$2:$A$4,$A105,'Rote Karten'!$D$2:$D$4,"&lt;&gt;"&amp;$B105,'Rote Karten'!$B$2:$B$4,"&lt;"&amp;$F105,'Rote Karten'!$C$2:$C$4,"&lt;="&amp;$G105)-COUNTIFS('Rote Karten'!$A$2:$A$4,$A105,'Rote Karten'!$D$2:$D$4,$B105,'Rote Karten'!$B$2:$B$4,"&lt;"&amp;$F105,'Rote Karten'!$C$2:$C$4,"&lt;="&amp;$G105)</f>
        <v>0</v>
      </c>
      <c r="I105" s="17" t="str">
        <f>IF(OR($L105="Tor",$L105="ET"),_xlfn.IFNA(IF(VLOOKUP($A105,Spiele!$A$2:$C$15,3,FALSE)=$B105,COUNTIFS($L$2:$L105,"Tor",$B$2:$B105,$B105,$A$2:$A105,$A105)+COUNTIFS($L$2:$L105,"ET",$B$2:$B105,$B105,$A$2:$A105,$A105)&amp;":"&amp;COUNTIFS($L$2:$L105,"Tor",$B$2:$B105,"&lt;&gt;"&amp;$B105,$A$2:$A105,$A105)+COUNTIFS($L$2:$L105,"ET",$B$2:$B105,"&lt;&gt;"&amp;$B105,$A$2:$A105,$A105),COUNTIFS($L$2:$L105,"Tor",$B$2:$B105,"&lt;&gt;"&amp;$B105,$A$2:$A105,$A105)+COUNTIFS($L$2:$L105,"ET",$B$2:$B105,"&lt;&gt;"&amp;$B105,$A$2:$A105,$A105)&amp;":"&amp;COUNTIFS($L$2:$L105,"Tor",$B$2:$B105,$B105,$A$2:$A105,$A105)+COUNTIFS($L$2:$L105,"ET",$B$2:$B105,$B105,$A$2:$A105,$A105)),""),"")</f>
        <v>0:2</v>
      </c>
      <c r="J105" s="18">
        <f>_xlfn.IFNA(IF(VLOOKUP($A105,Spiele!$A$2:$D$15,3,FALSE)=$B105,(COUNTIFS($L$1:$L104,"Tor",$B$1:$B104,$B105,$A$1:$A104,$A105)+COUNTIFS($L$1:$L104,"ET",$B$1:$B104,$B105,$A$1:$A104,$A105))-(COUNTIFS($L$1:$L104,"Tor",$B$1:$B104,"&lt;&gt;"&amp;$B105,$A$1:$A104,$A105)+COUNTIFS($L$1:$L104,"ET",$B$1:$B104,"&lt;&gt;"&amp;$B105,$A$1:$A104,$A105)),(COUNTIFS($L$1:$L104,"Tor",$B$1:$B104,$B105,$A$1:$A104,$A105)+COUNTIFS($L$1:$L104,"ET",$B$1:$B104,$B105,$A$1:$A104,$A105))-(COUNTIFS($L$1:$L104,"Tor",$B$1:$B104,"&lt;&gt;"&amp;$B105,$A$1:$A104,$A105)+COUNTIFS($L$1:$L104,"ET",$B$1:$B104,"&lt;&gt;"&amp;$B105,$A$1:$A104,$A105))),"")</f>
        <v>1</v>
      </c>
      <c r="K105" s="3">
        <v>20</v>
      </c>
      <c r="L105" s="17" t="s">
        <v>0</v>
      </c>
      <c r="M105" s="2" t="s">
        <v>163</v>
      </c>
      <c r="N105" s="2" t="s">
        <v>165</v>
      </c>
      <c r="X105" s="2" t="s">
        <v>142</v>
      </c>
      <c r="Y105" s="17" t="s">
        <v>143</v>
      </c>
      <c r="Z105" s="14" t="s">
        <v>150</v>
      </c>
      <c r="AA105" s="14" t="s">
        <v>145</v>
      </c>
      <c r="AB105" s="18">
        <v>9</v>
      </c>
      <c r="AC105" s="13">
        <v>8</v>
      </c>
      <c r="AD105" s="13">
        <v>15</v>
      </c>
      <c r="AE105" s="19">
        <f t="shared" si="4"/>
        <v>15.615236149351055</v>
      </c>
      <c r="AF105" s="19">
        <f t="shared" si="5"/>
        <v>21.72219498057148</v>
      </c>
      <c r="AG105" s="2" t="s">
        <v>169</v>
      </c>
      <c r="AH105" s="13">
        <v>5</v>
      </c>
      <c r="AI105" s="13">
        <v>13</v>
      </c>
      <c r="AJ105" s="19">
        <f>IF(Abschlüsse[[#This Row],[Ergeb]]="ET","",SQRT(($AC105-$AH105)^2+($AD105-$AI105)^2))</f>
        <v>3.6055512754639891</v>
      </c>
      <c r="AK105" s="3">
        <v>1</v>
      </c>
      <c r="AL105" s="13">
        <v>8</v>
      </c>
      <c r="AM105" s="13">
        <v>13</v>
      </c>
      <c r="AN105" s="19">
        <f t="shared" si="6"/>
        <v>2</v>
      </c>
      <c r="AO105" s="3">
        <v>0</v>
      </c>
      <c r="AR105" s="19" t="str">
        <f t="shared" si="7"/>
        <v/>
      </c>
    </row>
    <row r="106" spans="1:44" ht="25.05" customHeight="1">
      <c r="A106" s="3">
        <v>5</v>
      </c>
      <c r="B106" s="2" t="s">
        <v>8</v>
      </c>
      <c r="C106" s="17" t="str">
        <f>IF($A106="","",IF(VLOOKUP($A106,Spiele!$A$2:$D$15,3,FALSE)=$B106,"H","G"))</f>
        <v>H</v>
      </c>
      <c r="D106" s="17" t="str">
        <f>IF($B106="","",IF(VLOOKUP($A106,Spiele!$A$2:$F$15,3,FALSE)=$B106,VLOOKUP($A106,Spiele!$A$2:$F$15,4,FALSE),VLOOKUP($A106,Spiele!$A$2:$F$15,3,FALSE)))</f>
        <v>FCM</v>
      </c>
      <c r="E106" s="18">
        <f>IF(Abschlüsse[[#This Row],[Ergeb]]="ET",0,COUNTIFS($A$2:$A106,$A106,$B$2:$B106,$B106,$L$2:$L106,"&lt;&gt;ET"))</f>
        <v>1</v>
      </c>
      <c r="F106" s="11">
        <v>4</v>
      </c>
      <c r="G106" s="12">
        <v>1</v>
      </c>
      <c r="H106" s="18">
        <f>COUNTIFS('Rote Karten'!$A$2:$A$4,$A106,'Rote Karten'!$D$2:$D$4,"&lt;&gt;"&amp;$B106,'Rote Karten'!$B$2:$B$4,"&lt;"&amp;$F106,'Rote Karten'!$C$2:$C$4,"&lt;="&amp;$G106)-COUNTIFS('Rote Karten'!$A$2:$A$4,$A106,'Rote Karten'!$D$2:$D$4,$B106,'Rote Karten'!$B$2:$B$4,"&lt;"&amp;$F106,'Rote Karten'!$C$2:$C$4,"&lt;="&amp;$G106)</f>
        <v>0</v>
      </c>
      <c r="I106" s="17" t="str">
        <f>IF(OR($L106="Tor",$L106="ET"),_xlfn.IFNA(IF(VLOOKUP($A106,Spiele!$A$2:$C$15,3,FALSE)=$B106,COUNTIFS($L$2:$L106,"Tor",$B$2:$B106,$B106,$A$2:$A106,$A106)+COUNTIFS($L$2:$L106,"ET",$B$2:$B106,$B106,$A$2:$A106,$A106)&amp;":"&amp;COUNTIFS($L$2:$L106,"Tor",$B$2:$B106,"&lt;&gt;"&amp;$B106,$A$2:$A106,$A106)+COUNTIFS($L$2:$L106,"ET",$B$2:$B106,"&lt;&gt;"&amp;$B106,$A$2:$A106,$A106),COUNTIFS($L$2:$L106,"Tor",$B$2:$B106,"&lt;&gt;"&amp;$B106,$A$2:$A106,$A106)+COUNTIFS($L$2:$L106,"ET",$B$2:$B106,"&lt;&gt;"&amp;$B106,$A$2:$A106,$A106)&amp;":"&amp;COUNTIFS($L$2:$L106,"Tor",$B$2:$B106,$B106,$A$2:$A106,$A106)+COUNTIFS($L$2:$L106,"ET",$B$2:$B106,$B106,$A$2:$A106,$A106)),""),"")</f>
        <v/>
      </c>
      <c r="J106" s="18">
        <f>_xlfn.IFNA(IF(VLOOKUP($A106,Spiele!$A$2:$D$15,3,FALSE)=$B106,(COUNTIFS($L$1:$L105,"Tor",$B$1:$B105,$B106,$A$1:$A105,$A106)+COUNTIFS($L$1:$L105,"ET",$B$1:$B105,$B106,$A$1:$A105,$A106))-(COUNTIFS($L$1:$L105,"Tor",$B$1:$B105,"&lt;&gt;"&amp;$B106,$A$1:$A105,$A106)+COUNTIFS($L$1:$L105,"ET",$B$1:$B105,"&lt;&gt;"&amp;$B106,$A$1:$A105,$A106)),(COUNTIFS($L$1:$L105,"Tor",$B$1:$B105,$B106,$A$1:$A105,$A106)+COUNTIFS($L$1:$L105,"ET",$B$1:$B105,$B106,$A$1:$A105,$A106))-(COUNTIFS($L$1:$L105,"Tor",$B$1:$B105,"&lt;&gt;"&amp;$B106,$A$1:$A105,$A106)+COUNTIFS($L$1:$L105,"ET",$B$1:$B105,"&lt;&gt;"&amp;$B106,$A$1:$A105,$A106))),"")</f>
        <v>0</v>
      </c>
      <c r="K106" s="3">
        <v>1</v>
      </c>
      <c r="L106" s="17" t="s">
        <v>18</v>
      </c>
      <c r="M106" s="2" t="s">
        <v>147</v>
      </c>
      <c r="N106" s="2" t="s">
        <v>178</v>
      </c>
      <c r="O106" s="2">
        <v>9</v>
      </c>
      <c r="P106" s="2">
        <v>7</v>
      </c>
      <c r="Q106" s="2">
        <v>13</v>
      </c>
      <c r="R106" s="2">
        <v>1</v>
      </c>
      <c r="S106" s="2">
        <v>20</v>
      </c>
      <c r="T106" s="2">
        <v>5</v>
      </c>
      <c r="X106" s="2" t="s">
        <v>142</v>
      </c>
      <c r="Y106" s="17" t="s">
        <v>149</v>
      </c>
      <c r="Z106" s="14" t="s">
        <v>150</v>
      </c>
      <c r="AA106" s="14" t="s">
        <v>156</v>
      </c>
      <c r="AB106" s="18">
        <v>10</v>
      </c>
      <c r="AC106" s="13">
        <v>-6</v>
      </c>
      <c r="AD106" s="13">
        <v>6.5</v>
      </c>
      <c r="AE106" s="19">
        <f t="shared" si="4"/>
        <v>6.9083717329049401</v>
      </c>
      <c r="AF106" s="19">
        <f t="shared" si="5"/>
        <v>36.265387298376041</v>
      </c>
      <c r="AG106" s="2" t="s">
        <v>146</v>
      </c>
      <c r="AH106" s="13">
        <v>-3</v>
      </c>
      <c r="AI106" s="13">
        <v>2</v>
      </c>
      <c r="AJ106" s="19">
        <f>IF(Abschlüsse[[#This Row],[Ergeb]]="ET","",SQRT(($AC106-$AH106)^2+($AD106-$AI106)^2))</f>
        <v>5.4083269131959844</v>
      </c>
      <c r="AK106" s="3">
        <v>2</v>
      </c>
      <c r="AL106" s="13">
        <v>-2.5</v>
      </c>
      <c r="AM106" s="13">
        <v>6</v>
      </c>
      <c r="AN106" s="19">
        <f t="shared" si="6"/>
        <v>3.5355339059327378</v>
      </c>
      <c r="AO106" s="3">
        <v>0</v>
      </c>
      <c r="AR106" s="19" t="str">
        <f t="shared" si="7"/>
        <v/>
      </c>
    </row>
    <row r="107" spans="1:44" ht="25.05" customHeight="1">
      <c r="A107" s="3">
        <v>5</v>
      </c>
      <c r="B107" s="2" t="s">
        <v>62</v>
      </c>
      <c r="C107" s="17" t="str">
        <f>IF($A107="","",IF(VLOOKUP($A107,Spiele!$A$2:$D$15,3,FALSE)=$B107,"H","G"))</f>
        <v>G</v>
      </c>
      <c r="D107" s="17" t="str">
        <f>IF($B107="","",IF(VLOOKUP($A107,Spiele!$A$2:$F$15,3,FALSE)=$B107,VLOOKUP($A107,Spiele!$A$2:$F$15,4,FALSE),VLOOKUP($A107,Spiele!$A$2:$F$15,3,FALSE)))</f>
        <v>FCN</v>
      </c>
      <c r="E107" s="18">
        <f>IF(Abschlüsse[[#This Row],[Ergeb]]="ET",0,COUNTIFS($A$2:$A107,$A107,$B$2:$B107,$B107,$L$2:$L107,"&lt;&gt;ET"))</f>
        <v>1</v>
      </c>
      <c r="F107" s="11">
        <v>10</v>
      </c>
      <c r="G107" s="12">
        <v>1</v>
      </c>
      <c r="H107" s="18">
        <f>COUNTIFS('Rote Karten'!$A$2:$A$4,$A107,'Rote Karten'!$D$2:$D$4,"&lt;&gt;"&amp;$B107,'Rote Karten'!$B$2:$B$4,"&lt;"&amp;$F107,'Rote Karten'!$C$2:$C$4,"&lt;="&amp;$G107)-COUNTIFS('Rote Karten'!$A$2:$A$4,$A107,'Rote Karten'!$D$2:$D$4,$B107,'Rote Karten'!$B$2:$B$4,"&lt;"&amp;$F107,'Rote Karten'!$C$2:$C$4,"&lt;="&amp;$G107)</f>
        <v>0</v>
      </c>
      <c r="I107" s="17" t="str">
        <f>IF(OR($L107="Tor",$L107="ET"),_xlfn.IFNA(IF(VLOOKUP($A107,Spiele!$A$2:$C$15,3,FALSE)=$B107,COUNTIFS($L$2:$L107,"Tor",$B$2:$B107,$B107,$A$2:$A107,$A107)+COUNTIFS($L$2:$L107,"ET",$B$2:$B107,$B107,$A$2:$A107,$A107)&amp;":"&amp;COUNTIFS($L$2:$L107,"Tor",$B$2:$B107,"&lt;&gt;"&amp;$B107,$A$2:$A107,$A107)+COUNTIFS($L$2:$L107,"ET",$B$2:$B107,"&lt;&gt;"&amp;$B107,$A$2:$A107,$A107),COUNTIFS($L$2:$L107,"Tor",$B$2:$B107,"&lt;&gt;"&amp;$B107,$A$2:$A107,$A107)+COUNTIFS($L$2:$L107,"ET",$B$2:$B107,"&lt;&gt;"&amp;$B107,$A$2:$A107,$A107)&amp;":"&amp;COUNTIFS($L$2:$L107,"Tor",$B$2:$B107,$B107,$A$2:$A107,$A107)+COUNTIFS($L$2:$L107,"ET",$B$2:$B107,$B107,$A$2:$A107,$A107)),""),"")</f>
        <v/>
      </c>
      <c r="J107" s="18">
        <f>_xlfn.IFNA(IF(VLOOKUP($A107,Spiele!$A$2:$D$15,3,FALSE)=$B107,(COUNTIFS($L$1:$L106,"Tor",$B$1:$B106,$B107,$A$1:$A106,$A107)+COUNTIFS($L$1:$L106,"ET",$B$1:$B106,$B107,$A$1:$A106,$A107))-(COUNTIFS($L$1:$L106,"Tor",$B$1:$B106,"&lt;&gt;"&amp;$B107,$A$1:$A106,$A107)+COUNTIFS($L$1:$L106,"ET",$B$1:$B106,"&lt;&gt;"&amp;$B107,$A$1:$A106,$A107)),(COUNTIFS($L$1:$L106,"Tor",$B$1:$B106,$B107,$A$1:$A106,$A107)+COUNTIFS($L$1:$L106,"ET",$B$1:$B106,$B107,$A$1:$A106,$A107))-(COUNTIFS($L$1:$L106,"Tor",$B$1:$B106,"&lt;&gt;"&amp;$B107,$A$1:$A106,$A107)+COUNTIFS($L$1:$L106,"ET",$B$1:$B106,"&lt;&gt;"&amp;$B107,$A$1:$A106,$A107))),"")</f>
        <v>0</v>
      </c>
      <c r="K107" s="3">
        <v>2</v>
      </c>
      <c r="L107" s="17" t="s">
        <v>18</v>
      </c>
      <c r="M107" s="2" t="s">
        <v>163</v>
      </c>
      <c r="N107" s="2" t="s">
        <v>164</v>
      </c>
      <c r="X107" s="2" t="s">
        <v>151</v>
      </c>
      <c r="Y107" s="17" t="s">
        <v>149</v>
      </c>
      <c r="Z107" s="14" t="s">
        <v>150</v>
      </c>
      <c r="AA107" s="14" t="s">
        <v>156</v>
      </c>
      <c r="AB107" s="18"/>
      <c r="AC107" s="13">
        <v>14</v>
      </c>
      <c r="AD107" s="13">
        <v>16.5</v>
      </c>
      <c r="AE107" s="19">
        <f t="shared" si="4"/>
        <v>19.472175019755753</v>
      </c>
      <c r="AF107" s="19">
        <f t="shared" si="5"/>
        <v>14.870893003891215</v>
      </c>
      <c r="AG107" s="2" t="s">
        <v>146</v>
      </c>
      <c r="AH107" s="13">
        <v>2.5</v>
      </c>
      <c r="AI107" s="13">
        <v>1.5</v>
      </c>
      <c r="AJ107" s="19">
        <f>IF(Abschlüsse[[#This Row],[Ergeb]]="ET","",SQRT(($AC107-$AH107)^2+($AD107-$AI107)^2))</f>
        <v>18.9010581714358</v>
      </c>
      <c r="AK107" s="3">
        <v>1</v>
      </c>
      <c r="AL107" s="13">
        <v>14.5</v>
      </c>
      <c r="AM107" s="13">
        <v>14.5</v>
      </c>
      <c r="AN107" s="19">
        <f t="shared" si="6"/>
        <v>2.0615528128088303</v>
      </c>
      <c r="AO107" s="3">
        <v>1</v>
      </c>
      <c r="AP107" s="13">
        <v>9</v>
      </c>
      <c r="AQ107" s="13">
        <v>13</v>
      </c>
      <c r="AR107" s="19">
        <f t="shared" si="7"/>
        <v>6.103277807866851</v>
      </c>
    </row>
    <row r="108" spans="1:44" ht="25.05" customHeight="1">
      <c r="A108" s="3">
        <v>5</v>
      </c>
      <c r="B108" s="2" t="s">
        <v>8</v>
      </c>
      <c r="C108" s="17" t="str">
        <f>IF($A108="","",IF(VLOOKUP($A108,Spiele!$A$2:$D$15,3,FALSE)=$B108,"H","G"))</f>
        <v>H</v>
      </c>
      <c r="D108" s="17" t="str">
        <f>IF($B108="","",IF(VLOOKUP($A108,Spiele!$A$2:$F$15,3,FALSE)=$B108,VLOOKUP($A108,Spiele!$A$2:$F$15,4,FALSE),VLOOKUP($A108,Spiele!$A$2:$F$15,3,FALSE)))</f>
        <v>FCM</v>
      </c>
      <c r="E108" s="18">
        <f>IF(Abschlüsse[[#This Row],[Ergeb]]="ET",0,COUNTIFS($A$2:$A108,$A108,$B$2:$B108,$B108,$L$2:$L108,"&lt;&gt;ET"))</f>
        <v>2</v>
      </c>
      <c r="F108" s="11">
        <v>25</v>
      </c>
      <c r="G108" s="12">
        <v>1</v>
      </c>
      <c r="H108" s="18">
        <f>COUNTIFS('Rote Karten'!$A$2:$A$4,$A108,'Rote Karten'!$D$2:$D$4,"&lt;&gt;"&amp;$B108,'Rote Karten'!$B$2:$B$4,"&lt;"&amp;$F108,'Rote Karten'!$C$2:$C$4,"&lt;="&amp;$G108)-COUNTIFS('Rote Karten'!$A$2:$A$4,$A108,'Rote Karten'!$D$2:$D$4,$B108,'Rote Karten'!$B$2:$B$4,"&lt;"&amp;$F108,'Rote Karten'!$C$2:$C$4,"&lt;="&amp;$G108)</f>
        <v>0</v>
      </c>
      <c r="I108" s="17" t="str">
        <f>IF(OR($L108="Tor",$L108="ET"),_xlfn.IFNA(IF(VLOOKUP($A108,Spiele!$A$2:$C$15,3,FALSE)=$B108,COUNTIFS($L$2:$L108,"Tor",$B$2:$B108,$B108,$A$2:$A108,$A108)+COUNTIFS($L$2:$L108,"ET",$B$2:$B108,$B108,$A$2:$A108,$A108)&amp;":"&amp;COUNTIFS($L$2:$L108,"Tor",$B$2:$B108,"&lt;&gt;"&amp;$B108,$A$2:$A108,$A108)+COUNTIFS($L$2:$L108,"ET",$B$2:$B108,"&lt;&gt;"&amp;$B108,$A$2:$A108,$A108),COUNTIFS($L$2:$L108,"Tor",$B$2:$B108,"&lt;&gt;"&amp;$B108,$A$2:$A108,$A108)+COUNTIFS($L$2:$L108,"ET",$B$2:$B108,"&lt;&gt;"&amp;$B108,$A$2:$A108,$A108)&amp;":"&amp;COUNTIFS($L$2:$L108,"Tor",$B$2:$B108,$B108,$A$2:$A108,$A108)+COUNTIFS($L$2:$L108,"ET",$B$2:$B108,$B108,$A$2:$A108,$A108)),""),"")</f>
        <v/>
      </c>
      <c r="J108" s="18">
        <f>_xlfn.IFNA(IF(VLOOKUP($A108,Spiele!$A$2:$D$15,3,FALSE)=$B108,(COUNTIFS($L$1:$L107,"Tor",$B$1:$B107,$B108,$A$1:$A107,$A108)+COUNTIFS($L$1:$L107,"ET",$B$1:$B107,$B108,$A$1:$A107,$A108))-(COUNTIFS($L$1:$L107,"Tor",$B$1:$B107,"&lt;&gt;"&amp;$B108,$A$1:$A107,$A108)+COUNTIFS($L$1:$L107,"ET",$B$1:$B107,"&lt;&gt;"&amp;$B108,$A$1:$A107,$A108)),(COUNTIFS($L$1:$L107,"Tor",$B$1:$B107,$B108,$A$1:$A107,$A108)+COUNTIFS($L$1:$L107,"ET",$B$1:$B107,$B108,$A$1:$A107,$A108))-(COUNTIFS($L$1:$L107,"Tor",$B$1:$B107,"&lt;&gt;"&amp;$B108,$A$1:$A107,$A108)+COUNTIFS($L$1:$L107,"ET",$B$1:$B107,"&lt;&gt;"&amp;$B108,$A$1:$A107,$A108))),"")</f>
        <v>0</v>
      </c>
      <c r="K108" s="3">
        <v>3</v>
      </c>
      <c r="L108" s="17" t="s">
        <v>19</v>
      </c>
      <c r="M108" s="2" t="s">
        <v>163</v>
      </c>
      <c r="N108" s="2" t="s">
        <v>158</v>
      </c>
      <c r="O108" s="2">
        <v>7</v>
      </c>
      <c r="P108" s="2">
        <v>5</v>
      </c>
      <c r="X108" s="2" t="s">
        <v>151</v>
      </c>
      <c r="Y108" s="17" t="s">
        <v>149</v>
      </c>
      <c r="Z108" s="14" t="s">
        <v>150</v>
      </c>
      <c r="AA108" s="14" t="s">
        <v>156</v>
      </c>
      <c r="AB108" s="18">
        <v>9</v>
      </c>
      <c r="AC108" s="13">
        <v>7</v>
      </c>
      <c r="AD108" s="13">
        <v>8.5</v>
      </c>
      <c r="AE108" s="19">
        <f t="shared" si="4"/>
        <v>9.1326666423339891</v>
      </c>
      <c r="AF108" s="19">
        <f t="shared" si="5"/>
        <v>29.980167696972419</v>
      </c>
      <c r="AG108" s="2" t="s">
        <v>146</v>
      </c>
      <c r="AH108" s="13">
        <v>3.5</v>
      </c>
      <c r="AI108" s="13">
        <v>3.5</v>
      </c>
      <c r="AJ108" s="19">
        <f>IF(Abschlüsse[[#This Row],[Ergeb]]="ET","",SQRT(($AC108-$AH108)^2+($AD108-$AI108)^2))</f>
        <v>6.103277807866851</v>
      </c>
      <c r="AK108" s="3">
        <v>2</v>
      </c>
      <c r="AL108" s="13">
        <v>8.5</v>
      </c>
      <c r="AM108" s="13">
        <v>8</v>
      </c>
      <c r="AN108" s="19">
        <f t="shared" si="6"/>
        <v>1.5811388300841898</v>
      </c>
      <c r="AO108" s="3">
        <v>1</v>
      </c>
      <c r="AP108" s="13">
        <v>1.5</v>
      </c>
      <c r="AQ108" s="13">
        <v>4.5</v>
      </c>
      <c r="AR108" s="19">
        <f t="shared" si="7"/>
        <v>6.800735254367722</v>
      </c>
    </row>
    <row r="109" spans="1:44" ht="25.05" customHeight="1">
      <c r="A109" s="3">
        <v>5</v>
      </c>
      <c r="B109" s="2" t="s">
        <v>8</v>
      </c>
      <c r="C109" s="17" t="str">
        <f>IF($A109="","",IF(VLOOKUP($A109,Spiele!$A$2:$D$15,3,FALSE)=$B109,"H","G"))</f>
        <v>H</v>
      </c>
      <c r="D109" s="17" t="str">
        <f>IF($B109="","",IF(VLOOKUP($A109,Spiele!$A$2:$F$15,3,FALSE)=$B109,VLOOKUP($A109,Spiele!$A$2:$F$15,4,FALSE),VLOOKUP($A109,Spiele!$A$2:$F$15,3,FALSE)))</f>
        <v>FCM</v>
      </c>
      <c r="E109" s="18">
        <f>IF(Abschlüsse[[#This Row],[Ergeb]]="ET",0,COUNTIFS($A$2:$A109,$A109,$B$2:$B109,$B109,$L$2:$L109,"&lt;&gt;ET"))</f>
        <v>3</v>
      </c>
      <c r="F109" s="11">
        <v>29</v>
      </c>
      <c r="G109" s="12">
        <v>1</v>
      </c>
      <c r="H109" s="18">
        <f>COUNTIFS('Rote Karten'!$A$2:$A$4,$A109,'Rote Karten'!$D$2:$D$4,"&lt;&gt;"&amp;$B109,'Rote Karten'!$B$2:$B$4,"&lt;"&amp;$F109,'Rote Karten'!$C$2:$C$4,"&lt;="&amp;$G109)-COUNTIFS('Rote Karten'!$A$2:$A$4,$A109,'Rote Karten'!$D$2:$D$4,$B109,'Rote Karten'!$B$2:$B$4,"&lt;"&amp;$F109,'Rote Karten'!$C$2:$C$4,"&lt;="&amp;$G109)</f>
        <v>1</v>
      </c>
      <c r="I109" s="17" t="str">
        <f>IF(OR($L109="Tor",$L109="ET"),_xlfn.IFNA(IF(VLOOKUP($A109,Spiele!$A$2:$C$15,3,FALSE)=$B109,COUNTIFS($L$2:$L109,"Tor",$B$2:$B109,$B109,$A$2:$A109,$A109)+COUNTIFS($L$2:$L109,"ET",$B$2:$B109,$B109,$A$2:$A109,$A109)&amp;":"&amp;COUNTIFS($L$2:$L109,"Tor",$B$2:$B109,"&lt;&gt;"&amp;$B109,$A$2:$A109,$A109)+COUNTIFS($L$2:$L109,"ET",$B$2:$B109,"&lt;&gt;"&amp;$B109,$A$2:$A109,$A109),COUNTIFS($L$2:$L109,"Tor",$B$2:$B109,"&lt;&gt;"&amp;$B109,$A$2:$A109,$A109)+COUNTIFS($L$2:$L109,"ET",$B$2:$B109,"&lt;&gt;"&amp;$B109,$A$2:$A109,$A109)&amp;":"&amp;COUNTIFS($L$2:$L109,"Tor",$B$2:$B109,$B109,$A$2:$A109,$A109)+COUNTIFS($L$2:$L109,"ET",$B$2:$B109,$B109,$A$2:$A109,$A109)),""),"")</f>
        <v/>
      </c>
      <c r="J109" s="18">
        <f>_xlfn.IFNA(IF(VLOOKUP($A109,Spiele!$A$2:$D$15,3,FALSE)=$B109,(COUNTIFS($L$1:$L108,"Tor",$B$1:$B108,$B109,$A$1:$A108,$A109)+COUNTIFS($L$1:$L108,"ET",$B$1:$B108,$B109,$A$1:$A108,$A109))-(COUNTIFS($L$1:$L108,"Tor",$B$1:$B108,"&lt;&gt;"&amp;$B109,$A$1:$A108,$A109)+COUNTIFS($L$1:$L108,"ET",$B$1:$B108,"&lt;&gt;"&amp;$B109,$A$1:$A108,$A109)),(COUNTIFS($L$1:$L108,"Tor",$B$1:$B108,$B109,$A$1:$A108,$A109)+COUNTIFS($L$1:$L108,"ET",$B$1:$B108,$B109,$A$1:$A108,$A109))-(COUNTIFS($L$1:$L108,"Tor",$B$1:$B108,"&lt;&gt;"&amp;$B109,$A$1:$A108,$A109)+COUNTIFS($L$1:$L108,"ET",$B$1:$B108,"&lt;&gt;"&amp;$B109,$A$1:$A108,$A109))),"")</f>
        <v>0</v>
      </c>
      <c r="K109" s="3">
        <v>4</v>
      </c>
      <c r="L109" s="17" t="s">
        <v>170</v>
      </c>
      <c r="M109" s="2" t="s">
        <v>147</v>
      </c>
      <c r="N109" s="2" t="s">
        <v>153</v>
      </c>
      <c r="O109" s="2">
        <v>20</v>
      </c>
      <c r="P109" s="2">
        <v>16</v>
      </c>
      <c r="Q109" s="2">
        <v>26</v>
      </c>
      <c r="R109" s="2">
        <v>8</v>
      </c>
      <c r="S109" s="2">
        <v>23</v>
      </c>
      <c r="X109" s="2" t="s">
        <v>154</v>
      </c>
      <c r="Y109" s="17" t="s">
        <v>149</v>
      </c>
      <c r="Z109" s="14" t="s">
        <v>144</v>
      </c>
      <c r="AA109" s="14" t="s">
        <v>156</v>
      </c>
      <c r="AB109" s="18">
        <v>10</v>
      </c>
      <c r="AC109" s="13">
        <v>9</v>
      </c>
      <c r="AD109" s="13">
        <v>7</v>
      </c>
      <c r="AE109" s="19">
        <f t="shared" si="4"/>
        <v>8.804294406708582</v>
      </c>
      <c r="AF109" s="19">
        <f t="shared" si="5"/>
        <v>23.722344983450849</v>
      </c>
      <c r="AG109" s="2" t="s">
        <v>146</v>
      </c>
      <c r="AH109" s="13">
        <v>3</v>
      </c>
      <c r="AI109" s="13">
        <v>0.5</v>
      </c>
      <c r="AJ109" s="19">
        <f>IF(Abschlüsse[[#This Row],[Ergeb]]="ET","",SQRT(($AC109-$AH109)^2+($AD109-$AI109)^2))</f>
        <v>8.8459030064770658</v>
      </c>
      <c r="AK109" s="3">
        <v>1</v>
      </c>
      <c r="AL109" s="13">
        <v>10</v>
      </c>
      <c r="AM109" s="13">
        <v>6</v>
      </c>
      <c r="AN109" s="19">
        <f t="shared" si="6"/>
        <v>1.4142135623730951</v>
      </c>
      <c r="AO109" s="3">
        <v>0</v>
      </c>
      <c r="AR109" s="19" t="str">
        <f t="shared" si="7"/>
        <v/>
      </c>
    </row>
    <row r="110" spans="1:44" ht="25.05" customHeight="1">
      <c r="A110" s="3">
        <v>5</v>
      </c>
      <c r="B110" s="2" t="s">
        <v>62</v>
      </c>
      <c r="C110" s="17" t="str">
        <f>IF($A110="","",IF(VLOOKUP($A110,Spiele!$A$2:$D$15,3,FALSE)=$B110,"H","G"))</f>
        <v>G</v>
      </c>
      <c r="D110" s="17" t="str">
        <f>IF($B110="","",IF(VLOOKUP($A110,Spiele!$A$2:$F$15,3,FALSE)=$B110,VLOOKUP($A110,Spiele!$A$2:$F$15,4,FALSE),VLOOKUP($A110,Spiele!$A$2:$F$15,3,FALSE)))</f>
        <v>FCN</v>
      </c>
      <c r="E110" s="18">
        <f>IF(Abschlüsse[[#This Row],[Ergeb]]="ET",0,COUNTIFS($A$2:$A110,$A110,$B$2:$B110,$B110,$L$2:$L110,"&lt;&gt;ET"))</f>
        <v>2</v>
      </c>
      <c r="F110" s="11">
        <v>34</v>
      </c>
      <c r="G110" s="12">
        <v>1</v>
      </c>
      <c r="H110" s="18">
        <f>COUNTIFS('Rote Karten'!$A$2:$A$4,$A110,'Rote Karten'!$D$2:$D$4,"&lt;&gt;"&amp;$B110,'Rote Karten'!$B$2:$B$4,"&lt;"&amp;$F110,'Rote Karten'!$C$2:$C$4,"&lt;="&amp;$G110)-COUNTIFS('Rote Karten'!$A$2:$A$4,$A110,'Rote Karten'!$D$2:$D$4,$B110,'Rote Karten'!$B$2:$B$4,"&lt;"&amp;$F110,'Rote Karten'!$C$2:$C$4,"&lt;="&amp;$G110)</f>
        <v>-1</v>
      </c>
      <c r="I110" s="17" t="str">
        <f>IF(OR($L110="Tor",$L110="ET"),_xlfn.IFNA(IF(VLOOKUP($A110,Spiele!$A$2:$C$15,3,FALSE)=$B110,COUNTIFS($L$2:$L110,"Tor",$B$2:$B110,$B110,$A$2:$A110,$A110)+COUNTIFS($L$2:$L110,"ET",$B$2:$B110,$B110,$A$2:$A110,$A110)&amp;":"&amp;COUNTIFS($L$2:$L110,"Tor",$B$2:$B110,"&lt;&gt;"&amp;$B110,$A$2:$A110,$A110)+COUNTIFS($L$2:$L110,"ET",$B$2:$B110,"&lt;&gt;"&amp;$B110,$A$2:$A110,$A110),COUNTIFS($L$2:$L110,"Tor",$B$2:$B110,"&lt;&gt;"&amp;$B110,$A$2:$A110,$A110)+COUNTIFS($L$2:$L110,"ET",$B$2:$B110,"&lt;&gt;"&amp;$B110,$A$2:$A110,$A110)&amp;":"&amp;COUNTIFS($L$2:$L110,"Tor",$B$2:$B110,$B110,$A$2:$A110,$A110)+COUNTIFS($L$2:$L110,"ET",$B$2:$B110,$B110,$A$2:$A110,$A110)),""),"")</f>
        <v>0:1</v>
      </c>
      <c r="J110" s="18">
        <f>_xlfn.IFNA(IF(VLOOKUP($A110,Spiele!$A$2:$D$15,3,FALSE)=$B110,(COUNTIFS($L$1:$L109,"Tor",$B$1:$B109,$B110,$A$1:$A109,$A110)+COUNTIFS($L$1:$L109,"ET",$B$1:$B109,$B110,$A$1:$A109,$A110))-(COUNTIFS($L$1:$L109,"Tor",$B$1:$B109,"&lt;&gt;"&amp;$B110,$A$1:$A109,$A110)+COUNTIFS($L$1:$L109,"ET",$B$1:$B109,"&lt;&gt;"&amp;$B110,$A$1:$A109,$A110)),(COUNTIFS($L$1:$L109,"Tor",$B$1:$B109,$B110,$A$1:$A109,$A110)+COUNTIFS($L$1:$L109,"ET",$B$1:$B109,$B110,$A$1:$A109,$A110))-(COUNTIFS($L$1:$L109,"Tor",$B$1:$B109,"&lt;&gt;"&amp;$B110,$A$1:$A109,$A110)+COUNTIFS($L$1:$L109,"ET",$B$1:$B109,"&lt;&gt;"&amp;$B110,$A$1:$A109,$A110))),"")</f>
        <v>0</v>
      </c>
      <c r="K110" s="3">
        <v>5</v>
      </c>
      <c r="L110" s="17" t="s">
        <v>0</v>
      </c>
      <c r="M110" s="2" t="s">
        <v>175</v>
      </c>
      <c r="N110" s="2" t="s">
        <v>175</v>
      </c>
      <c r="X110" s="2" t="s">
        <v>154</v>
      </c>
      <c r="Y110" s="17" t="s">
        <v>160</v>
      </c>
      <c r="Z110" s="14" t="s">
        <v>161</v>
      </c>
      <c r="AA110" s="14" t="s">
        <v>156</v>
      </c>
      <c r="AB110" s="18"/>
      <c r="AC110" s="13">
        <v>0</v>
      </c>
      <c r="AD110" s="13">
        <v>15</v>
      </c>
      <c r="AE110" s="19">
        <f t="shared" si="4"/>
        <v>15</v>
      </c>
      <c r="AF110" s="19">
        <f t="shared" si="5"/>
        <v>27.424473717064071</v>
      </c>
      <c r="AG110" s="2" t="s">
        <v>146</v>
      </c>
      <c r="AH110" s="13">
        <v>0</v>
      </c>
      <c r="AI110" s="13">
        <v>1</v>
      </c>
      <c r="AJ110" s="19">
        <f>IF(Abschlüsse[[#This Row],[Ergeb]]="ET","",SQRT(($AC110-$AH110)^2+($AD110-$AI110)^2))</f>
        <v>14</v>
      </c>
      <c r="AK110" s="3">
        <v>1</v>
      </c>
      <c r="AL110" s="13">
        <v>-0.5</v>
      </c>
      <c r="AM110" s="13">
        <v>14.5</v>
      </c>
      <c r="AN110" s="19">
        <f t="shared" si="6"/>
        <v>0.70710678118654757</v>
      </c>
      <c r="AO110" s="3">
        <v>0</v>
      </c>
      <c r="AR110" s="19" t="str">
        <f t="shared" si="7"/>
        <v/>
      </c>
    </row>
    <row r="111" spans="1:44" ht="25.05" customHeight="1">
      <c r="A111" s="3">
        <v>5</v>
      </c>
      <c r="B111" s="2" t="s">
        <v>8</v>
      </c>
      <c r="C111" s="17" t="str">
        <f>IF($A111="","",IF(VLOOKUP($A111,Spiele!$A$2:$D$15,3,FALSE)=$B111,"H","G"))</f>
        <v>H</v>
      </c>
      <c r="D111" s="17" t="str">
        <f>IF($B111="","",IF(VLOOKUP($A111,Spiele!$A$2:$F$15,3,FALSE)=$B111,VLOOKUP($A111,Spiele!$A$2:$F$15,4,FALSE),VLOOKUP($A111,Spiele!$A$2:$F$15,3,FALSE)))</f>
        <v>FCM</v>
      </c>
      <c r="E111" s="18">
        <f>IF(Abschlüsse[[#This Row],[Ergeb]]="ET",0,COUNTIFS($A$2:$A111,$A111,$B$2:$B111,$B111,$L$2:$L111,"&lt;&gt;ET"))</f>
        <v>4</v>
      </c>
      <c r="F111" s="11">
        <v>37</v>
      </c>
      <c r="G111" s="12">
        <v>1</v>
      </c>
      <c r="H111" s="18">
        <f>COUNTIFS('Rote Karten'!$A$2:$A$4,$A111,'Rote Karten'!$D$2:$D$4,"&lt;&gt;"&amp;$B111,'Rote Karten'!$B$2:$B$4,"&lt;"&amp;$F111,'Rote Karten'!$C$2:$C$4,"&lt;="&amp;$G111)-COUNTIFS('Rote Karten'!$A$2:$A$4,$A111,'Rote Karten'!$D$2:$D$4,$B111,'Rote Karten'!$B$2:$B$4,"&lt;"&amp;$F111,'Rote Karten'!$C$2:$C$4,"&lt;="&amp;$G111)</f>
        <v>1</v>
      </c>
      <c r="I111" s="17" t="str">
        <f>IF(OR($L111="Tor",$L111="ET"),_xlfn.IFNA(IF(VLOOKUP($A111,Spiele!$A$2:$C$15,3,FALSE)=$B111,COUNTIFS($L$2:$L111,"Tor",$B$2:$B111,$B111,$A$2:$A111,$A111)+COUNTIFS($L$2:$L111,"ET",$B$2:$B111,$B111,$A$2:$A111,$A111)&amp;":"&amp;COUNTIFS($L$2:$L111,"Tor",$B$2:$B111,"&lt;&gt;"&amp;$B111,$A$2:$A111,$A111)+COUNTIFS($L$2:$L111,"ET",$B$2:$B111,"&lt;&gt;"&amp;$B111,$A$2:$A111,$A111),COUNTIFS($L$2:$L111,"Tor",$B$2:$B111,"&lt;&gt;"&amp;$B111,$A$2:$A111,$A111)+COUNTIFS($L$2:$L111,"ET",$B$2:$B111,"&lt;&gt;"&amp;$B111,$A$2:$A111,$A111)&amp;":"&amp;COUNTIFS($L$2:$L111,"Tor",$B$2:$B111,$B111,$A$2:$A111,$A111)+COUNTIFS($L$2:$L111,"ET",$B$2:$B111,$B111,$A$2:$A111,$A111)),""),"")</f>
        <v/>
      </c>
      <c r="J111" s="18">
        <f>_xlfn.IFNA(IF(VLOOKUP($A111,Spiele!$A$2:$D$15,3,FALSE)=$B111,(COUNTIFS($L$1:$L110,"Tor",$B$1:$B110,$B111,$A$1:$A110,$A111)+COUNTIFS($L$1:$L110,"ET",$B$1:$B110,$B111,$A$1:$A110,$A111))-(COUNTIFS($L$1:$L110,"Tor",$B$1:$B110,"&lt;&gt;"&amp;$B111,$A$1:$A110,$A111)+COUNTIFS($L$1:$L110,"ET",$B$1:$B110,"&lt;&gt;"&amp;$B111,$A$1:$A110,$A111)),(COUNTIFS($L$1:$L110,"Tor",$B$1:$B110,$B111,$A$1:$A110,$A111)+COUNTIFS($L$1:$L110,"ET",$B$1:$B110,$B111,$A$1:$A110,$A111))-(COUNTIFS($L$1:$L110,"Tor",$B$1:$B110,"&lt;&gt;"&amp;$B111,$A$1:$A110,$A111)+COUNTIFS($L$1:$L110,"ET",$B$1:$B110,"&lt;&gt;"&amp;$B111,$A$1:$A110,$A111))),"")</f>
        <v>-1</v>
      </c>
      <c r="K111" s="3">
        <v>6</v>
      </c>
      <c r="L111" s="17" t="s">
        <v>19</v>
      </c>
      <c r="M111" s="2" t="s">
        <v>163</v>
      </c>
      <c r="N111" s="2" t="s">
        <v>164</v>
      </c>
      <c r="X111" s="2" t="s">
        <v>151</v>
      </c>
      <c r="Y111" s="17" t="s">
        <v>149</v>
      </c>
      <c r="Z111" s="14" t="s">
        <v>150</v>
      </c>
      <c r="AA111" s="14" t="s">
        <v>145</v>
      </c>
      <c r="AB111" s="18">
        <v>20</v>
      </c>
      <c r="AC111" s="13">
        <v>-15.5</v>
      </c>
      <c r="AD111" s="13">
        <v>23.5</v>
      </c>
      <c r="AE111" s="19">
        <f t="shared" si="4"/>
        <v>26.314171087077778</v>
      </c>
      <c r="AF111" s="19">
        <f t="shared" si="5"/>
        <v>12.450693360171121</v>
      </c>
      <c r="AG111" s="2" t="s">
        <v>146</v>
      </c>
      <c r="AH111" s="13">
        <v>-2</v>
      </c>
      <c r="AI111" s="13">
        <v>2</v>
      </c>
      <c r="AJ111" s="19">
        <f>IF(Abschlüsse[[#This Row],[Ergeb]]="ET","",SQRT(($AC111-$AH111)^2+($AD111-$AI111)^2))</f>
        <v>25.387004549572207</v>
      </c>
      <c r="AK111" s="3">
        <v>1</v>
      </c>
      <c r="AL111" s="13">
        <v>-14.5</v>
      </c>
      <c r="AM111" s="13">
        <v>20</v>
      </c>
      <c r="AN111" s="19">
        <f t="shared" si="6"/>
        <v>3.640054944640259</v>
      </c>
      <c r="AO111" s="3">
        <v>1</v>
      </c>
      <c r="AP111" s="13">
        <v>-13</v>
      </c>
      <c r="AQ111" s="13">
        <v>17</v>
      </c>
      <c r="AR111" s="19">
        <f t="shared" si="7"/>
        <v>6.9641941385920596</v>
      </c>
    </row>
    <row r="112" spans="1:44" ht="25.05" customHeight="1">
      <c r="A112" s="3">
        <v>5</v>
      </c>
      <c r="B112" s="2" t="s">
        <v>8</v>
      </c>
      <c r="C112" s="17" t="str">
        <f>IF($A112="","",IF(VLOOKUP($A112,Spiele!$A$2:$D$15,3,FALSE)=$B112,"H","G"))</f>
        <v>H</v>
      </c>
      <c r="D112" s="17" t="str">
        <f>IF($B112="","",IF(VLOOKUP($A112,Spiele!$A$2:$F$15,3,FALSE)=$B112,VLOOKUP($A112,Spiele!$A$2:$F$15,4,FALSE),VLOOKUP($A112,Spiele!$A$2:$F$15,3,FALSE)))</f>
        <v>FCM</v>
      </c>
      <c r="E112" s="18">
        <f>IF(Abschlüsse[[#This Row],[Ergeb]]="ET",0,COUNTIFS($A$2:$A112,$A112,$B$2:$B112,$B112,$L$2:$L112,"&lt;&gt;ET"))</f>
        <v>5</v>
      </c>
      <c r="F112" s="11">
        <v>44</v>
      </c>
      <c r="G112" s="12">
        <v>2</v>
      </c>
      <c r="H112" s="18">
        <f>COUNTIFS('Rote Karten'!$A$2:$A$4,$A112,'Rote Karten'!$D$2:$D$4,"&lt;&gt;"&amp;$B112,'Rote Karten'!$B$2:$B$4,"&lt;"&amp;$F112,'Rote Karten'!$C$2:$C$4,"&lt;="&amp;$G112)-COUNTIFS('Rote Karten'!$A$2:$A$4,$A112,'Rote Karten'!$D$2:$D$4,$B112,'Rote Karten'!$B$2:$B$4,"&lt;"&amp;$F112,'Rote Karten'!$C$2:$C$4,"&lt;="&amp;$G112)</f>
        <v>1</v>
      </c>
      <c r="I112" s="17" t="str">
        <f>IF(OR($L112="Tor",$L112="ET"),_xlfn.IFNA(IF(VLOOKUP($A112,Spiele!$A$2:$C$15,3,FALSE)=$B112,COUNTIFS($L$2:$L112,"Tor",$B$2:$B112,$B112,$A$2:$A112,$A112)+COUNTIFS($L$2:$L112,"ET",$B$2:$B112,$B112,$A$2:$A112,$A112)&amp;":"&amp;COUNTIFS($L$2:$L112,"Tor",$B$2:$B112,"&lt;&gt;"&amp;$B112,$A$2:$A112,$A112)+COUNTIFS($L$2:$L112,"ET",$B$2:$B112,"&lt;&gt;"&amp;$B112,$A$2:$A112,$A112),COUNTIFS($L$2:$L112,"Tor",$B$2:$B112,"&lt;&gt;"&amp;$B112,$A$2:$A112,$A112)+COUNTIFS($L$2:$L112,"ET",$B$2:$B112,"&lt;&gt;"&amp;$B112,$A$2:$A112,$A112)&amp;":"&amp;COUNTIFS($L$2:$L112,"Tor",$B$2:$B112,$B112,$A$2:$A112,$A112)+COUNTIFS($L$2:$L112,"ET",$B$2:$B112,$B112,$A$2:$A112,$A112)),""),"")</f>
        <v/>
      </c>
      <c r="J112" s="18">
        <f>_xlfn.IFNA(IF(VLOOKUP($A112,Spiele!$A$2:$D$15,3,FALSE)=$B112,(COUNTIFS($L$1:$L111,"Tor",$B$1:$B111,$B112,$A$1:$A111,$A112)+COUNTIFS($L$1:$L111,"ET",$B$1:$B111,$B112,$A$1:$A111,$A112))-(COUNTIFS($L$1:$L111,"Tor",$B$1:$B111,"&lt;&gt;"&amp;$B112,$A$1:$A111,$A112)+COUNTIFS($L$1:$L111,"ET",$B$1:$B111,"&lt;&gt;"&amp;$B112,$A$1:$A111,$A112)),(COUNTIFS($L$1:$L111,"Tor",$B$1:$B111,$B112,$A$1:$A111,$A112)+COUNTIFS($L$1:$L111,"ET",$B$1:$B111,$B112,$A$1:$A111,$A112))-(COUNTIFS($L$1:$L111,"Tor",$B$1:$B111,"&lt;&gt;"&amp;$B112,$A$1:$A111,$A112)+COUNTIFS($L$1:$L111,"ET",$B$1:$B111,"&lt;&gt;"&amp;$B112,$A$1:$A111,$A112))),"")</f>
        <v>-1</v>
      </c>
      <c r="K112" s="3">
        <v>7</v>
      </c>
      <c r="L112" s="17" t="s">
        <v>19</v>
      </c>
      <c r="M112" s="2" t="s">
        <v>147</v>
      </c>
      <c r="N112" s="2" t="s">
        <v>158</v>
      </c>
      <c r="O112" s="2">
        <v>8</v>
      </c>
      <c r="P112" s="2">
        <v>10</v>
      </c>
      <c r="Q112" s="2">
        <v>16</v>
      </c>
      <c r="R112" s="2">
        <v>23</v>
      </c>
      <c r="S112" s="2">
        <v>5</v>
      </c>
      <c r="T112" s="2">
        <v>20</v>
      </c>
      <c r="U112" s="2">
        <v>26</v>
      </c>
      <c r="X112" s="2" t="s">
        <v>151</v>
      </c>
      <c r="Y112" s="17" t="s">
        <v>149</v>
      </c>
      <c r="Z112" s="14" t="s">
        <v>150</v>
      </c>
      <c r="AA112" s="14" t="s">
        <v>145</v>
      </c>
      <c r="AB112" s="18">
        <v>10</v>
      </c>
      <c r="AC112" s="13">
        <v>7.5</v>
      </c>
      <c r="AD112" s="13">
        <v>15</v>
      </c>
      <c r="AE112" s="19">
        <f t="shared" si="4"/>
        <v>15.483720483139702</v>
      </c>
      <c r="AF112" s="19">
        <f t="shared" si="5"/>
        <v>22.28991092342396</v>
      </c>
      <c r="AG112" s="2" t="s">
        <v>146</v>
      </c>
      <c r="AH112" s="13">
        <v>0.5</v>
      </c>
      <c r="AI112" s="13">
        <v>0.5</v>
      </c>
      <c r="AJ112" s="19">
        <f>IF(Abschlüsse[[#This Row],[Ergeb]]="ET","",SQRT(($AC112-$AH112)^2+($AD112-$AI112)^2))</f>
        <v>16.101242188104617</v>
      </c>
      <c r="AK112" s="3">
        <v>2</v>
      </c>
      <c r="AL112" s="13">
        <v>9.5</v>
      </c>
      <c r="AM112" s="13">
        <v>14.5</v>
      </c>
      <c r="AN112" s="19">
        <f t="shared" si="6"/>
        <v>2.0615528128088303</v>
      </c>
      <c r="AO112" s="3">
        <v>1</v>
      </c>
      <c r="AP112" s="13">
        <v>6</v>
      </c>
      <c r="AQ112" s="13">
        <v>11.5</v>
      </c>
      <c r="AR112" s="19">
        <f t="shared" si="7"/>
        <v>3.8078865529319543</v>
      </c>
    </row>
    <row r="113" spans="1:44" ht="25.05" customHeight="1">
      <c r="A113" s="3">
        <v>5</v>
      </c>
      <c r="B113" s="2" t="s">
        <v>8</v>
      </c>
      <c r="C113" s="17" t="str">
        <f>IF($A113="","",IF(VLOOKUP($A113,Spiele!$A$2:$D$15,3,FALSE)=$B113,"H","G"))</f>
        <v>H</v>
      </c>
      <c r="D113" s="17" t="str">
        <f>IF($B113="","",IF(VLOOKUP($A113,Spiele!$A$2:$F$15,3,FALSE)=$B113,VLOOKUP($A113,Spiele!$A$2:$F$15,4,FALSE),VLOOKUP($A113,Spiele!$A$2:$F$15,3,FALSE)))</f>
        <v>FCM</v>
      </c>
      <c r="E113" s="18">
        <f>IF(Abschlüsse[[#This Row],[Ergeb]]="ET",0,COUNTIFS($A$2:$A113,$A113,$B$2:$B113,$B113,$L$2:$L113,"&lt;&gt;ET"))</f>
        <v>6</v>
      </c>
      <c r="F113" s="11">
        <v>46</v>
      </c>
      <c r="G113" s="12">
        <v>2</v>
      </c>
      <c r="H113" s="18">
        <f>COUNTIFS('Rote Karten'!$A$2:$A$4,$A113,'Rote Karten'!$D$2:$D$4,"&lt;&gt;"&amp;$B113,'Rote Karten'!$B$2:$B$4,"&lt;"&amp;$F113,'Rote Karten'!$C$2:$C$4,"&lt;="&amp;$G113)-COUNTIFS('Rote Karten'!$A$2:$A$4,$A113,'Rote Karten'!$D$2:$D$4,$B113,'Rote Karten'!$B$2:$B$4,"&lt;"&amp;$F113,'Rote Karten'!$C$2:$C$4,"&lt;="&amp;$G113)</f>
        <v>1</v>
      </c>
      <c r="I113" s="17" t="str">
        <f>IF(OR($L113="Tor",$L113="ET"),_xlfn.IFNA(IF(VLOOKUP($A113,Spiele!$A$2:$C$15,3,FALSE)=$B113,COUNTIFS($L$2:$L113,"Tor",$B$2:$B113,$B113,$A$2:$A113,$A113)+COUNTIFS($L$2:$L113,"ET",$B$2:$B113,$B113,$A$2:$A113,$A113)&amp;":"&amp;COUNTIFS($L$2:$L113,"Tor",$B$2:$B113,"&lt;&gt;"&amp;$B113,$A$2:$A113,$A113)+COUNTIFS($L$2:$L113,"ET",$B$2:$B113,"&lt;&gt;"&amp;$B113,$A$2:$A113,$A113),COUNTIFS($L$2:$L113,"Tor",$B$2:$B113,"&lt;&gt;"&amp;$B113,$A$2:$A113,$A113)+COUNTIFS($L$2:$L113,"ET",$B$2:$B113,"&lt;&gt;"&amp;$B113,$A$2:$A113,$A113)&amp;":"&amp;COUNTIFS($L$2:$L113,"Tor",$B$2:$B113,$B113,$A$2:$A113,$A113)+COUNTIFS($L$2:$L113,"ET",$B$2:$B113,$B113,$A$2:$A113,$A113)),""),"")</f>
        <v/>
      </c>
      <c r="J113" s="18">
        <f>_xlfn.IFNA(IF(VLOOKUP($A113,Spiele!$A$2:$D$15,3,FALSE)=$B113,(COUNTIFS($L$1:$L112,"Tor",$B$1:$B112,$B113,$A$1:$A112,$A113)+COUNTIFS($L$1:$L112,"ET",$B$1:$B112,$B113,$A$1:$A112,$A113))-(COUNTIFS($L$1:$L112,"Tor",$B$1:$B112,"&lt;&gt;"&amp;$B113,$A$1:$A112,$A113)+COUNTIFS($L$1:$L112,"ET",$B$1:$B112,"&lt;&gt;"&amp;$B113,$A$1:$A112,$A113)),(COUNTIFS($L$1:$L112,"Tor",$B$1:$B112,$B113,$A$1:$A112,$A113)+COUNTIFS($L$1:$L112,"ET",$B$1:$B112,$B113,$A$1:$A112,$A113))-(COUNTIFS($L$1:$L112,"Tor",$B$1:$B112,"&lt;&gt;"&amp;$B113,$A$1:$A112,$A113)+COUNTIFS($L$1:$L112,"ET",$B$1:$B112,"&lt;&gt;"&amp;$B113,$A$1:$A112,$A113))),"")</f>
        <v>-1</v>
      </c>
      <c r="K113" s="3">
        <v>8</v>
      </c>
      <c r="L113" s="17" t="s">
        <v>18</v>
      </c>
      <c r="M113" s="2" t="s">
        <v>163</v>
      </c>
      <c r="N113" s="2" t="s">
        <v>158</v>
      </c>
      <c r="O113" s="2">
        <v>8</v>
      </c>
      <c r="P113" s="2">
        <v>10</v>
      </c>
      <c r="Q113" s="2">
        <v>23</v>
      </c>
      <c r="X113" s="2" t="s">
        <v>151</v>
      </c>
      <c r="Y113" s="17" t="s">
        <v>149</v>
      </c>
      <c r="Z113" s="14" t="s">
        <v>150</v>
      </c>
      <c r="AA113" s="14" t="s">
        <v>145</v>
      </c>
      <c r="AB113" s="18">
        <v>7</v>
      </c>
      <c r="AC113" s="13">
        <v>-7.5</v>
      </c>
      <c r="AD113" s="13">
        <v>11.5</v>
      </c>
      <c r="AE113" s="19">
        <f t="shared" si="4"/>
        <v>12.124174198682564</v>
      </c>
      <c r="AF113" s="19">
        <f t="shared" si="5"/>
        <v>25.67553789095021</v>
      </c>
      <c r="AG113" s="2" t="s">
        <v>146</v>
      </c>
      <c r="AH113" s="13">
        <v>-5.5</v>
      </c>
      <c r="AI113" s="13">
        <v>6</v>
      </c>
      <c r="AJ113" s="19">
        <f>IF(Abschlüsse[[#This Row],[Ergeb]]="ET","",SQRT(($AC113-$AH113)^2+($AD113-$AI113)^2))</f>
        <v>5.8523499553598128</v>
      </c>
      <c r="AK113" s="3">
        <v>2</v>
      </c>
      <c r="AL113" s="13">
        <v>-6</v>
      </c>
      <c r="AM113" s="13">
        <v>11.5</v>
      </c>
      <c r="AN113" s="19">
        <f t="shared" si="6"/>
        <v>1.5</v>
      </c>
      <c r="AO113" s="3">
        <v>0</v>
      </c>
      <c r="AR113" s="19" t="str">
        <f t="shared" si="7"/>
        <v/>
      </c>
    </row>
    <row r="114" spans="1:44" ht="25.05" customHeight="1">
      <c r="A114" s="3">
        <v>5</v>
      </c>
      <c r="B114" s="2" t="s">
        <v>8</v>
      </c>
      <c r="C114" s="17" t="str">
        <f>IF($A114="","",IF(VLOOKUP($A114,Spiele!$A$2:$D$15,3,FALSE)=$B114,"H","G"))</f>
        <v>H</v>
      </c>
      <c r="D114" s="17" t="str">
        <f>IF($B114="","",IF(VLOOKUP($A114,Spiele!$A$2:$F$15,3,FALSE)=$B114,VLOOKUP($A114,Spiele!$A$2:$F$15,4,FALSE),VLOOKUP($A114,Spiele!$A$2:$F$15,3,FALSE)))</f>
        <v>FCM</v>
      </c>
      <c r="E114" s="18">
        <f>IF(Abschlüsse[[#This Row],[Ergeb]]="ET",0,COUNTIFS($A$2:$A114,$A114,$B$2:$B114,$B114,$L$2:$L114,"&lt;&gt;ET"))</f>
        <v>7</v>
      </c>
      <c r="F114" s="11">
        <v>50</v>
      </c>
      <c r="G114" s="12">
        <v>2</v>
      </c>
      <c r="H114" s="18">
        <f>COUNTIFS('Rote Karten'!$A$2:$A$4,$A114,'Rote Karten'!$D$2:$D$4,"&lt;&gt;"&amp;$B114,'Rote Karten'!$B$2:$B$4,"&lt;"&amp;$F114,'Rote Karten'!$C$2:$C$4,"&lt;="&amp;$G114)-COUNTIFS('Rote Karten'!$A$2:$A$4,$A114,'Rote Karten'!$D$2:$D$4,$B114,'Rote Karten'!$B$2:$B$4,"&lt;"&amp;$F114,'Rote Karten'!$C$2:$C$4,"&lt;="&amp;$G114)</f>
        <v>1</v>
      </c>
      <c r="I114" s="17" t="str">
        <f>IF(OR($L114="Tor",$L114="ET"),_xlfn.IFNA(IF(VLOOKUP($A114,Spiele!$A$2:$C$15,3,FALSE)=$B114,COUNTIFS($L$2:$L114,"Tor",$B$2:$B114,$B114,$A$2:$A114,$A114)+COUNTIFS($L$2:$L114,"ET",$B$2:$B114,$B114,$A$2:$A114,$A114)&amp;":"&amp;COUNTIFS($L$2:$L114,"Tor",$B$2:$B114,"&lt;&gt;"&amp;$B114,$A$2:$A114,$A114)+COUNTIFS($L$2:$L114,"ET",$B$2:$B114,"&lt;&gt;"&amp;$B114,$A$2:$A114,$A114),COUNTIFS($L$2:$L114,"Tor",$B$2:$B114,"&lt;&gt;"&amp;$B114,$A$2:$A114,$A114)+COUNTIFS($L$2:$L114,"ET",$B$2:$B114,"&lt;&gt;"&amp;$B114,$A$2:$A114,$A114)&amp;":"&amp;COUNTIFS($L$2:$L114,"Tor",$B$2:$B114,$B114,$A$2:$A114,$A114)+COUNTIFS($L$2:$L114,"ET",$B$2:$B114,$B114,$A$2:$A114,$A114)),""),"")</f>
        <v/>
      </c>
      <c r="J114" s="18">
        <f>_xlfn.IFNA(IF(VLOOKUP($A114,Spiele!$A$2:$D$15,3,FALSE)=$B114,(COUNTIFS($L$1:$L113,"Tor",$B$1:$B113,$B114,$A$1:$A113,$A114)+COUNTIFS($L$1:$L113,"ET",$B$1:$B113,$B114,$A$1:$A113,$A114))-(COUNTIFS($L$1:$L113,"Tor",$B$1:$B113,"&lt;&gt;"&amp;$B114,$A$1:$A113,$A114)+COUNTIFS($L$1:$L113,"ET",$B$1:$B113,"&lt;&gt;"&amp;$B114,$A$1:$A113,$A114)),(COUNTIFS($L$1:$L113,"Tor",$B$1:$B113,$B114,$A$1:$A113,$A114)+COUNTIFS($L$1:$L113,"ET",$B$1:$B113,$B114,$A$1:$A113,$A114))-(COUNTIFS($L$1:$L113,"Tor",$B$1:$B113,"&lt;&gt;"&amp;$B114,$A$1:$A113,$A114)+COUNTIFS($L$1:$L113,"ET",$B$1:$B113,"&lt;&gt;"&amp;$B114,$A$1:$A113,$A114))),"")</f>
        <v>-1</v>
      </c>
      <c r="K114" s="3">
        <v>9</v>
      </c>
      <c r="L114" s="17" t="s">
        <v>19</v>
      </c>
      <c r="M114" s="2" t="s">
        <v>163</v>
      </c>
      <c r="N114" s="2" t="s">
        <v>158</v>
      </c>
      <c r="X114" s="2" t="s">
        <v>141</v>
      </c>
      <c r="Y114" s="17" t="s">
        <v>143</v>
      </c>
      <c r="Z114" s="14" t="s">
        <v>150</v>
      </c>
      <c r="AA114" s="14" t="s">
        <v>156</v>
      </c>
      <c r="AB114" s="18">
        <v>23</v>
      </c>
      <c r="AC114" s="13">
        <v>20</v>
      </c>
      <c r="AD114" s="13">
        <v>17</v>
      </c>
      <c r="AE114" s="19">
        <f t="shared" si="4"/>
        <v>23.579558944136338</v>
      </c>
      <c r="AF114" s="19">
        <f t="shared" si="5"/>
        <v>10.43637278058886</v>
      </c>
      <c r="AG114" s="2" t="s">
        <v>146</v>
      </c>
      <c r="AH114" s="13">
        <v>3.5</v>
      </c>
      <c r="AI114" s="13">
        <v>1</v>
      </c>
      <c r="AJ114" s="19">
        <f>IF(Abschlüsse[[#This Row],[Ergeb]]="ET","",SQRT(($AC114-$AH114)^2+($AD114-$AI114)^2))</f>
        <v>22.983689869122408</v>
      </c>
      <c r="AK114" s="3">
        <v>0</v>
      </c>
      <c r="AL114" s="13"/>
      <c r="AM114" s="13"/>
      <c r="AN114" s="19" t="str">
        <f t="shared" si="6"/>
        <v/>
      </c>
      <c r="AO114" s="3">
        <v>2</v>
      </c>
      <c r="AP114" s="13">
        <v>17</v>
      </c>
      <c r="AQ114" s="13">
        <v>14.5</v>
      </c>
      <c r="AR114" s="19">
        <f t="shared" si="7"/>
        <v>3.905124837953327</v>
      </c>
    </row>
    <row r="115" spans="1:44" ht="25.05" customHeight="1">
      <c r="A115" s="3">
        <v>5</v>
      </c>
      <c r="B115" s="2" t="s">
        <v>8</v>
      </c>
      <c r="C115" s="17" t="str">
        <f>IF($A115="","",IF(VLOOKUP($A115,Spiele!$A$2:$D$15,3,FALSE)=$B115,"H","G"))</f>
        <v>H</v>
      </c>
      <c r="D115" s="17" t="str">
        <f>IF($B115="","",IF(VLOOKUP($A115,Spiele!$A$2:$F$15,3,FALSE)=$B115,VLOOKUP($A115,Spiele!$A$2:$F$15,4,FALSE),VLOOKUP($A115,Spiele!$A$2:$F$15,3,FALSE)))</f>
        <v>FCM</v>
      </c>
      <c r="E115" s="18">
        <f>IF(Abschlüsse[[#This Row],[Ergeb]]="ET",0,COUNTIFS($A$2:$A115,$A115,$B$2:$B115,$B115,$L$2:$L115,"&lt;&gt;ET"))</f>
        <v>8</v>
      </c>
      <c r="F115" s="11">
        <v>55</v>
      </c>
      <c r="G115" s="12">
        <v>2</v>
      </c>
      <c r="H115" s="18">
        <f>COUNTIFS('Rote Karten'!$A$2:$A$4,$A115,'Rote Karten'!$D$2:$D$4,"&lt;&gt;"&amp;$B115,'Rote Karten'!$B$2:$B$4,"&lt;"&amp;$F115,'Rote Karten'!$C$2:$C$4,"&lt;="&amp;$G115)-COUNTIFS('Rote Karten'!$A$2:$A$4,$A115,'Rote Karten'!$D$2:$D$4,$B115,'Rote Karten'!$B$2:$B$4,"&lt;"&amp;$F115,'Rote Karten'!$C$2:$C$4,"&lt;="&amp;$G115)</f>
        <v>1</v>
      </c>
      <c r="I115" s="17" t="str">
        <f>IF(OR($L115="Tor",$L115="ET"),_xlfn.IFNA(IF(VLOOKUP($A115,Spiele!$A$2:$C$15,3,FALSE)=$B115,COUNTIFS($L$2:$L115,"Tor",$B$2:$B115,$B115,$A$2:$A115,$A115)+COUNTIFS($L$2:$L115,"ET",$B$2:$B115,$B115,$A$2:$A115,$A115)&amp;":"&amp;COUNTIFS($L$2:$L115,"Tor",$B$2:$B115,"&lt;&gt;"&amp;$B115,$A$2:$A115,$A115)+COUNTIFS($L$2:$L115,"ET",$B$2:$B115,"&lt;&gt;"&amp;$B115,$A$2:$A115,$A115),COUNTIFS($L$2:$L115,"Tor",$B$2:$B115,"&lt;&gt;"&amp;$B115,$A$2:$A115,$A115)+COUNTIFS($L$2:$L115,"ET",$B$2:$B115,"&lt;&gt;"&amp;$B115,$A$2:$A115,$A115)&amp;":"&amp;COUNTIFS($L$2:$L115,"Tor",$B$2:$B115,$B115,$A$2:$A115,$A115)+COUNTIFS($L$2:$L115,"ET",$B$2:$B115,$B115,$A$2:$A115,$A115)),""),"")</f>
        <v/>
      </c>
      <c r="J115" s="18">
        <f>_xlfn.IFNA(IF(VLOOKUP($A115,Spiele!$A$2:$D$15,3,FALSE)=$B115,(COUNTIFS($L$1:$L114,"Tor",$B$1:$B114,$B115,$A$1:$A114,$A115)+COUNTIFS($L$1:$L114,"ET",$B$1:$B114,$B115,$A$1:$A114,$A115))-(COUNTIFS($L$1:$L114,"Tor",$B$1:$B114,"&lt;&gt;"&amp;$B115,$A$1:$A114,$A115)+COUNTIFS($L$1:$L114,"ET",$B$1:$B114,"&lt;&gt;"&amp;$B115,$A$1:$A114,$A115)),(COUNTIFS($L$1:$L114,"Tor",$B$1:$B114,$B115,$A$1:$A114,$A115)+COUNTIFS($L$1:$L114,"ET",$B$1:$B114,$B115,$A$1:$A114,$A115))-(COUNTIFS($L$1:$L114,"Tor",$B$1:$B114,"&lt;&gt;"&amp;$B115,$A$1:$A114,$A115)+COUNTIFS($L$1:$L114,"ET",$B$1:$B114,"&lt;&gt;"&amp;$B115,$A$1:$A114,$A115))),"")</f>
        <v>-1</v>
      </c>
      <c r="K115" s="3">
        <v>10</v>
      </c>
      <c r="L115" s="17" t="s">
        <v>18</v>
      </c>
      <c r="M115" s="2" t="s">
        <v>147</v>
      </c>
      <c r="N115" s="2" t="s">
        <v>153</v>
      </c>
      <c r="O115" s="2">
        <v>8</v>
      </c>
      <c r="X115" s="2" t="s">
        <v>154</v>
      </c>
      <c r="Y115" s="17" t="s">
        <v>160</v>
      </c>
      <c r="Z115" s="14" t="s">
        <v>161</v>
      </c>
      <c r="AA115" s="14" t="s">
        <v>156</v>
      </c>
      <c r="AB115" s="18">
        <v>7</v>
      </c>
      <c r="AC115" s="13">
        <v>0.5</v>
      </c>
      <c r="AD115" s="13">
        <v>9</v>
      </c>
      <c r="AE115" s="19">
        <f t="shared" si="4"/>
        <v>9</v>
      </c>
      <c r="AF115" s="19">
        <f t="shared" si="5"/>
        <v>44.154169988306201</v>
      </c>
      <c r="AG115" s="2" t="s">
        <v>146</v>
      </c>
      <c r="AH115" s="13">
        <v>-1</v>
      </c>
      <c r="AI115" s="13">
        <v>1.5</v>
      </c>
      <c r="AJ115" s="19">
        <f>IF(Abschlüsse[[#This Row],[Ergeb]]="ET","",SQRT(($AC115-$AH115)^2+($AD115-$AI115)^2))</f>
        <v>7.6485292703891776</v>
      </c>
      <c r="AK115" s="3">
        <v>1</v>
      </c>
      <c r="AL115" s="13">
        <v>0</v>
      </c>
      <c r="AM115" s="13">
        <v>9</v>
      </c>
      <c r="AN115" s="19">
        <f t="shared" si="6"/>
        <v>0.5</v>
      </c>
      <c r="AO115" s="3">
        <v>0</v>
      </c>
      <c r="AR115" s="19" t="str">
        <f t="shared" si="7"/>
        <v/>
      </c>
    </row>
    <row r="116" spans="1:44" ht="25.05" customHeight="1">
      <c r="A116" s="3">
        <v>5</v>
      </c>
      <c r="B116" s="2" t="s">
        <v>62</v>
      </c>
      <c r="C116" s="17" t="str">
        <f>IF($A116="","",IF(VLOOKUP($A116,Spiele!$A$2:$D$15,3,FALSE)=$B116,"H","G"))</f>
        <v>G</v>
      </c>
      <c r="D116" s="17" t="str">
        <f>IF($B116="","",IF(VLOOKUP($A116,Spiele!$A$2:$F$15,3,FALSE)=$B116,VLOOKUP($A116,Spiele!$A$2:$F$15,4,FALSE),VLOOKUP($A116,Spiele!$A$2:$F$15,3,FALSE)))</f>
        <v>FCN</v>
      </c>
      <c r="E116" s="18">
        <f>IF(Abschlüsse[[#This Row],[Ergeb]]="ET",0,COUNTIFS($A$2:$A116,$A116,$B$2:$B116,$B116,$L$2:$L116,"&lt;&gt;ET"))</f>
        <v>3</v>
      </c>
      <c r="F116" s="11">
        <v>62</v>
      </c>
      <c r="G116" s="12">
        <v>2</v>
      </c>
      <c r="H116" s="18">
        <f>COUNTIFS('Rote Karten'!$A$2:$A$4,$A116,'Rote Karten'!$D$2:$D$4,"&lt;&gt;"&amp;$B116,'Rote Karten'!$B$2:$B$4,"&lt;"&amp;$F116,'Rote Karten'!$C$2:$C$4,"&lt;="&amp;$G116)-COUNTIFS('Rote Karten'!$A$2:$A$4,$A116,'Rote Karten'!$D$2:$D$4,$B116,'Rote Karten'!$B$2:$B$4,"&lt;"&amp;$F116,'Rote Karten'!$C$2:$C$4,"&lt;="&amp;$G116)</f>
        <v>-1</v>
      </c>
      <c r="I116" s="17" t="str">
        <f>IF(OR($L116="Tor",$L116="ET"),_xlfn.IFNA(IF(VLOOKUP($A116,Spiele!$A$2:$C$15,3,FALSE)=$B116,COUNTIFS($L$2:$L116,"Tor",$B$2:$B116,$B116,$A$2:$A116,$A116)+COUNTIFS($L$2:$L116,"ET",$B$2:$B116,$B116,$A$2:$A116,$A116)&amp;":"&amp;COUNTIFS($L$2:$L116,"Tor",$B$2:$B116,"&lt;&gt;"&amp;$B116,$A$2:$A116,$A116)+COUNTIFS($L$2:$L116,"ET",$B$2:$B116,"&lt;&gt;"&amp;$B116,$A$2:$A116,$A116),COUNTIFS($L$2:$L116,"Tor",$B$2:$B116,"&lt;&gt;"&amp;$B116,$A$2:$A116,$A116)+COUNTIFS($L$2:$L116,"ET",$B$2:$B116,"&lt;&gt;"&amp;$B116,$A$2:$A116,$A116)&amp;":"&amp;COUNTIFS($L$2:$L116,"Tor",$B$2:$B116,$B116,$A$2:$A116,$A116)+COUNTIFS($L$2:$L116,"ET",$B$2:$B116,$B116,$A$2:$A116,$A116)),""),"")</f>
        <v/>
      </c>
      <c r="J116" s="18">
        <f>_xlfn.IFNA(IF(VLOOKUP($A116,Spiele!$A$2:$D$15,3,FALSE)=$B116,(COUNTIFS($L$1:$L115,"Tor",$B$1:$B115,$B116,$A$1:$A115,$A116)+COUNTIFS($L$1:$L115,"ET",$B$1:$B115,$B116,$A$1:$A115,$A116))-(COUNTIFS($L$1:$L115,"Tor",$B$1:$B115,"&lt;&gt;"&amp;$B116,$A$1:$A115,$A116)+COUNTIFS($L$1:$L115,"ET",$B$1:$B115,"&lt;&gt;"&amp;$B116,$A$1:$A115,$A116)),(COUNTIFS($L$1:$L115,"Tor",$B$1:$B115,$B116,$A$1:$A115,$A116)+COUNTIFS($L$1:$L115,"ET",$B$1:$B115,$B116,$A$1:$A115,$A116))-(COUNTIFS($L$1:$L115,"Tor",$B$1:$B115,"&lt;&gt;"&amp;$B116,$A$1:$A115,$A116)+COUNTIFS($L$1:$L115,"ET",$B$1:$B115,"&lt;&gt;"&amp;$B116,$A$1:$A115,$A116))),"")</f>
        <v>1</v>
      </c>
      <c r="K116" s="3">
        <v>11</v>
      </c>
      <c r="L116" s="17" t="s">
        <v>20</v>
      </c>
      <c r="M116" s="2" t="s">
        <v>157</v>
      </c>
      <c r="N116" s="2" t="s">
        <v>158</v>
      </c>
      <c r="X116" s="2" t="s">
        <v>151</v>
      </c>
      <c r="Y116" s="17" t="s">
        <v>143</v>
      </c>
      <c r="Z116" s="14" t="s">
        <v>150</v>
      </c>
      <c r="AA116" s="14" t="s">
        <v>156</v>
      </c>
      <c r="AB116" s="18"/>
      <c r="AC116" s="13">
        <v>2.5</v>
      </c>
      <c r="AD116" s="13">
        <v>22.5</v>
      </c>
      <c r="AE116" s="19">
        <f t="shared" si="4"/>
        <v>22.5</v>
      </c>
      <c r="AF116" s="19">
        <f t="shared" si="5"/>
        <v>18.262429054450717</v>
      </c>
      <c r="AG116" s="2" t="s">
        <v>146</v>
      </c>
      <c r="AH116" s="13">
        <v>0.5</v>
      </c>
      <c r="AI116" s="13">
        <v>2</v>
      </c>
      <c r="AJ116" s="19">
        <f>IF(Abschlüsse[[#This Row],[Ergeb]]="ET","",SQRT(($AC116-$AH116)^2+($AD116-$AI116)^2))</f>
        <v>20.59732992404598</v>
      </c>
      <c r="AK116" s="3">
        <v>2</v>
      </c>
      <c r="AL116" s="13">
        <v>1.5</v>
      </c>
      <c r="AM116" s="13">
        <v>21.5</v>
      </c>
      <c r="AN116" s="19">
        <f t="shared" si="6"/>
        <v>1.4142135623730951</v>
      </c>
      <c r="AO116" s="3">
        <v>2</v>
      </c>
      <c r="AP116" s="13">
        <v>3.5</v>
      </c>
      <c r="AQ116" s="13">
        <v>17.5</v>
      </c>
      <c r="AR116" s="19">
        <f t="shared" si="7"/>
        <v>5.0990195135927845</v>
      </c>
    </row>
    <row r="117" spans="1:44" ht="25.05" customHeight="1">
      <c r="A117" s="3">
        <v>5</v>
      </c>
      <c r="B117" s="2" t="s">
        <v>62</v>
      </c>
      <c r="C117" s="17" t="str">
        <f>IF($A117="","",IF(VLOOKUP($A117,Spiele!$A$2:$D$15,3,FALSE)=$B117,"H","G"))</f>
        <v>G</v>
      </c>
      <c r="D117" s="17" t="str">
        <f>IF($B117="","",IF(VLOOKUP($A117,Spiele!$A$2:$F$15,3,FALSE)=$B117,VLOOKUP($A117,Spiele!$A$2:$F$15,4,FALSE),VLOOKUP($A117,Spiele!$A$2:$F$15,3,FALSE)))</f>
        <v>FCN</v>
      </c>
      <c r="E117" s="18">
        <f>IF(Abschlüsse[[#This Row],[Ergeb]]="ET",0,COUNTIFS($A$2:$A117,$A117,$B$2:$B117,$B117,$L$2:$L117,"&lt;&gt;ET"))</f>
        <v>4</v>
      </c>
      <c r="F117" s="11">
        <v>63</v>
      </c>
      <c r="G117" s="12">
        <v>2</v>
      </c>
      <c r="H117" s="18">
        <f>COUNTIFS('Rote Karten'!$A$2:$A$4,$A117,'Rote Karten'!$D$2:$D$4,"&lt;&gt;"&amp;$B117,'Rote Karten'!$B$2:$B$4,"&lt;"&amp;$F117,'Rote Karten'!$C$2:$C$4,"&lt;="&amp;$G117)-COUNTIFS('Rote Karten'!$A$2:$A$4,$A117,'Rote Karten'!$D$2:$D$4,$B117,'Rote Karten'!$B$2:$B$4,"&lt;"&amp;$F117,'Rote Karten'!$C$2:$C$4,"&lt;="&amp;$G117)</f>
        <v>-1</v>
      </c>
      <c r="I117" s="17" t="str">
        <f>IF(OR($L117="Tor",$L117="ET"),_xlfn.IFNA(IF(VLOOKUP($A117,Spiele!$A$2:$C$15,3,FALSE)=$B117,COUNTIFS($L$2:$L117,"Tor",$B$2:$B117,$B117,$A$2:$A117,$A117)+COUNTIFS($L$2:$L117,"ET",$B$2:$B117,$B117,$A$2:$A117,$A117)&amp;":"&amp;COUNTIFS($L$2:$L117,"Tor",$B$2:$B117,"&lt;&gt;"&amp;$B117,$A$2:$A117,$A117)+COUNTIFS($L$2:$L117,"ET",$B$2:$B117,"&lt;&gt;"&amp;$B117,$A$2:$A117,$A117),COUNTIFS($L$2:$L117,"Tor",$B$2:$B117,"&lt;&gt;"&amp;$B117,$A$2:$A117,$A117)+COUNTIFS($L$2:$L117,"ET",$B$2:$B117,"&lt;&gt;"&amp;$B117,$A$2:$A117,$A117)&amp;":"&amp;COUNTIFS($L$2:$L117,"Tor",$B$2:$B117,$B117,$A$2:$A117,$A117)+COUNTIFS($L$2:$L117,"ET",$B$2:$B117,$B117,$A$2:$A117,$A117)),""),"")</f>
        <v>0:2</v>
      </c>
      <c r="J117" s="18">
        <f>_xlfn.IFNA(IF(VLOOKUP($A117,Spiele!$A$2:$D$15,3,FALSE)=$B117,(COUNTIFS($L$1:$L116,"Tor",$B$1:$B116,$B117,$A$1:$A116,$A117)+COUNTIFS($L$1:$L116,"ET",$B$1:$B116,$B117,$A$1:$A116,$A117))-(COUNTIFS($L$1:$L116,"Tor",$B$1:$B116,"&lt;&gt;"&amp;$B117,$A$1:$A116,$A117)+COUNTIFS($L$1:$L116,"ET",$B$1:$B116,"&lt;&gt;"&amp;$B117,$A$1:$A116,$A117)),(COUNTIFS($L$1:$L116,"Tor",$B$1:$B116,$B117,$A$1:$A116,$A117)+COUNTIFS($L$1:$L116,"ET",$B$1:$B116,$B117,$A$1:$A116,$A117))-(COUNTIFS($L$1:$L116,"Tor",$B$1:$B116,"&lt;&gt;"&amp;$B117,$A$1:$A116,$A117)+COUNTIFS($L$1:$L116,"ET",$B$1:$B116,"&lt;&gt;"&amp;$B117,$A$1:$A116,$A117))),"")</f>
        <v>1</v>
      </c>
      <c r="K117" s="3">
        <v>12</v>
      </c>
      <c r="L117" s="17" t="s">
        <v>0</v>
      </c>
      <c r="M117" s="2" t="s">
        <v>140</v>
      </c>
      <c r="N117" s="2" t="s">
        <v>158</v>
      </c>
      <c r="X117" s="2" t="s">
        <v>151</v>
      </c>
      <c r="Y117" s="17" t="s">
        <v>143</v>
      </c>
      <c r="Z117" s="14" t="s">
        <v>150</v>
      </c>
      <c r="AA117" s="14" t="s">
        <v>156</v>
      </c>
      <c r="AB117" s="18"/>
      <c r="AC117" s="13">
        <v>9.5</v>
      </c>
      <c r="AD117" s="13">
        <v>6</v>
      </c>
      <c r="AE117" s="19">
        <f t="shared" si="4"/>
        <v>8.372908694115802</v>
      </c>
      <c r="AF117" s="19">
        <f t="shared" si="5"/>
        <v>21.264694596574426</v>
      </c>
      <c r="AG117" s="2" t="s">
        <v>146</v>
      </c>
      <c r="AH117" s="13">
        <v>4</v>
      </c>
      <c r="AI117" s="13">
        <v>0.5</v>
      </c>
      <c r="AJ117" s="19">
        <f>IF(Abschlüsse[[#This Row],[Ergeb]]="ET","",SQRT(($AC117-$AH117)^2+($AD117-$AI117)^2))</f>
        <v>7.7781745930520225</v>
      </c>
      <c r="AK117" s="3">
        <v>1</v>
      </c>
      <c r="AL117" s="13">
        <v>8.5</v>
      </c>
      <c r="AM117" s="13">
        <v>6</v>
      </c>
      <c r="AN117" s="19">
        <f t="shared" si="6"/>
        <v>1</v>
      </c>
      <c r="AO117" s="3">
        <v>0</v>
      </c>
      <c r="AR117" s="19" t="str">
        <f t="shared" si="7"/>
        <v/>
      </c>
    </row>
    <row r="118" spans="1:44" ht="25.05" customHeight="1">
      <c r="A118" s="3">
        <v>5</v>
      </c>
      <c r="B118" s="2" t="s">
        <v>8</v>
      </c>
      <c r="C118" s="17" t="str">
        <f>IF($A118="","",IF(VLOOKUP($A118,Spiele!$A$2:$D$15,3,FALSE)=$B118,"H","G"))</f>
        <v>H</v>
      </c>
      <c r="D118" s="17" t="str">
        <f>IF($B118="","",IF(VLOOKUP($A118,Spiele!$A$2:$F$15,3,FALSE)=$B118,VLOOKUP($A118,Spiele!$A$2:$F$15,4,FALSE),VLOOKUP($A118,Spiele!$A$2:$F$15,3,FALSE)))</f>
        <v>FCM</v>
      </c>
      <c r="E118" s="18">
        <f>IF(Abschlüsse[[#This Row],[Ergeb]]="ET",0,COUNTIFS($A$2:$A118,$A118,$B$2:$B118,$B118,$L$2:$L118,"&lt;&gt;ET"))</f>
        <v>9</v>
      </c>
      <c r="F118" s="11">
        <v>69</v>
      </c>
      <c r="G118" s="12">
        <v>2</v>
      </c>
      <c r="H118" s="18">
        <f>COUNTIFS('Rote Karten'!$A$2:$A$4,$A118,'Rote Karten'!$D$2:$D$4,"&lt;&gt;"&amp;$B118,'Rote Karten'!$B$2:$B$4,"&lt;"&amp;$F118,'Rote Karten'!$C$2:$C$4,"&lt;="&amp;$G118)-COUNTIFS('Rote Karten'!$A$2:$A$4,$A118,'Rote Karten'!$D$2:$D$4,$B118,'Rote Karten'!$B$2:$B$4,"&lt;"&amp;$F118,'Rote Karten'!$C$2:$C$4,"&lt;="&amp;$G118)</f>
        <v>1</v>
      </c>
      <c r="I118" s="17" t="str">
        <f>IF(OR($L118="Tor",$L118="ET"),_xlfn.IFNA(IF(VLOOKUP($A118,Spiele!$A$2:$C$15,3,FALSE)=$B118,COUNTIFS($L$2:$L118,"Tor",$B$2:$B118,$B118,$A$2:$A118,$A118)+COUNTIFS($L$2:$L118,"ET",$B$2:$B118,$B118,$A$2:$A118,$A118)&amp;":"&amp;COUNTIFS($L$2:$L118,"Tor",$B$2:$B118,"&lt;&gt;"&amp;$B118,$A$2:$A118,$A118)+COUNTIFS($L$2:$L118,"ET",$B$2:$B118,"&lt;&gt;"&amp;$B118,$A$2:$A118,$A118),COUNTIFS($L$2:$L118,"Tor",$B$2:$B118,"&lt;&gt;"&amp;$B118,$A$2:$A118,$A118)+COUNTIFS($L$2:$L118,"ET",$B$2:$B118,"&lt;&gt;"&amp;$B118,$A$2:$A118,$A118)&amp;":"&amp;COUNTIFS($L$2:$L118,"Tor",$B$2:$B118,$B118,$A$2:$A118,$A118)+COUNTIFS($L$2:$L118,"ET",$B$2:$B118,$B118,$A$2:$A118,$A118)),""),"")</f>
        <v>1:2</v>
      </c>
      <c r="J118" s="18">
        <f>_xlfn.IFNA(IF(VLOOKUP($A118,Spiele!$A$2:$D$15,3,FALSE)=$B118,(COUNTIFS($L$1:$L117,"Tor",$B$1:$B117,$B118,$A$1:$A117,$A118)+COUNTIFS($L$1:$L117,"ET",$B$1:$B117,$B118,$A$1:$A117,$A118))-(COUNTIFS($L$1:$L117,"Tor",$B$1:$B117,"&lt;&gt;"&amp;$B118,$A$1:$A117,$A118)+COUNTIFS($L$1:$L117,"ET",$B$1:$B117,"&lt;&gt;"&amp;$B118,$A$1:$A117,$A118)),(COUNTIFS($L$1:$L117,"Tor",$B$1:$B117,$B118,$A$1:$A117,$A118)+COUNTIFS($L$1:$L117,"ET",$B$1:$B117,$B118,$A$1:$A117,$A118))-(COUNTIFS($L$1:$L117,"Tor",$B$1:$B117,"&lt;&gt;"&amp;$B118,$A$1:$A117,$A118)+COUNTIFS($L$1:$L117,"ET",$B$1:$B117,"&lt;&gt;"&amp;$B118,$A$1:$A117,$A118))),"")</f>
        <v>-2</v>
      </c>
      <c r="K118" s="3">
        <v>13</v>
      </c>
      <c r="L118" s="17" t="s">
        <v>0</v>
      </c>
      <c r="M118" s="2" t="s">
        <v>177</v>
      </c>
      <c r="X118" s="2" t="s">
        <v>142</v>
      </c>
      <c r="Y118" s="17" t="s">
        <v>143</v>
      </c>
      <c r="Z118" s="14" t="s">
        <v>150</v>
      </c>
      <c r="AA118" s="14" t="s">
        <v>145</v>
      </c>
      <c r="AB118" s="18">
        <v>7</v>
      </c>
      <c r="AC118" s="13">
        <v>0</v>
      </c>
      <c r="AD118" s="13">
        <v>11</v>
      </c>
      <c r="AE118" s="19">
        <f t="shared" si="4"/>
        <v>11</v>
      </c>
      <c r="AF118" s="19">
        <f t="shared" si="5"/>
        <v>36.807381798785883</v>
      </c>
      <c r="AG118" s="2" t="s">
        <v>146</v>
      </c>
      <c r="AH118" s="13">
        <v>0</v>
      </c>
      <c r="AI118" s="13">
        <v>0</v>
      </c>
      <c r="AJ118" s="19">
        <f>IF(Abschlüsse[[#This Row],[Ergeb]]="ET","",SQRT(($AC118-$AH118)^2+($AD118-$AI118)^2))</f>
        <v>11</v>
      </c>
      <c r="AK118" s="3">
        <v>0</v>
      </c>
      <c r="AL118" s="13"/>
      <c r="AM118" s="13"/>
      <c r="AN118" s="19" t="str">
        <f t="shared" si="6"/>
        <v/>
      </c>
      <c r="AO118" s="3">
        <v>0</v>
      </c>
      <c r="AR118" s="19" t="str">
        <f t="shared" si="7"/>
        <v/>
      </c>
    </row>
    <row r="119" spans="1:44" ht="25.05" customHeight="1">
      <c r="A119" s="3">
        <v>5</v>
      </c>
      <c r="B119" s="2" t="s">
        <v>8</v>
      </c>
      <c r="C119" s="17" t="str">
        <f>IF($A119="","",IF(VLOOKUP($A119,Spiele!$A$2:$D$15,3,FALSE)=$B119,"H","G"))</f>
        <v>H</v>
      </c>
      <c r="D119" s="17" t="str">
        <f>IF($B119="","",IF(VLOOKUP($A119,Spiele!$A$2:$F$15,3,FALSE)=$B119,VLOOKUP($A119,Spiele!$A$2:$F$15,4,FALSE),VLOOKUP($A119,Spiele!$A$2:$F$15,3,FALSE)))</f>
        <v>FCM</v>
      </c>
      <c r="E119" s="18">
        <f>IF(Abschlüsse[[#This Row],[Ergeb]]="ET",0,COUNTIFS($A$2:$A119,$A119,$B$2:$B119,$B119,$L$2:$L119,"&lt;&gt;ET"))</f>
        <v>10</v>
      </c>
      <c r="F119" s="11">
        <v>70</v>
      </c>
      <c r="G119" s="12">
        <v>2</v>
      </c>
      <c r="H119" s="18">
        <f>COUNTIFS('Rote Karten'!$A$2:$A$4,$A119,'Rote Karten'!$D$2:$D$4,"&lt;&gt;"&amp;$B119,'Rote Karten'!$B$2:$B$4,"&lt;"&amp;$F119,'Rote Karten'!$C$2:$C$4,"&lt;="&amp;$G119)-COUNTIFS('Rote Karten'!$A$2:$A$4,$A119,'Rote Karten'!$D$2:$D$4,$B119,'Rote Karten'!$B$2:$B$4,"&lt;"&amp;$F119,'Rote Karten'!$C$2:$C$4,"&lt;="&amp;$G119)</f>
        <v>1</v>
      </c>
      <c r="I119" s="17" t="str">
        <f>IF(OR($L119="Tor",$L119="ET"),_xlfn.IFNA(IF(VLOOKUP($A119,Spiele!$A$2:$C$15,3,FALSE)=$B119,COUNTIFS($L$2:$L119,"Tor",$B$2:$B119,$B119,$A$2:$A119,$A119)+COUNTIFS($L$2:$L119,"ET",$B$2:$B119,$B119,$A$2:$A119,$A119)&amp;":"&amp;COUNTIFS($L$2:$L119,"Tor",$B$2:$B119,"&lt;&gt;"&amp;$B119,$A$2:$A119,$A119)+COUNTIFS($L$2:$L119,"ET",$B$2:$B119,"&lt;&gt;"&amp;$B119,$A$2:$A119,$A119),COUNTIFS($L$2:$L119,"Tor",$B$2:$B119,"&lt;&gt;"&amp;$B119,$A$2:$A119,$A119)+COUNTIFS($L$2:$L119,"ET",$B$2:$B119,"&lt;&gt;"&amp;$B119,$A$2:$A119,$A119)&amp;":"&amp;COUNTIFS($L$2:$L119,"Tor",$B$2:$B119,$B119,$A$2:$A119,$A119)+COUNTIFS($L$2:$L119,"ET",$B$2:$B119,$B119,$A$2:$A119,$A119)),""),"")</f>
        <v>2:2</v>
      </c>
      <c r="J119" s="18">
        <f>_xlfn.IFNA(IF(VLOOKUP($A119,Spiele!$A$2:$D$15,3,FALSE)=$B119,(COUNTIFS($L$1:$L118,"Tor",$B$1:$B118,$B119,$A$1:$A118,$A119)+COUNTIFS($L$1:$L118,"ET",$B$1:$B118,$B119,$A$1:$A118,$A119))-(COUNTIFS($L$1:$L118,"Tor",$B$1:$B118,"&lt;&gt;"&amp;$B119,$A$1:$A118,$A119)+COUNTIFS($L$1:$L118,"ET",$B$1:$B118,"&lt;&gt;"&amp;$B119,$A$1:$A118,$A119)),(COUNTIFS($L$1:$L118,"Tor",$B$1:$B118,$B119,$A$1:$A118,$A119)+COUNTIFS($L$1:$L118,"ET",$B$1:$B118,$B119,$A$1:$A118,$A119))-(COUNTIFS($L$1:$L118,"Tor",$B$1:$B118,"&lt;&gt;"&amp;$B119,$A$1:$A118,$A119)+COUNTIFS($L$1:$L118,"ET",$B$1:$B118,"&lt;&gt;"&amp;$B119,$A$1:$A118,$A119))),"")</f>
        <v>-1</v>
      </c>
      <c r="K119" s="3">
        <v>14</v>
      </c>
      <c r="L119" s="17" t="s">
        <v>0</v>
      </c>
      <c r="M119" s="2" t="s">
        <v>147</v>
      </c>
      <c r="N119" s="2" t="s">
        <v>153</v>
      </c>
      <c r="O119" s="2">
        <v>13</v>
      </c>
      <c r="P119" s="2">
        <v>8</v>
      </c>
      <c r="Q119" s="2">
        <v>16</v>
      </c>
      <c r="R119" s="2">
        <v>23</v>
      </c>
      <c r="S119" s="2">
        <v>26</v>
      </c>
      <c r="X119" s="2" t="s">
        <v>154</v>
      </c>
      <c r="Y119" s="17" t="s">
        <v>160</v>
      </c>
      <c r="Z119" s="14" t="s">
        <v>161</v>
      </c>
      <c r="AA119" s="14" t="s">
        <v>145</v>
      </c>
      <c r="AB119" s="18">
        <v>7</v>
      </c>
      <c r="AC119" s="13">
        <v>2</v>
      </c>
      <c r="AD119" s="13">
        <v>6.5</v>
      </c>
      <c r="AE119" s="19">
        <f t="shared" si="4"/>
        <v>6.5</v>
      </c>
      <c r="AF119" s="19">
        <f t="shared" si="5"/>
        <v>55.374586840281452</v>
      </c>
      <c r="AG119" s="2" t="s">
        <v>146</v>
      </c>
      <c r="AH119" s="13">
        <v>-2</v>
      </c>
      <c r="AI119" s="13">
        <v>1</v>
      </c>
      <c r="AJ119" s="19">
        <f>IF(Abschlüsse[[#This Row],[Ergeb]]="ET","",SQRT(($AC119-$AH119)^2+($AD119-$AI119)^2))</f>
        <v>6.800735254367722</v>
      </c>
      <c r="AK119" s="3">
        <v>1</v>
      </c>
      <c r="AL119" s="13">
        <v>0</v>
      </c>
      <c r="AM119" s="13">
        <v>5.5</v>
      </c>
      <c r="AN119" s="19">
        <f t="shared" si="6"/>
        <v>2.2360679774997898</v>
      </c>
      <c r="AO119" s="3">
        <v>0</v>
      </c>
      <c r="AR119" s="19" t="str">
        <f t="shared" si="7"/>
        <v/>
      </c>
    </row>
    <row r="120" spans="1:44" ht="25.05" customHeight="1">
      <c r="A120" s="3">
        <v>5</v>
      </c>
      <c r="B120" s="2" t="s">
        <v>8</v>
      </c>
      <c r="C120" s="17" t="str">
        <f>IF($A120="","",IF(VLOOKUP($A120,Spiele!$A$2:$D$15,3,FALSE)=$B120,"H","G"))</f>
        <v>H</v>
      </c>
      <c r="D120" s="17" t="str">
        <f>IF($B120="","",IF(VLOOKUP($A120,Spiele!$A$2:$F$15,3,FALSE)=$B120,VLOOKUP($A120,Spiele!$A$2:$F$15,4,FALSE),VLOOKUP($A120,Spiele!$A$2:$F$15,3,FALSE)))</f>
        <v>FCM</v>
      </c>
      <c r="E120" s="18">
        <f>IF(Abschlüsse[[#This Row],[Ergeb]]="ET",0,COUNTIFS($A$2:$A120,$A120,$B$2:$B120,$B120,$L$2:$L120,"&lt;&gt;ET"))</f>
        <v>11</v>
      </c>
      <c r="F120" s="11">
        <v>72</v>
      </c>
      <c r="G120" s="12">
        <v>2</v>
      </c>
      <c r="H120" s="18">
        <f>COUNTIFS('Rote Karten'!$A$2:$A$4,$A120,'Rote Karten'!$D$2:$D$4,"&lt;&gt;"&amp;$B120,'Rote Karten'!$B$2:$B$4,"&lt;"&amp;$F120,'Rote Karten'!$C$2:$C$4,"&lt;="&amp;$G120)-COUNTIFS('Rote Karten'!$A$2:$A$4,$A120,'Rote Karten'!$D$2:$D$4,$B120,'Rote Karten'!$B$2:$B$4,"&lt;"&amp;$F120,'Rote Karten'!$C$2:$C$4,"&lt;="&amp;$G120)</f>
        <v>1</v>
      </c>
      <c r="I120" s="17" t="str">
        <f>IF(OR($L120="Tor",$L120="ET"),_xlfn.IFNA(IF(VLOOKUP($A120,Spiele!$A$2:$C$15,3,FALSE)=$B120,COUNTIFS($L$2:$L120,"Tor",$B$2:$B120,$B120,$A$2:$A120,$A120)+COUNTIFS($L$2:$L120,"ET",$B$2:$B120,$B120,$A$2:$A120,$A120)&amp;":"&amp;COUNTIFS($L$2:$L120,"Tor",$B$2:$B120,"&lt;&gt;"&amp;$B120,$A$2:$A120,$A120)+COUNTIFS($L$2:$L120,"ET",$B$2:$B120,"&lt;&gt;"&amp;$B120,$A$2:$A120,$A120),COUNTIFS($L$2:$L120,"Tor",$B$2:$B120,"&lt;&gt;"&amp;$B120,$A$2:$A120,$A120)+COUNTIFS($L$2:$L120,"ET",$B$2:$B120,"&lt;&gt;"&amp;$B120,$A$2:$A120,$A120)&amp;":"&amp;COUNTIFS($L$2:$L120,"Tor",$B$2:$B120,$B120,$A$2:$A120,$A120)+COUNTIFS($L$2:$L120,"ET",$B$2:$B120,$B120,$A$2:$A120,$A120)),""),"")</f>
        <v/>
      </c>
      <c r="J120" s="18">
        <f>_xlfn.IFNA(IF(VLOOKUP($A120,Spiele!$A$2:$D$15,3,FALSE)=$B120,(COUNTIFS($L$1:$L119,"Tor",$B$1:$B119,$B120,$A$1:$A119,$A120)+COUNTIFS($L$1:$L119,"ET",$B$1:$B119,$B120,$A$1:$A119,$A120))-(COUNTIFS($L$1:$L119,"Tor",$B$1:$B119,"&lt;&gt;"&amp;$B120,$A$1:$A119,$A120)+COUNTIFS($L$1:$L119,"ET",$B$1:$B119,"&lt;&gt;"&amp;$B120,$A$1:$A119,$A120)),(COUNTIFS($L$1:$L119,"Tor",$B$1:$B119,$B120,$A$1:$A119,$A120)+COUNTIFS($L$1:$L119,"ET",$B$1:$B119,$B120,$A$1:$A119,$A120))-(COUNTIFS($L$1:$L119,"Tor",$B$1:$B119,"&lt;&gt;"&amp;$B120,$A$1:$A119,$A120)+COUNTIFS($L$1:$L119,"ET",$B$1:$B119,"&lt;&gt;"&amp;$B120,$A$1:$A119,$A120))),"")</f>
        <v>0</v>
      </c>
      <c r="K120" s="3">
        <v>15</v>
      </c>
      <c r="L120" s="18" t="s">
        <v>19</v>
      </c>
      <c r="M120" s="3" t="s">
        <v>147</v>
      </c>
      <c r="N120" s="2" t="s">
        <v>158</v>
      </c>
      <c r="O120" s="2">
        <v>6</v>
      </c>
      <c r="P120" s="2">
        <v>23</v>
      </c>
      <c r="Q120" s="2">
        <v>8</v>
      </c>
      <c r="X120" s="22" t="s">
        <v>151</v>
      </c>
      <c r="Y120" s="18" t="s">
        <v>149</v>
      </c>
      <c r="Z120" s="14" t="s">
        <v>150</v>
      </c>
      <c r="AA120" s="14" t="s">
        <v>145</v>
      </c>
      <c r="AB120" s="18">
        <v>20</v>
      </c>
      <c r="AC120" s="13">
        <v>-8.5</v>
      </c>
      <c r="AD120" s="13">
        <v>32</v>
      </c>
      <c r="AE120" s="19">
        <f>IF($L120="ET","",IF($AC120&gt;3.66,SQRT($AD120^2+($AC120-(7.32/2))^2),IF($AC120&lt;-3.66,SQRT($AD120^2+($AC120+(7.32/2))^2),$AD120)))</f>
        <v>32.363955258898748</v>
      </c>
      <c r="AF120" s="19">
        <f>IF($L120="ET","",IF(DEGREES(ATAN((7.32*$AD120)/($AD120^2+$AC120^2-(7.32/2)^2)))&lt;=0,180+DEGREES(ATAN((7.32*$AD120)/($AD120^2+$AC120^2-(7.32/2)^2))),DEGREES(ATAN((7.32*$AD120)/($AD120^2+$AC120^2-(7.32/2)^2)))))</f>
        <v>12.205994539252872</v>
      </c>
      <c r="AG120" s="3" t="s">
        <v>146</v>
      </c>
      <c r="AH120" s="13">
        <v>-1</v>
      </c>
      <c r="AI120" s="13">
        <v>3</v>
      </c>
      <c r="AJ120" s="19">
        <f>IF(Abschlüsse[[#This Row],[Ergeb]]="ET","",SQRT(($AC120-$AH120)^2+($AD120-$AI120)^2))</f>
        <v>29.954131601500318</v>
      </c>
      <c r="AK120" s="3">
        <v>0</v>
      </c>
      <c r="AL120" s="13"/>
      <c r="AM120" s="13"/>
      <c r="AN120" s="19" t="str">
        <f>IF(AK120=0,"",SQRT(($AC120-$AL120)^2+($AD120-$AM120)^2))</f>
        <v/>
      </c>
      <c r="AO120" s="3">
        <v>2</v>
      </c>
      <c r="AP120" s="13">
        <v>-5</v>
      </c>
      <c r="AQ120" s="13">
        <v>20.5</v>
      </c>
      <c r="AR120" s="19">
        <f>IF(AO120=0,"",SQRT(($AC120-$AP120)^2+($AD120-$AQ120)^2))</f>
        <v>12.020815280171307</v>
      </c>
    </row>
    <row r="121" spans="1:44" ht="25.05" customHeight="1">
      <c r="A121" s="3">
        <v>5</v>
      </c>
      <c r="B121" s="2" t="s">
        <v>8</v>
      </c>
      <c r="C121" s="17" t="str">
        <f>IF($A121="","",IF(VLOOKUP($A121,Spiele!$A$2:$D$15,3,FALSE)=$B121,"H","G"))</f>
        <v>H</v>
      </c>
      <c r="D121" s="17" t="str">
        <f>IF($B121="","",IF(VLOOKUP($A121,Spiele!$A$2:$F$15,3,FALSE)=$B121,VLOOKUP($A121,Spiele!$A$2:$F$15,4,FALSE),VLOOKUP($A121,Spiele!$A$2:$F$15,3,FALSE)))</f>
        <v>FCM</v>
      </c>
      <c r="E121" s="18">
        <f>IF(Abschlüsse[[#This Row],[Ergeb]]="ET",0,COUNTIFS($A$2:$A121,$A121,$B$2:$B121,$B121,$L$2:$L121,"&lt;&gt;ET"))</f>
        <v>12</v>
      </c>
      <c r="F121" s="11">
        <v>75</v>
      </c>
      <c r="G121" s="12">
        <v>2</v>
      </c>
      <c r="H121" s="18">
        <f>COUNTIFS('Rote Karten'!$A$2:$A$4,$A121,'Rote Karten'!$D$2:$D$4,"&lt;&gt;"&amp;$B121,'Rote Karten'!$B$2:$B$4,"&lt;"&amp;$F121,'Rote Karten'!$C$2:$C$4,"&lt;="&amp;$G121)-COUNTIFS('Rote Karten'!$A$2:$A$4,$A121,'Rote Karten'!$D$2:$D$4,$B121,'Rote Karten'!$B$2:$B$4,"&lt;"&amp;$F121,'Rote Karten'!$C$2:$C$4,"&lt;="&amp;$G121)</f>
        <v>1</v>
      </c>
      <c r="I121" s="17" t="str">
        <f>IF(OR($L121="Tor",$L121="ET"),_xlfn.IFNA(IF(VLOOKUP($A121,Spiele!$A$2:$C$15,3,FALSE)=$B121,COUNTIFS($L$2:$L121,"Tor",$B$2:$B121,$B121,$A$2:$A121,$A121)+COUNTIFS($L$2:$L121,"ET",$B$2:$B121,$B121,$A$2:$A121,$A121)&amp;":"&amp;COUNTIFS($L$2:$L121,"Tor",$B$2:$B121,"&lt;&gt;"&amp;$B121,$A$2:$A121,$A121)+COUNTIFS($L$2:$L121,"ET",$B$2:$B121,"&lt;&gt;"&amp;$B121,$A$2:$A121,$A121),COUNTIFS($L$2:$L121,"Tor",$B$2:$B121,"&lt;&gt;"&amp;$B121,$A$2:$A121,$A121)+COUNTIFS($L$2:$L121,"ET",$B$2:$B121,"&lt;&gt;"&amp;$B121,$A$2:$A121,$A121)&amp;":"&amp;COUNTIFS($L$2:$L121,"Tor",$B$2:$B121,$B121,$A$2:$A121,$A121)+COUNTIFS($L$2:$L121,"ET",$B$2:$B121,$B121,$A$2:$A121,$A121)),""),"")</f>
        <v/>
      </c>
      <c r="J121" s="18">
        <f>_xlfn.IFNA(IF(VLOOKUP($A121,Spiele!$A$2:$D$15,3,FALSE)=$B121,(COUNTIFS($L$1:$L120,"Tor",$B$1:$B120,$B121,$A$1:$A120,$A121)+COUNTIFS($L$1:$L120,"ET",$B$1:$B120,$B121,$A$1:$A120,$A121))-(COUNTIFS($L$1:$L120,"Tor",$B$1:$B120,"&lt;&gt;"&amp;$B121,$A$1:$A120,$A121)+COUNTIFS($L$1:$L120,"ET",$B$1:$B120,"&lt;&gt;"&amp;$B121,$A$1:$A120,$A121)),(COUNTIFS($L$1:$L120,"Tor",$B$1:$B120,$B121,$A$1:$A120,$A121)+COUNTIFS($L$1:$L120,"ET",$B$1:$B120,$B121,$A$1:$A120,$A121))-(COUNTIFS($L$1:$L120,"Tor",$B$1:$B120,"&lt;&gt;"&amp;$B121,$A$1:$A120,$A121)+COUNTIFS($L$1:$L120,"ET",$B$1:$B120,"&lt;&gt;"&amp;$B121,$A$1:$A120,$A121))),"")</f>
        <v>0</v>
      </c>
      <c r="K121" s="3">
        <v>16</v>
      </c>
      <c r="L121" s="18" t="s">
        <v>20</v>
      </c>
      <c r="M121" s="3" t="s">
        <v>174</v>
      </c>
      <c r="X121" s="22" t="s">
        <v>142</v>
      </c>
      <c r="Y121" s="18" t="s">
        <v>143</v>
      </c>
      <c r="Z121" s="14" t="s">
        <v>150</v>
      </c>
      <c r="AA121" s="14" t="s">
        <v>145</v>
      </c>
      <c r="AB121" s="18">
        <v>8</v>
      </c>
      <c r="AC121" s="13">
        <v>-5</v>
      </c>
      <c r="AD121" s="13">
        <v>26.5</v>
      </c>
      <c r="AE121" s="19">
        <f>IF($L121="ET","",IF($AC121&gt;3.66,SQRT($AD121^2+($AC121-(7.32/2))^2),IF($AC121&lt;-3.66,SQRT($AD121^2+($AC121+(7.32/2))^2),$AD121)))</f>
        <v>26.533857616260775</v>
      </c>
      <c r="AF121" s="19">
        <f>IF($L121="ET","",IF(DEGREES(ATAN((7.32*$AD121)/($AD121^2+$AC121^2-(7.32/2)^2)))&lt;=0,180+DEGREES(ATAN((7.32*$AD121)/($AD121^2+$AC121^2-(7.32/2)^2))),DEGREES(ATAN((7.32*$AD121)/($AD121^2+$AC121^2-(7.32/2)^2)))))</f>
        <v>15.202246223513477</v>
      </c>
      <c r="AG121" s="3" t="s">
        <v>146</v>
      </c>
      <c r="AH121" s="13">
        <v>0</v>
      </c>
      <c r="AI121" s="13">
        <v>0.5</v>
      </c>
      <c r="AJ121" s="19">
        <f>IF(Abschlüsse[[#This Row],[Ergeb]]="ET","",SQRT(($AC121-$AH121)^2+($AD121-$AI121)^2))</f>
        <v>26.476404589747453</v>
      </c>
      <c r="AK121" s="3">
        <v>0</v>
      </c>
      <c r="AL121" s="13"/>
      <c r="AM121" s="13"/>
      <c r="AN121" s="19" t="str">
        <f>IF(AK121=0,"",SQRT(($AC121-$AL121)^2+($AD121-$AM121)^2))</f>
        <v/>
      </c>
      <c r="AO121" s="3">
        <v>3</v>
      </c>
      <c r="AP121" s="13">
        <v>-4</v>
      </c>
      <c r="AQ121" s="13">
        <v>17.5</v>
      </c>
      <c r="AR121" s="19">
        <f>IF(AO121=0,"",SQRT(($AC121-$AP121)^2+($AD121-$AQ121)^2))</f>
        <v>9.0553851381374173</v>
      </c>
    </row>
    <row r="122" spans="1:44" ht="25.05" customHeight="1">
      <c r="A122" s="3">
        <v>5</v>
      </c>
      <c r="B122" s="2" t="s">
        <v>62</v>
      </c>
      <c r="C122" s="17" t="str">
        <f>IF($A122="","",IF(VLOOKUP($A122,Spiele!$A$2:$D$15,3,FALSE)=$B122,"H","G"))</f>
        <v>G</v>
      </c>
      <c r="D122" s="17" t="str">
        <f>IF($B122="","",IF(VLOOKUP($A122,Spiele!$A$2:$F$15,3,FALSE)=$B122,VLOOKUP($A122,Spiele!$A$2:$F$15,4,FALSE),VLOOKUP($A122,Spiele!$A$2:$F$15,3,FALSE)))</f>
        <v>FCN</v>
      </c>
      <c r="E122" s="18">
        <f>IF(Abschlüsse[[#This Row],[Ergeb]]="ET",0,COUNTIFS($A$2:$A122,$A122,$B$2:$B122,$B122,$L$2:$L122,"&lt;&gt;ET"))</f>
        <v>5</v>
      </c>
      <c r="F122" s="11">
        <v>78</v>
      </c>
      <c r="G122" s="12">
        <v>2</v>
      </c>
      <c r="H122" s="18">
        <f>COUNTIFS('Rote Karten'!$A$2:$A$4,$A122,'Rote Karten'!$D$2:$D$4,"&lt;&gt;"&amp;$B122,'Rote Karten'!$B$2:$B$4,"&lt;"&amp;$F122,'Rote Karten'!$C$2:$C$4,"&lt;="&amp;$G122)-COUNTIFS('Rote Karten'!$A$2:$A$4,$A122,'Rote Karten'!$D$2:$D$4,$B122,'Rote Karten'!$B$2:$B$4,"&lt;"&amp;$F122,'Rote Karten'!$C$2:$C$4,"&lt;="&amp;$G122)</f>
        <v>-1</v>
      </c>
      <c r="I122" s="17" t="str">
        <f>IF(OR($L122="Tor",$L122="ET"),_xlfn.IFNA(IF(VLOOKUP($A122,Spiele!$A$2:$C$15,3,FALSE)=$B122,COUNTIFS($L$2:$L122,"Tor",$B$2:$B122,$B122,$A$2:$A122,$A122)+COUNTIFS($L$2:$L122,"ET",$B$2:$B122,$B122,$A$2:$A122,$A122)&amp;":"&amp;COUNTIFS($L$2:$L122,"Tor",$B$2:$B122,"&lt;&gt;"&amp;$B122,$A$2:$A122,$A122)+COUNTIFS($L$2:$L122,"ET",$B$2:$B122,"&lt;&gt;"&amp;$B122,$A$2:$A122,$A122),COUNTIFS($L$2:$L122,"Tor",$B$2:$B122,"&lt;&gt;"&amp;$B122,$A$2:$A122,$A122)+COUNTIFS($L$2:$L122,"ET",$B$2:$B122,"&lt;&gt;"&amp;$B122,$A$2:$A122,$A122)&amp;":"&amp;COUNTIFS($L$2:$L122,"Tor",$B$2:$B122,$B122,$A$2:$A122,$A122)+COUNTIFS($L$2:$L122,"ET",$B$2:$B122,$B122,$A$2:$A122,$A122)),""),"")</f>
        <v/>
      </c>
      <c r="J122" s="18">
        <f>_xlfn.IFNA(IF(VLOOKUP($A122,Spiele!$A$2:$D$15,3,FALSE)=$B122,(COUNTIFS($L$1:$L121,"Tor",$B$1:$B121,$B122,$A$1:$A121,$A122)+COUNTIFS($L$1:$L121,"ET",$B$1:$B121,$B122,$A$1:$A121,$A122))-(COUNTIFS($L$1:$L121,"Tor",$B$1:$B121,"&lt;&gt;"&amp;$B122,$A$1:$A121,$A122)+COUNTIFS($L$1:$L121,"ET",$B$1:$B121,"&lt;&gt;"&amp;$B122,$A$1:$A121,$A122)),(COUNTIFS($L$1:$L121,"Tor",$B$1:$B121,$B122,$A$1:$A121,$A122)+COUNTIFS($L$1:$L121,"ET",$B$1:$B121,$B122,$A$1:$A121,$A122))-(COUNTIFS($L$1:$L121,"Tor",$B$1:$B121,"&lt;&gt;"&amp;$B122,$A$1:$A121,$A122)+COUNTIFS($L$1:$L121,"ET",$B$1:$B121,"&lt;&gt;"&amp;$B122,$A$1:$A121,$A122))),"")</f>
        <v>0</v>
      </c>
      <c r="K122" s="3">
        <v>17</v>
      </c>
      <c r="L122" s="18" t="s">
        <v>19</v>
      </c>
      <c r="M122" s="3" t="s">
        <v>175</v>
      </c>
      <c r="N122" s="2" t="s">
        <v>175</v>
      </c>
      <c r="X122" s="22" t="s">
        <v>154</v>
      </c>
      <c r="Y122" s="18" t="s">
        <v>160</v>
      </c>
      <c r="Z122" s="14" t="s">
        <v>161</v>
      </c>
      <c r="AA122" s="14" t="s">
        <v>156</v>
      </c>
      <c r="AB122" s="18"/>
      <c r="AC122" s="13">
        <v>9</v>
      </c>
      <c r="AD122" s="13">
        <v>7.5</v>
      </c>
      <c r="AE122" s="19">
        <f>IF($L122="ET","",IF($AC122&gt;3.66,SQRT($AD122^2+($AC122-(7.32/2))^2),IF($AC122&lt;-3.66,SQRT($AD122^2+($AC122+(7.32/2))^2),$AD122)))</f>
        <v>9.2068235564715799</v>
      </c>
      <c r="AF122" s="19">
        <f>IF($L122="ET","",IF(DEGREES(ATAN((7.32*$AD122)/($AD122^2+$AC122^2-(7.32/2)^2)))&lt;=0,180+DEGREES(ATAN((7.32*$AD122)/($AD122^2+$AC122^2-(7.32/2)^2))),DEGREES(ATAN((7.32*$AD122)/($AD122^2+$AC122^2-(7.32/2)^2)))))</f>
        <v>23.905909882192447</v>
      </c>
      <c r="AG122" s="3" t="s">
        <v>146</v>
      </c>
      <c r="AH122" s="13">
        <v>3</v>
      </c>
      <c r="AI122" s="13">
        <v>0.5</v>
      </c>
      <c r="AJ122" s="19">
        <f>IF(Abschlüsse[[#This Row],[Ergeb]]="ET","",SQRT(($AC122-$AH122)^2+($AD122-$AI122)^2))</f>
        <v>9.2195444572928871</v>
      </c>
      <c r="AK122" s="3">
        <v>1</v>
      </c>
      <c r="AL122" s="13">
        <v>8</v>
      </c>
      <c r="AM122" s="13">
        <v>7</v>
      </c>
      <c r="AN122" s="19">
        <f>IF(AK122=0,"",SQRT(($AC122-$AL122)^2+($AD122-$AM122)^2))</f>
        <v>1.1180339887498949</v>
      </c>
      <c r="AO122" s="3">
        <v>0</v>
      </c>
      <c r="AR122" s="19" t="str">
        <f>IF(AO122=0,"",SQRT(($AC122-$AP122)^2+($AD122-$AQ122)^2))</f>
        <v/>
      </c>
    </row>
    <row r="123" spans="1:44" ht="25.05" customHeight="1">
      <c r="A123" s="3">
        <v>5</v>
      </c>
      <c r="B123" s="2" t="s">
        <v>8</v>
      </c>
      <c r="C123" s="17" t="str">
        <f>IF($A123="","",IF(VLOOKUP($A123,Spiele!$A$2:$D$15,3,FALSE)=$B123,"H","G"))</f>
        <v>H</v>
      </c>
      <c r="D123" s="17" t="str">
        <f>IF($B123="","",IF(VLOOKUP($A123,Spiele!$A$2:$F$15,3,FALSE)=$B123,VLOOKUP($A123,Spiele!$A$2:$F$15,4,FALSE),VLOOKUP($A123,Spiele!$A$2:$F$15,3,FALSE)))</f>
        <v>FCM</v>
      </c>
      <c r="E123" s="18">
        <f>IF(Abschlüsse[[#This Row],[Ergeb]]="ET",0,COUNTIFS($A$2:$A123,$A123,$B$2:$B123,$B123,$L$2:$L123,"&lt;&gt;ET"))</f>
        <v>13</v>
      </c>
      <c r="F123" s="11">
        <v>80</v>
      </c>
      <c r="G123" s="12">
        <v>2</v>
      </c>
      <c r="H123" s="18">
        <f>COUNTIFS('Rote Karten'!$A$2:$A$4,$A123,'Rote Karten'!$D$2:$D$4,"&lt;&gt;"&amp;$B123,'Rote Karten'!$B$2:$B$4,"&lt;"&amp;$F123,'Rote Karten'!$C$2:$C$4,"&lt;="&amp;$G123)-COUNTIFS('Rote Karten'!$A$2:$A$4,$A123,'Rote Karten'!$D$2:$D$4,$B123,'Rote Karten'!$B$2:$B$4,"&lt;"&amp;$F123,'Rote Karten'!$C$2:$C$4,"&lt;="&amp;$G123)</f>
        <v>1</v>
      </c>
      <c r="I123" s="17" t="str">
        <f>IF(OR($L123="Tor",$L123="ET"),_xlfn.IFNA(IF(VLOOKUP($A123,Spiele!$A$2:$C$15,3,FALSE)=$B123,COUNTIFS($L$2:$L123,"Tor",$B$2:$B123,$B123,$A$2:$A123,$A123)+COUNTIFS($L$2:$L123,"ET",$B$2:$B123,$B123,$A$2:$A123,$A123)&amp;":"&amp;COUNTIFS($L$2:$L123,"Tor",$B$2:$B123,"&lt;&gt;"&amp;$B123,$A$2:$A123,$A123)+COUNTIFS($L$2:$L123,"ET",$B$2:$B123,"&lt;&gt;"&amp;$B123,$A$2:$A123,$A123),COUNTIFS($L$2:$L123,"Tor",$B$2:$B123,"&lt;&gt;"&amp;$B123,$A$2:$A123,$A123)+COUNTIFS($L$2:$L123,"ET",$B$2:$B123,"&lt;&gt;"&amp;$B123,$A$2:$A123,$A123)&amp;":"&amp;COUNTIFS($L$2:$L123,"Tor",$B$2:$B123,$B123,$A$2:$A123,$A123)+COUNTIFS($L$2:$L123,"ET",$B$2:$B123,$B123,$A$2:$A123,$A123)),""),"")</f>
        <v/>
      </c>
      <c r="J123" s="18">
        <f>_xlfn.IFNA(IF(VLOOKUP($A123,Spiele!$A$2:$D$15,3,FALSE)=$B123,(COUNTIFS($L$1:$L122,"Tor",$B$1:$B122,$B123,$A$1:$A122,$A123)+COUNTIFS($L$1:$L122,"ET",$B$1:$B122,$B123,$A$1:$A122,$A123))-(COUNTIFS($L$1:$L122,"Tor",$B$1:$B122,"&lt;&gt;"&amp;$B123,$A$1:$A122,$A123)+COUNTIFS($L$1:$L122,"ET",$B$1:$B122,"&lt;&gt;"&amp;$B123,$A$1:$A122,$A123)),(COUNTIFS($L$1:$L122,"Tor",$B$1:$B122,$B123,$A$1:$A122,$A123)+COUNTIFS($L$1:$L122,"ET",$B$1:$B122,$B123,$A$1:$A122,$A123))-(COUNTIFS($L$1:$L122,"Tor",$B$1:$B122,"&lt;&gt;"&amp;$B123,$A$1:$A122,$A123)+COUNTIFS($L$1:$L122,"ET",$B$1:$B122,"&lt;&gt;"&amp;$B123,$A$1:$A122,$A123))),"")</f>
        <v>0</v>
      </c>
      <c r="K123" s="3">
        <v>18</v>
      </c>
      <c r="L123" s="17" t="s">
        <v>19</v>
      </c>
      <c r="M123" s="2" t="s">
        <v>147</v>
      </c>
      <c r="N123" s="2" t="s">
        <v>158</v>
      </c>
      <c r="O123" s="2">
        <v>16</v>
      </c>
      <c r="P123" s="2">
        <v>6</v>
      </c>
      <c r="Q123" s="2">
        <v>19</v>
      </c>
      <c r="X123" s="2" t="s">
        <v>151</v>
      </c>
      <c r="Y123" s="17" t="s">
        <v>143</v>
      </c>
      <c r="Z123" s="14" t="s">
        <v>150</v>
      </c>
      <c r="AA123" s="14" t="s">
        <v>156</v>
      </c>
      <c r="AB123" s="18">
        <v>27</v>
      </c>
      <c r="AC123" s="13">
        <v>11.5</v>
      </c>
      <c r="AD123" s="13">
        <v>20.5</v>
      </c>
      <c r="AE123" s="19">
        <f t="shared" si="4"/>
        <v>21.948020411873141</v>
      </c>
      <c r="AF123" s="19">
        <f t="shared" si="5"/>
        <v>15.55457249032899</v>
      </c>
      <c r="AG123" s="2" t="s">
        <v>146</v>
      </c>
      <c r="AH123" s="13">
        <v>1.5</v>
      </c>
      <c r="AI123" s="13">
        <v>3</v>
      </c>
      <c r="AJ123" s="19">
        <f>IF(Abschlüsse[[#This Row],[Ergeb]]="ET","",SQRT(($AC123-$AH123)^2+($AD123-$AI123)^2))</f>
        <v>20.155644370746373</v>
      </c>
      <c r="AK123" s="3">
        <v>2</v>
      </c>
      <c r="AL123" s="13">
        <v>11.5</v>
      </c>
      <c r="AM123" s="13">
        <v>18.5</v>
      </c>
      <c r="AN123" s="19">
        <f t="shared" si="6"/>
        <v>2</v>
      </c>
      <c r="AO123" s="3">
        <v>1</v>
      </c>
      <c r="AP123" s="13">
        <v>8</v>
      </c>
      <c r="AQ123" s="13">
        <v>14.5</v>
      </c>
      <c r="AR123" s="19">
        <f t="shared" si="7"/>
        <v>6.946221994724902</v>
      </c>
    </row>
    <row r="124" spans="1:44" ht="25.05" customHeight="1">
      <c r="A124" s="3">
        <v>5</v>
      </c>
      <c r="B124" s="2" t="s">
        <v>8</v>
      </c>
      <c r="C124" s="17" t="str">
        <f>IF($A124="","",IF(VLOOKUP($A124,Spiele!$A$2:$D$15,3,FALSE)=$B124,"H","G"))</f>
        <v>H</v>
      </c>
      <c r="D124" s="17" t="str">
        <f>IF($B124="","",IF(VLOOKUP($A124,Spiele!$A$2:$F$15,3,FALSE)=$B124,VLOOKUP($A124,Spiele!$A$2:$F$15,4,FALSE),VLOOKUP($A124,Spiele!$A$2:$F$15,3,FALSE)))</f>
        <v>FCM</v>
      </c>
      <c r="E124" s="18">
        <f>IF(Abschlüsse[[#This Row],[Ergeb]]="ET",0,COUNTIFS($A$2:$A124,$A124,$B$2:$B124,$B124,$L$2:$L124,"&lt;&gt;ET"))</f>
        <v>14</v>
      </c>
      <c r="F124" s="11">
        <v>82</v>
      </c>
      <c r="G124" s="12">
        <v>2</v>
      </c>
      <c r="H124" s="18">
        <f>COUNTIFS('Rote Karten'!$A$2:$A$4,$A124,'Rote Karten'!$D$2:$D$4,"&lt;&gt;"&amp;$B124,'Rote Karten'!$B$2:$B$4,"&lt;"&amp;$F124,'Rote Karten'!$C$2:$C$4,"&lt;="&amp;$G124)-COUNTIFS('Rote Karten'!$A$2:$A$4,$A124,'Rote Karten'!$D$2:$D$4,$B124,'Rote Karten'!$B$2:$B$4,"&lt;"&amp;$F124,'Rote Karten'!$C$2:$C$4,"&lt;="&amp;$G124)</f>
        <v>1</v>
      </c>
      <c r="I124" s="17" t="str">
        <f>IF(OR($L124="Tor",$L124="ET"),_xlfn.IFNA(IF(VLOOKUP($A124,Spiele!$A$2:$C$15,3,FALSE)=$B124,COUNTIFS($L$2:$L124,"Tor",$B$2:$B124,$B124,$A$2:$A124,$A124)+COUNTIFS($L$2:$L124,"ET",$B$2:$B124,$B124,$A$2:$A124,$A124)&amp;":"&amp;COUNTIFS($L$2:$L124,"Tor",$B$2:$B124,"&lt;&gt;"&amp;$B124,$A$2:$A124,$A124)+COUNTIFS($L$2:$L124,"ET",$B$2:$B124,"&lt;&gt;"&amp;$B124,$A$2:$A124,$A124),COUNTIFS($L$2:$L124,"Tor",$B$2:$B124,"&lt;&gt;"&amp;$B124,$A$2:$A124,$A124)+COUNTIFS($L$2:$L124,"ET",$B$2:$B124,"&lt;&gt;"&amp;$B124,$A$2:$A124,$A124)&amp;":"&amp;COUNTIFS($L$2:$L124,"Tor",$B$2:$B124,$B124,$A$2:$A124,$A124)+COUNTIFS($L$2:$L124,"ET",$B$2:$B124,$B124,$A$2:$A124,$A124)),""),"")</f>
        <v/>
      </c>
      <c r="J124" s="18">
        <f>_xlfn.IFNA(IF(VLOOKUP($A124,Spiele!$A$2:$D$15,3,FALSE)=$B124,(COUNTIFS($L$1:$L123,"Tor",$B$1:$B123,$B124,$A$1:$A123,$A124)+COUNTIFS($L$1:$L123,"ET",$B$1:$B123,$B124,$A$1:$A123,$A124))-(COUNTIFS($L$1:$L123,"Tor",$B$1:$B123,"&lt;&gt;"&amp;$B124,$A$1:$A123,$A124)+COUNTIFS($L$1:$L123,"ET",$B$1:$B123,"&lt;&gt;"&amp;$B124,$A$1:$A123,$A124)),(COUNTIFS($L$1:$L123,"Tor",$B$1:$B123,$B124,$A$1:$A123,$A124)+COUNTIFS($L$1:$L123,"ET",$B$1:$B123,$B124,$A$1:$A123,$A124))-(COUNTIFS($L$1:$L123,"Tor",$B$1:$B123,"&lt;&gt;"&amp;$B124,$A$1:$A123,$A124)+COUNTIFS($L$1:$L123,"ET",$B$1:$B123,"&lt;&gt;"&amp;$B124,$A$1:$A123,$A124))),"")</f>
        <v>0</v>
      </c>
      <c r="K124" s="3">
        <v>19</v>
      </c>
      <c r="L124" s="17" t="s">
        <v>19</v>
      </c>
      <c r="M124" s="2" t="s">
        <v>147</v>
      </c>
      <c r="N124" s="2" t="s">
        <v>158</v>
      </c>
      <c r="X124" s="2" t="s">
        <v>151</v>
      </c>
      <c r="Y124" s="17" t="s">
        <v>143</v>
      </c>
      <c r="Z124" s="14" t="s">
        <v>150</v>
      </c>
      <c r="AA124" s="14" t="s">
        <v>156</v>
      </c>
      <c r="AB124" s="18">
        <v>18</v>
      </c>
      <c r="AC124" s="13">
        <v>13.5</v>
      </c>
      <c r="AD124" s="13">
        <v>20</v>
      </c>
      <c r="AE124" s="19">
        <f t="shared" si="4"/>
        <v>22.289585011839051</v>
      </c>
      <c r="AF124" s="19">
        <f t="shared" si="5"/>
        <v>14.432407454590555</v>
      </c>
      <c r="AG124" s="2" t="s">
        <v>146</v>
      </c>
      <c r="AH124" s="13">
        <v>1.5</v>
      </c>
      <c r="AI124" s="13">
        <v>2.5</v>
      </c>
      <c r="AJ124" s="19">
        <f>IF(Abschlüsse[[#This Row],[Ergeb]]="ET","",SQRT(($AC124-$AH124)^2+($AD124-$AI124)^2))</f>
        <v>21.219095173922945</v>
      </c>
      <c r="AK124" s="3">
        <v>1</v>
      </c>
      <c r="AL124" s="13">
        <v>15.5</v>
      </c>
      <c r="AM124" s="13">
        <v>19.5</v>
      </c>
      <c r="AN124" s="19">
        <f t="shared" si="6"/>
        <v>2.0615528128088303</v>
      </c>
      <c r="AO124" s="3">
        <v>1</v>
      </c>
      <c r="AP124" s="13">
        <v>11</v>
      </c>
      <c r="AQ124" s="13">
        <v>16.5</v>
      </c>
      <c r="AR124" s="19">
        <f t="shared" si="7"/>
        <v>4.3011626335213133</v>
      </c>
    </row>
    <row r="125" spans="1:44" ht="25.05" customHeight="1">
      <c r="A125" s="3">
        <v>6</v>
      </c>
      <c r="B125" s="2" t="s">
        <v>8</v>
      </c>
      <c r="C125" s="17" t="str">
        <f>IF($A125="","",IF(VLOOKUP($A125,Spiele!$A$2:$D$15,3,FALSE)=$B125,"H","G"))</f>
        <v>G</v>
      </c>
      <c r="D125" s="17" t="str">
        <f>IF($B125="","",IF(VLOOKUP($A125,Spiele!$A$2:$F$15,3,FALSE)=$B125,VLOOKUP($A125,Spiele!$A$2:$F$15,4,FALSE),VLOOKUP($A125,Spiele!$A$2:$F$15,3,FALSE)))</f>
        <v>FWK</v>
      </c>
      <c r="E125" s="18">
        <f>IF(Abschlüsse[[#This Row],[Ergeb]]="ET",0,COUNTIFS($A$2:$A125,$A125,$B$2:$B125,$B125,$L$2:$L125,"&lt;&gt;ET"))</f>
        <v>1</v>
      </c>
      <c r="F125" s="11">
        <v>2</v>
      </c>
      <c r="G125" s="12">
        <v>1</v>
      </c>
      <c r="H125" s="18">
        <f>COUNTIFS('Rote Karten'!$A$2:$A$4,$A125,'Rote Karten'!$D$2:$D$4,"&lt;&gt;"&amp;$B125,'Rote Karten'!$B$2:$B$4,"&lt;"&amp;$F125,'Rote Karten'!$C$2:$C$4,"&lt;="&amp;$G125)-COUNTIFS('Rote Karten'!$A$2:$A$4,$A125,'Rote Karten'!$D$2:$D$4,$B125,'Rote Karten'!$B$2:$B$4,"&lt;"&amp;$F125,'Rote Karten'!$C$2:$C$4,"&lt;="&amp;$G125)</f>
        <v>0</v>
      </c>
      <c r="I125" s="17" t="str">
        <f>IF(OR($L125="Tor",$L125="ET"),_xlfn.IFNA(IF(VLOOKUP($A125,Spiele!$A$2:$C$15,3,FALSE)=$B125,COUNTIFS($L$2:$L125,"Tor",$B$2:$B125,$B125,$A$2:$A125,$A125)+COUNTIFS($L$2:$L125,"ET",$B$2:$B125,$B125,$A$2:$A125,$A125)&amp;":"&amp;COUNTIFS($L$2:$L125,"Tor",$B$2:$B125,"&lt;&gt;"&amp;$B125,$A$2:$A125,$A125)+COUNTIFS($L$2:$L125,"ET",$B$2:$B125,"&lt;&gt;"&amp;$B125,$A$2:$A125,$A125),COUNTIFS($L$2:$L125,"Tor",$B$2:$B125,"&lt;&gt;"&amp;$B125,$A$2:$A125,$A125)+COUNTIFS($L$2:$L125,"ET",$B$2:$B125,"&lt;&gt;"&amp;$B125,$A$2:$A125,$A125)&amp;":"&amp;COUNTIFS($L$2:$L125,"Tor",$B$2:$B125,$B125,$A$2:$A125,$A125)+COUNTIFS($L$2:$L125,"ET",$B$2:$B125,$B125,$A$2:$A125,$A125)),""),"")</f>
        <v/>
      </c>
      <c r="J125" s="18">
        <f>_xlfn.IFNA(IF(VLOOKUP($A125,Spiele!$A$2:$D$15,3,FALSE)=$B125,(COUNTIFS($L$1:$L124,"Tor",$B$1:$B124,$B125,$A$1:$A124,$A125)+COUNTIFS($L$1:$L124,"ET",$B$1:$B124,$B125,$A$1:$A124,$A125))-(COUNTIFS($L$1:$L124,"Tor",$B$1:$B124,"&lt;&gt;"&amp;$B125,$A$1:$A124,$A125)+COUNTIFS($L$1:$L124,"ET",$B$1:$B124,"&lt;&gt;"&amp;$B125,$A$1:$A124,$A125)),(COUNTIFS($L$1:$L124,"Tor",$B$1:$B124,$B125,$A$1:$A124,$A125)+COUNTIFS($L$1:$L124,"ET",$B$1:$B124,$B125,$A$1:$A124,$A125))-(COUNTIFS($L$1:$L124,"Tor",$B$1:$B124,"&lt;&gt;"&amp;$B125,$A$1:$A124,$A125)+COUNTIFS($L$1:$L124,"ET",$B$1:$B124,"&lt;&gt;"&amp;$B125,$A$1:$A124,$A125))),"")</f>
        <v>0</v>
      </c>
      <c r="K125" s="3">
        <v>1</v>
      </c>
      <c r="L125" s="17" t="s">
        <v>18</v>
      </c>
      <c r="M125" s="2" t="s">
        <v>147</v>
      </c>
      <c r="N125" s="2" t="s">
        <v>3</v>
      </c>
      <c r="O125" s="2">
        <v>7</v>
      </c>
      <c r="P125" s="2">
        <v>27</v>
      </c>
      <c r="Q125" s="2">
        <v>16</v>
      </c>
      <c r="R125" s="2">
        <v>20</v>
      </c>
      <c r="X125" s="2" t="s">
        <v>141</v>
      </c>
      <c r="Y125" s="17" t="s">
        <v>143</v>
      </c>
      <c r="Z125" s="14" t="s">
        <v>144</v>
      </c>
      <c r="AA125" s="14" t="s">
        <v>156</v>
      </c>
      <c r="AB125" s="18">
        <v>11</v>
      </c>
      <c r="AC125" s="13">
        <v>5</v>
      </c>
      <c r="AD125" s="13">
        <v>20</v>
      </c>
      <c r="AE125" s="19">
        <f t="shared" si="4"/>
        <v>20.04483973495423</v>
      </c>
      <c r="AF125" s="19">
        <f t="shared" si="5"/>
        <v>19.579523089892454</v>
      </c>
      <c r="AG125" s="2" t="s">
        <v>146</v>
      </c>
      <c r="AH125" s="13">
        <v>0.5</v>
      </c>
      <c r="AI125" s="13">
        <v>2.5</v>
      </c>
      <c r="AJ125" s="19">
        <f>IF(Abschlüsse[[#This Row],[Ergeb]]="ET","",SQRT(($AC125-$AH125)^2+($AD125-$AI125)^2))</f>
        <v>18.069310999592652</v>
      </c>
      <c r="AK125" s="3">
        <v>1</v>
      </c>
      <c r="AL125" s="13">
        <v>4.5</v>
      </c>
      <c r="AM125" s="13">
        <v>19.5</v>
      </c>
      <c r="AN125" s="19">
        <f t="shared" si="6"/>
        <v>0.70710678118654757</v>
      </c>
      <c r="AO125" s="3">
        <v>1</v>
      </c>
      <c r="AP125" s="13">
        <v>3.5</v>
      </c>
      <c r="AQ125" s="13">
        <v>14</v>
      </c>
      <c r="AR125" s="19">
        <f t="shared" si="7"/>
        <v>6.1846584384264904</v>
      </c>
    </row>
    <row r="126" spans="1:44" ht="25.05" customHeight="1">
      <c r="A126" s="3">
        <v>6</v>
      </c>
      <c r="B126" s="2" t="s">
        <v>8</v>
      </c>
      <c r="C126" s="17" t="str">
        <f>IF($A126="","",IF(VLOOKUP($A126,Spiele!$A$2:$D$15,3,FALSE)=$B126,"H","G"))</f>
        <v>G</v>
      </c>
      <c r="D126" s="17" t="str">
        <f>IF($B126="","",IF(VLOOKUP($A126,Spiele!$A$2:$F$15,3,FALSE)=$B126,VLOOKUP($A126,Spiele!$A$2:$F$15,4,FALSE),VLOOKUP($A126,Spiele!$A$2:$F$15,3,FALSE)))</f>
        <v>FWK</v>
      </c>
      <c r="E126" s="18">
        <f>IF(Abschlüsse[[#This Row],[Ergeb]]="ET",0,COUNTIFS($A$2:$A126,$A126,$B$2:$B126,$B126,$L$2:$L126,"&lt;&gt;ET"))</f>
        <v>2</v>
      </c>
      <c r="F126" s="11">
        <v>6</v>
      </c>
      <c r="G126" s="12">
        <v>1</v>
      </c>
      <c r="H126" s="18">
        <f>COUNTIFS('Rote Karten'!$A$2:$A$4,$A126,'Rote Karten'!$D$2:$D$4,"&lt;&gt;"&amp;$B126,'Rote Karten'!$B$2:$B$4,"&lt;"&amp;$F126,'Rote Karten'!$C$2:$C$4,"&lt;="&amp;$G126)-COUNTIFS('Rote Karten'!$A$2:$A$4,$A126,'Rote Karten'!$D$2:$D$4,$B126,'Rote Karten'!$B$2:$B$4,"&lt;"&amp;$F126,'Rote Karten'!$C$2:$C$4,"&lt;="&amp;$G126)</f>
        <v>0</v>
      </c>
      <c r="I126" s="17" t="str">
        <f>IF(OR($L126="Tor",$L126="ET"),_xlfn.IFNA(IF(VLOOKUP($A126,Spiele!$A$2:$C$15,3,FALSE)=$B126,COUNTIFS($L$2:$L126,"Tor",$B$2:$B126,$B126,$A$2:$A126,$A126)+COUNTIFS($L$2:$L126,"ET",$B$2:$B126,$B126,$A$2:$A126,$A126)&amp;":"&amp;COUNTIFS($L$2:$L126,"Tor",$B$2:$B126,"&lt;&gt;"&amp;$B126,$A$2:$A126,$A126)+COUNTIFS($L$2:$L126,"ET",$B$2:$B126,"&lt;&gt;"&amp;$B126,$A$2:$A126,$A126),COUNTIFS($L$2:$L126,"Tor",$B$2:$B126,"&lt;&gt;"&amp;$B126,$A$2:$A126,$A126)+COUNTIFS($L$2:$L126,"ET",$B$2:$B126,"&lt;&gt;"&amp;$B126,$A$2:$A126,$A126)&amp;":"&amp;COUNTIFS($L$2:$L126,"Tor",$B$2:$B126,$B126,$A$2:$A126,$A126)+COUNTIFS($L$2:$L126,"ET",$B$2:$B126,$B126,$A$2:$A126,$A126)),""),"")</f>
        <v/>
      </c>
      <c r="J126" s="18">
        <f>_xlfn.IFNA(IF(VLOOKUP($A126,Spiele!$A$2:$D$15,3,FALSE)=$B126,(COUNTIFS($L$1:$L125,"Tor",$B$1:$B125,$B126,$A$1:$A125,$A126)+COUNTIFS($L$1:$L125,"ET",$B$1:$B125,$B126,$A$1:$A125,$A126))-(COUNTIFS($L$1:$L125,"Tor",$B$1:$B125,"&lt;&gt;"&amp;$B126,$A$1:$A125,$A126)+COUNTIFS($L$1:$L125,"ET",$B$1:$B125,"&lt;&gt;"&amp;$B126,$A$1:$A125,$A126)),(COUNTIFS($L$1:$L125,"Tor",$B$1:$B125,$B126,$A$1:$A125,$A126)+COUNTIFS($L$1:$L125,"ET",$B$1:$B125,$B126,$A$1:$A125,$A126))-(COUNTIFS($L$1:$L125,"Tor",$B$1:$B125,"&lt;&gt;"&amp;$B126,$A$1:$A125,$A126)+COUNTIFS($L$1:$L125,"ET",$B$1:$B125,"&lt;&gt;"&amp;$B126,$A$1:$A125,$A126))),"")</f>
        <v>0</v>
      </c>
      <c r="K126" s="3">
        <v>2</v>
      </c>
      <c r="L126" s="17" t="s">
        <v>20</v>
      </c>
      <c r="M126" s="2" t="s">
        <v>168</v>
      </c>
      <c r="N126" s="2" t="s">
        <v>3</v>
      </c>
      <c r="X126" s="2" t="s">
        <v>151</v>
      </c>
      <c r="Y126" s="17" t="s">
        <v>149</v>
      </c>
      <c r="Z126" s="14" t="s">
        <v>144</v>
      </c>
      <c r="AA126" s="14" t="s">
        <v>156</v>
      </c>
      <c r="AB126" s="18">
        <v>10</v>
      </c>
      <c r="AC126" s="13">
        <v>4.5</v>
      </c>
      <c r="AD126" s="13">
        <v>18</v>
      </c>
      <c r="AE126" s="19">
        <f t="shared" si="4"/>
        <v>18.01958934049275</v>
      </c>
      <c r="AF126" s="19">
        <f t="shared" si="5"/>
        <v>21.714506508528796</v>
      </c>
      <c r="AG126" s="2" t="s">
        <v>146</v>
      </c>
      <c r="AH126" s="13">
        <v>0.5</v>
      </c>
      <c r="AI126" s="13">
        <v>2</v>
      </c>
      <c r="AJ126" s="19">
        <f>IF(Abschlüsse[[#This Row],[Ergeb]]="ET","",SQRT(($AC126-$AH126)^2+($AD126-$AI126)^2))</f>
        <v>16.492422502470642</v>
      </c>
      <c r="AK126" s="3">
        <v>0</v>
      </c>
      <c r="AL126" s="13"/>
      <c r="AM126" s="13"/>
      <c r="AN126" s="19" t="str">
        <f t="shared" si="6"/>
        <v/>
      </c>
      <c r="AO126" s="3">
        <v>4</v>
      </c>
      <c r="AP126" s="13">
        <v>4</v>
      </c>
      <c r="AQ126" s="13">
        <v>14</v>
      </c>
      <c r="AR126" s="19">
        <f t="shared" si="7"/>
        <v>4.0311288741492746</v>
      </c>
    </row>
    <row r="127" spans="1:44" ht="25.05" customHeight="1">
      <c r="A127" s="3">
        <v>6</v>
      </c>
      <c r="B127" s="2" t="s">
        <v>64</v>
      </c>
      <c r="C127" s="17" t="str">
        <f>IF($A127="","",IF(VLOOKUP($A127,Spiele!$A$2:$D$15,3,FALSE)=$B127,"H","G"))</f>
        <v>H</v>
      </c>
      <c r="D127" s="17" t="str">
        <f>IF($B127="","",IF(VLOOKUP($A127,Spiele!$A$2:$F$15,3,FALSE)=$B127,VLOOKUP($A127,Spiele!$A$2:$F$15,4,FALSE),VLOOKUP($A127,Spiele!$A$2:$F$15,3,FALSE)))</f>
        <v>FCN</v>
      </c>
      <c r="E127" s="18">
        <f>IF(Abschlüsse[[#This Row],[Ergeb]]="ET",0,COUNTIFS($A$2:$A127,$A127,$B$2:$B127,$B127,$L$2:$L127,"&lt;&gt;ET"))</f>
        <v>1</v>
      </c>
      <c r="F127" s="11">
        <v>16</v>
      </c>
      <c r="G127" s="12">
        <v>1</v>
      </c>
      <c r="H127" s="18">
        <f>COUNTIFS('Rote Karten'!$A$2:$A$4,$A127,'Rote Karten'!$D$2:$D$4,"&lt;&gt;"&amp;$B127,'Rote Karten'!$B$2:$B$4,"&lt;"&amp;$F127,'Rote Karten'!$C$2:$C$4,"&lt;="&amp;$G127)-COUNTIFS('Rote Karten'!$A$2:$A$4,$A127,'Rote Karten'!$D$2:$D$4,$B127,'Rote Karten'!$B$2:$B$4,"&lt;"&amp;$F127,'Rote Karten'!$C$2:$C$4,"&lt;="&amp;$G127)</f>
        <v>0</v>
      </c>
      <c r="I127" s="17" t="str">
        <f>IF(OR($L127="Tor",$L127="ET"),_xlfn.IFNA(IF(VLOOKUP($A127,Spiele!$A$2:$C$15,3,FALSE)=$B127,COUNTIFS($L$2:$L127,"Tor",$B$2:$B127,$B127,$A$2:$A127,$A127)+COUNTIFS($L$2:$L127,"ET",$B$2:$B127,$B127,$A$2:$A127,$A127)&amp;":"&amp;COUNTIFS($L$2:$L127,"Tor",$B$2:$B127,"&lt;&gt;"&amp;$B127,$A$2:$A127,$A127)+COUNTIFS($L$2:$L127,"ET",$B$2:$B127,"&lt;&gt;"&amp;$B127,$A$2:$A127,$A127),COUNTIFS($L$2:$L127,"Tor",$B$2:$B127,"&lt;&gt;"&amp;$B127,$A$2:$A127,$A127)+COUNTIFS($L$2:$L127,"ET",$B$2:$B127,"&lt;&gt;"&amp;$B127,$A$2:$A127,$A127)&amp;":"&amp;COUNTIFS($L$2:$L127,"Tor",$B$2:$B127,$B127,$A$2:$A127,$A127)+COUNTIFS($L$2:$L127,"ET",$B$2:$B127,$B127,$A$2:$A127,$A127)),""),"")</f>
        <v/>
      </c>
      <c r="J127" s="18">
        <f>_xlfn.IFNA(IF(VLOOKUP($A127,Spiele!$A$2:$D$15,3,FALSE)=$B127,(COUNTIFS($L$1:$L126,"Tor",$B$1:$B126,$B127,$A$1:$A126,$A127)+COUNTIFS($L$1:$L126,"ET",$B$1:$B126,$B127,$A$1:$A126,$A127))-(COUNTIFS($L$1:$L126,"Tor",$B$1:$B126,"&lt;&gt;"&amp;$B127,$A$1:$A126,$A127)+COUNTIFS($L$1:$L126,"ET",$B$1:$B126,"&lt;&gt;"&amp;$B127,$A$1:$A126,$A127)),(COUNTIFS($L$1:$L126,"Tor",$B$1:$B126,$B127,$A$1:$A126,$A127)+COUNTIFS($L$1:$L126,"ET",$B$1:$B126,$B127,$A$1:$A126,$A127))-(COUNTIFS($L$1:$L126,"Tor",$B$1:$B126,"&lt;&gt;"&amp;$B127,$A$1:$A126,$A127)+COUNTIFS($L$1:$L126,"ET",$B$1:$B126,"&lt;&gt;"&amp;$B127,$A$1:$A126,$A127))),"")</f>
        <v>0</v>
      </c>
      <c r="K127" s="3">
        <v>3</v>
      </c>
      <c r="L127" s="17" t="s">
        <v>19</v>
      </c>
      <c r="M127" s="2" t="s">
        <v>174</v>
      </c>
      <c r="X127" s="2" t="s">
        <v>142</v>
      </c>
      <c r="Y127" s="17" t="s">
        <v>143</v>
      </c>
      <c r="Z127" s="14" t="s">
        <v>150</v>
      </c>
      <c r="AA127" s="14" t="s">
        <v>145</v>
      </c>
      <c r="AB127" s="18"/>
      <c r="AC127" s="13">
        <v>-2</v>
      </c>
      <c r="AD127" s="13">
        <v>31</v>
      </c>
      <c r="AE127" s="19">
        <f t="shared" si="4"/>
        <v>31</v>
      </c>
      <c r="AF127" s="19">
        <f t="shared" si="5"/>
        <v>13.412297867051976</v>
      </c>
      <c r="AG127" s="2" t="s">
        <v>146</v>
      </c>
      <c r="AH127" s="13">
        <v>2</v>
      </c>
      <c r="AI127" s="13">
        <v>1</v>
      </c>
      <c r="AJ127" s="19">
        <f>IF(Abschlüsse[[#This Row],[Ergeb]]="ET","",SQRT(($AC127-$AH127)^2+($AD127-$AI127)^2))</f>
        <v>30.265491900843113</v>
      </c>
      <c r="AK127" s="3">
        <v>0</v>
      </c>
      <c r="AL127" s="13"/>
      <c r="AM127" s="13"/>
      <c r="AN127" s="19" t="str">
        <f t="shared" si="6"/>
        <v/>
      </c>
      <c r="AO127" s="3">
        <v>3</v>
      </c>
      <c r="AP127" s="13">
        <v>-2.5</v>
      </c>
      <c r="AQ127" s="13">
        <v>22.5</v>
      </c>
      <c r="AR127" s="19">
        <f t="shared" si="7"/>
        <v>8.5146931829632013</v>
      </c>
    </row>
    <row r="128" spans="1:44" ht="25.05" customHeight="1">
      <c r="A128" s="3">
        <v>6</v>
      </c>
      <c r="B128" s="2" t="s">
        <v>64</v>
      </c>
      <c r="C128" s="17" t="str">
        <f>IF($A128="","",IF(VLOOKUP($A128,Spiele!$A$2:$D$15,3,FALSE)=$B128,"H","G"))</f>
        <v>H</v>
      </c>
      <c r="D128" s="17" t="str">
        <f>IF($B128="","",IF(VLOOKUP($A128,Spiele!$A$2:$F$15,3,FALSE)=$B128,VLOOKUP($A128,Spiele!$A$2:$F$15,4,FALSE),VLOOKUP($A128,Spiele!$A$2:$F$15,3,FALSE)))</f>
        <v>FCN</v>
      </c>
      <c r="E128" s="18">
        <f>IF(Abschlüsse[[#This Row],[Ergeb]]="ET",0,COUNTIFS($A$2:$A128,$A128,$B$2:$B128,$B128,$L$2:$L128,"&lt;&gt;ET"))</f>
        <v>2</v>
      </c>
      <c r="F128" s="11">
        <v>17</v>
      </c>
      <c r="G128" s="12">
        <v>1</v>
      </c>
      <c r="H128" s="18">
        <f>COUNTIFS('Rote Karten'!$A$2:$A$4,$A128,'Rote Karten'!$D$2:$D$4,"&lt;&gt;"&amp;$B128,'Rote Karten'!$B$2:$B$4,"&lt;"&amp;$F128,'Rote Karten'!$C$2:$C$4,"&lt;="&amp;$G128)-COUNTIFS('Rote Karten'!$A$2:$A$4,$A128,'Rote Karten'!$D$2:$D$4,$B128,'Rote Karten'!$B$2:$B$4,"&lt;"&amp;$F128,'Rote Karten'!$C$2:$C$4,"&lt;="&amp;$G128)</f>
        <v>0</v>
      </c>
      <c r="I128" s="17" t="str">
        <f>IF(OR($L128="Tor",$L128="ET"),_xlfn.IFNA(IF(VLOOKUP($A128,Spiele!$A$2:$C$15,3,FALSE)=$B128,COUNTIFS($L$2:$L128,"Tor",$B$2:$B128,$B128,$A$2:$A128,$A128)+COUNTIFS($L$2:$L128,"ET",$B$2:$B128,$B128,$A$2:$A128,$A128)&amp;":"&amp;COUNTIFS($L$2:$L128,"Tor",$B$2:$B128,"&lt;&gt;"&amp;$B128,$A$2:$A128,$A128)+COUNTIFS($L$2:$L128,"ET",$B$2:$B128,"&lt;&gt;"&amp;$B128,$A$2:$A128,$A128),COUNTIFS($L$2:$L128,"Tor",$B$2:$B128,"&lt;&gt;"&amp;$B128,$A$2:$A128,$A128)+COUNTIFS($L$2:$L128,"ET",$B$2:$B128,"&lt;&gt;"&amp;$B128,$A$2:$A128,$A128)&amp;":"&amp;COUNTIFS($L$2:$L128,"Tor",$B$2:$B128,$B128,$A$2:$A128,$A128)+COUNTIFS($L$2:$L128,"ET",$B$2:$B128,$B128,$A$2:$A128,$A128)),""),"")</f>
        <v/>
      </c>
      <c r="J128" s="18">
        <f>_xlfn.IFNA(IF(VLOOKUP($A128,Spiele!$A$2:$D$15,3,FALSE)=$B128,(COUNTIFS($L$1:$L127,"Tor",$B$1:$B127,$B128,$A$1:$A127,$A128)+COUNTIFS($L$1:$L127,"ET",$B$1:$B127,$B128,$A$1:$A127,$A128))-(COUNTIFS($L$1:$L127,"Tor",$B$1:$B127,"&lt;&gt;"&amp;$B128,$A$1:$A127,$A128)+COUNTIFS($L$1:$L127,"ET",$B$1:$B127,"&lt;&gt;"&amp;$B128,$A$1:$A127,$A128)),(COUNTIFS($L$1:$L127,"Tor",$B$1:$B127,$B128,$A$1:$A127,$A128)+COUNTIFS($L$1:$L127,"ET",$B$1:$B127,$B128,$A$1:$A127,$A128))-(COUNTIFS($L$1:$L127,"Tor",$B$1:$B127,"&lt;&gt;"&amp;$B128,$A$1:$A127,$A128)+COUNTIFS($L$1:$L127,"ET",$B$1:$B127,"&lt;&gt;"&amp;$B128,$A$1:$A127,$A128))),"")</f>
        <v>0</v>
      </c>
      <c r="K128" s="3">
        <v>4</v>
      </c>
      <c r="L128" s="17" t="s">
        <v>20</v>
      </c>
      <c r="M128" s="2" t="s">
        <v>163</v>
      </c>
      <c r="N128" s="2" t="s">
        <v>164</v>
      </c>
      <c r="X128" s="2" t="s">
        <v>151</v>
      </c>
      <c r="Y128" s="17" t="s">
        <v>143</v>
      </c>
      <c r="Z128" s="14" t="s">
        <v>150</v>
      </c>
      <c r="AA128" s="14" t="s">
        <v>156</v>
      </c>
      <c r="AB128" s="18"/>
      <c r="AC128" s="13">
        <v>6.5</v>
      </c>
      <c r="AD128" s="13">
        <v>11</v>
      </c>
      <c r="AE128" s="19">
        <f t="shared" si="4"/>
        <v>11.360704203525414</v>
      </c>
      <c r="AF128" s="19">
        <f t="shared" si="5"/>
        <v>28.250096832660915</v>
      </c>
      <c r="AG128" s="2" t="s">
        <v>146</v>
      </c>
      <c r="AH128" s="13">
        <v>2.5</v>
      </c>
      <c r="AI128" s="13">
        <v>2</v>
      </c>
      <c r="AJ128" s="19">
        <f>IF(Abschlüsse[[#This Row],[Ergeb]]="ET","",SQRT(($AC128-$AH128)^2+($AD128-$AI128)^2))</f>
        <v>9.8488578017961039</v>
      </c>
      <c r="AK128" s="3">
        <v>0</v>
      </c>
      <c r="AL128" s="13"/>
      <c r="AM128" s="13"/>
      <c r="AN128" s="19" t="str">
        <f t="shared" si="6"/>
        <v/>
      </c>
      <c r="AO128" s="3">
        <v>1</v>
      </c>
      <c r="AP128" s="13">
        <v>5.5</v>
      </c>
      <c r="AQ128" s="13">
        <v>9</v>
      </c>
      <c r="AR128" s="19">
        <f t="shared" si="7"/>
        <v>2.2360679774997898</v>
      </c>
    </row>
    <row r="129" spans="1:44" ht="25.05" customHeight="1">
      <c r="A129" s="3">
        <v>6</v>
      </c>
      <c r="B129" s="2" t="s">
        <v>8</v>
      </c>
      <c r="C129" s="17" t="str">
        <f>IF($A129="","",IF(VLOOKUP($A129,Spiele!$A$2:$D$15,3,FALSE)=$B129,"H","G"))</f>
        <v>G</v>
      </c>
      <c r="D129" s="17" t="str">
        <f>IF($B129="","",IF(VLOOKUP($A129,Spiele!$A$2:$F$15,3,FALSE)=$B129,VLOOKUP($A129,Spiele!$A$2:$F$15,4,FALSE),VLOOKUP($A129,Spiele!$A$2:$F$15,3,FALSE)))</f>
        <v>FWK</v>
      </c>
      <c r="E129" s="18">
        <f>IF(Abschlüsse[[#This Row],[Ergeb]]="ET",0,COUNTIFS($A$2:$A129,$A129,$B$2:$B129,$B129,$L$2:$L129,"&lt;&gt;ET"))</f>
        <v>3</v>
      </c>
      <c r="F129" s="11">
        <v>21</v>
      </c>
      <c r="G129" s="12">
        <v>1</v>
      </c>
      <c r="H129" s="18">
        <f>COUNTIFS('Rote Karten'!$A$2:$A$4,$A129,'Rote Karten'!$D$2:$D$4,"&lt;&gt;"&amp;$B129,'Rote Karten'!$B$2:$B$4,"&lt;"&amp;$F129,'Rote Karten'!$C$2:$C$4,"&lt;="&amp;$G129)-COUNTIFS('Rote Karten'!$A$2:$A$4,$A129,'Rote Karten'!$D$2:$D$4,$B129,'Rote Karten'!$B$2:$B$4,"&lt;"&amp;$F129,'Rote Karten'!$C$2:$C$4,"&lt;="&amp;$G129)</f>
        <v>0</v>
      </c>
      <c r="I129" s="17" t="str">
        <f>IF(OR($L129="Tor",$L129="ET"),_xlfn.IFNA(IF(VLOOKUP($A129,Spiele!$A$2:$C$15,3,FALSE)=$B129,COUNTIFS($L$2:$L129,"Tor",$B$2:$B129,$B129,$A$2:$A129,$A129)+COUNTIFS($L$2:$L129,"ET",$B$2:$B129,$B129,$A$2:$A129,$A129)&amp;":"&amp;COUNTIFS($L$2:$L129,"Tor",$B$2:$B129,"&lt;&gt;"&amp;$B129,$A$2:$A129,$A129)+COUNTIFS($L$2:$L129,"ET",$B$2:$B129,"&lt;&gt;"&amp;$B129,$A$2:$A129,$A129),COUNTIFS($L$2:$L129,"Tor",$B$2:$B129,"&lt;&gt;"&amp;$B129,$A$2:$A129,$A129)+COUNTIFS($L$2:$L129,"ET",$B$2:$B129,"&lt;&gt;"&amp;$B129,$A$2:$A129,$A129)&amp;":"&amp;COUNTIFS($L$2:$L129,"Tor",$B$2:$B129,$B129,$A$2:$A129,$A129)+COUNTIFS($L$2:$L129,"ET",$B$2:$B129,$B129,$A$2:$A129,$A129)),""),"")</f>
        <v>0:1</v>
      </c>
      <c r="J129" s="18">
        <f>_xlfn.IFNA(IF(VLOOKUP($A129,Spiele!$A$2:$D$15,3,FALSE)=$B129,(COUNTIFS($L$1:$L128,"Tor",$B$1:$B128,$B129,$A$1:$A128,$A129)+COUNTIFS($L$1:$L128,"ET",$B$1:$B128,$B129,$A$1:$A128,$A129))-(COUNTIFS($L$1:$L128,"Tor",$B$1:$B128,"&lt;&gt;"&amp;$B129,$A$1:$A128,$A129)+COUNTIFS($L$1:$L128,"ET",$B$1:$B128,"&lt;&gt;"&amp;$B129,$A$1:$A128,$A129)),(COUNTIFS($L$1:$L128,"Tor",$B$1:$B128,$B129,$A$1:$A128,$A129)+COUNTIFS($L$1:$L128,"ET",$B$1:$B128,$B129,$A$1:$A128,$A129))-(COUNTIFS($L$1:$L128,"Tor",$B$1:$B128,"&lt;&gt;"&amp;$B129,$A$1:$A128,$A129)+COUNTIFS($L$1:$L128,"ET",$B$1:$B128,"&lt;&gt;"&amp;$B129,$A$1:$A128,$A129))),"")</f>
        <v>0</v>
      </c>
      <c r="K129" s="3">
        <v>5</v>
      </c>
      <c r="L129" s="17" t="s">
        <v>0</v>
      </c>
      <c r="M129" s="2" t="s">
        <v>173</v>
      </c>
      <c r="N129" s="2" t="s">
        <v>173</v>
      </c>
      <c r="O129" s="2">
        <v>20</v>
      </c>
      <c r="X129" s="2" t="s">
        <v>154</v>
      </c>
      <c r="Y129" s="17" t="s">
        <v>143</v>
      </c>
      <c r="Z129" s="14" t="s">
        <v>144</v>
      </c>
      <c r="AA129" s="14" t="s">
        <v>145</v>
      </c>
      <c r="AB129" s="18">
        <v>23</v>
      </c>
      <c r="AC129" s="13">
        <v>-7</v>
      </c>
      <c r="AD129" s="13">
        <v>3.5</v>
      </c>
      <c r="AE129" s="19">
        <f t="shared" si="4"/>
        <v>4.8379334431139087</v>
      </c>
      <c r="AF129" s="19">
        <f t="shared" si="5"/>
        <v>28.163437271945604</v>
      </c>
      <c r="AG129" s="2" t="s">
        <v>146</v>
      </c>
      <c r="AH129" s="13">
        <v>-2</v>
      </c>
      <c r="AI129" s="13">
        <v>0.5</v>
      </c>
      <c r="AJ129" s="19">
        <f>IF(Abschlüsse[[#This Row],[Ergeb]]="ET","",SQRT(($AC129-$AH129)^2+($AD129-$AI129)^2))</f>
        <v>5.8309518948453007</v>
      </c>
      <c r="AK129" s="3">
        <v>1</v>
      </c>
      <c r="AL129" s="13">
        <v>-6</v>
      </c>
      <c r="AM129" s="13">
        <v>4.5</v>
      </c>
      <c r="AN129" s="19">
        <f t="shared" si="6"/>
        <v>1.4142135623730951</v>
      </c>
      <c r="AO129" s="3">
        <v>1</v>
      </c>
      <c r="AP129" s="13">
        <v>-3.5</v>
      </c>
      <c r="AQ129" s="13">
        <v>0</v>
      </c>
      <c r="AR129" s="19">
        <f t="shared" si="7"/>
        <v>4.9497474683058327</v>
      </c>
    </row>
    <row r="130" spans="1:44" ht="25.05" customHeight="1">
      <c r="A130" s="3">
        <v>6</v>
      </c>
      <c r="B130" s="2" t="s">
        <v>64</v>
      </c>
      <c r="C130" s="17" t="str">
        <f>IF($A130="","",IF(VLOOKUP($A130,Spiele!$A$2:$D$15,3,FALSE)=$B130,"H","G"))</f>
        <v>H</v>
      </c>
      <c r="D130" s="17" t="str">
        <f>IF($B130="","",IF(VLOOKUP($A130,Spiele!$A$2:$F$15,3,FALSE)=$B130,VLOOKUP($A130,Spiele!$A$2:$F$15,4,FALSE),VLOOKUP($A130,Spiele!$A$2:$F$15,3,FALSE)))</f>
        <v>FCN</v>
      </c>
      <c r="E130" s="18">
        <f>IF(Abschlüsse[[#This Row],[Ergeb]]="ET",0,COUNTIFS($A$2:$A130,$A130,$B$2:$B130,$B130,$L$2:$L130,"&lt;&gt;ET"))</f>
        <v>3</v>
      </c>
      <c r="F130" s="11">
        <v>22</v>
      </c>
      <c r="G130" s="12">
        <v>1</v>
      </c>
      <c r="H130" s="18">
        <f>COUNTIFS('Rote Karten'!$A$2:$A$4,$A130,'Rote Karten'!$D$2:$D$4,"&lt;&gt;"&amp;$B130,'Rote Karten'!$B$2:$B$4,"&lt;"&amp;$F130,'Rote Karten'!$C$2:$C$4,"&lt;="&amp;$G130)-COUNTIFS('Rote Karten'!$A$2:$A$4,$A130,'Rote Karten'!$D$2:$D$4,$B130,'Rote Karten'!$B$2:$B$4,"&lt;"&amp;$F130,'Rote Karten'!$C$2:$C$4,"&lt;="&amp;$G130)</f>
        <v>0</v>
      </c>
      <c r="I130" s="17" t="str">
        <f>IF(OR($L130="Tor",$L130="ET"),_xlfn.IFNA(IF(VLOOKUP($A130,Spiele!$A$2:$C$15,3,FALSE)=$B130,COUNTIFS($L$2:$L130,"Tor",$B$2:$B130,$B130,$A$2:$A130,$A130)+COUNTIFS($L$2:$L130,"ET",$B$2:$B130,$B130,$A$2:$A130,$A130)&amp;":"&amp;COUNTIFS($L$2:$L130,"Tor",$B$2:$B130,"&lt;&gt;"&amp;$B130,$A$2:$A130,$A130)+COUNTIFS($L$2:$L130,"ET",$B$2:$B130,"&lt;&gt;"&amp;$B130,$A$2:$A130,$A130),COUNTIFS($L$2:$L130,"Tor",$B$2:$B130,"&lt;&gt;"&amp;$B130,$A$2:$A130,$A130)+COUNTIFS($L$2:$L130,"ET",$B$2:$B130,"&lt;&gt;"&amp;$B130,$A$2:$A130,$A130)&amp;":"&amp;COUNTIFS($L$2:$L130,"Tor",$B$2:$B130,$B130,$A$2:$A130,$A130)+COUNTIFS($L$2:$L130,"ET",$B$2:$B130,$B130,$A$2:$A130,$A130)),""),"")</f>
        <v>1:1</v>
      </c>
      <c r="J130" s="18">
        <f>_xlfn.IFNA(IF(VLOOKUP($A130,Spiele!$A$2:$D$15,3,FALSE)=$B130,(COUNTIFS($L$1:$L129,"Tor",$B$1:$B129,$B130,$A$1:$A129,$A130)+COUNTIFS($L$1:$L129,"ET",$B$1:$B129,$B130,$A$1:$A129,$A130))-(COUNTIFS($L$1:$L129,"Tor",$B$1:$B129,"&lt;&gt;"&amp;$B130,$A$1:$A129,$A130)+COUNTIFS($L$1:$L129,"ET",$B$1:$B129,"&lt;&gt;"&amp;$B130,$A$1:$A129,$A130)),(COUNTIFS($L$1:$L129,"Tor",$B$1:$B129,$B130,$A$1:$A129,$A130)+COUNTIFS($L$1:$L129,"ET",$B$1:$B129,$B130,$A$1:$A129,$A130))-(COUNTIFS($L$1:$L129,"Tor",$B$1:$B129,"&lt;&gt;"&amp;$B130,$A$1:$A129,$A130)+COUNTIFS($L$1:$L129,"ET",$B$1:$B129,"&lt;&gt;"&amp;$B130,$A$1:$A129,$A130))),"")</f>
        <v>-1</v>
      </c>
      <c r="K130" s="3">
        <v>6</v>
      </c>
      <c r="L130" s="17" t="s">
        <v>0</v>
      </c>
      <c r="M130" s="2" t="s">
        <v>157</v>
      </c>
      <c r="N130" s="2" t="s">
        <v>178</v>
      </c>
      <c r="X130" s="2" t="s">
        <v>142</v>
      </c>
      <c r="Y130" s="17" t="s">
        <v>149</v>
      </c>
      <c r="Z130" s="14" t="s">
        <v>150</v>
      </c>
      <c r="AA130" s="14" t="s">
        <v>145</v>
      </c>
      <c r="AB130" s="18"/>
      <c r="AC130" s="13">
        <v>4.5</v>
      </c>
      <c r="AD130" s="13">
        <v>7.5</v>
      </c>
      <c r="AE130" s="19">
        <f t="shared" si="4"/>
        <v>7.5468934005986856</v>
      </c>
      <c r="AF130" s="19">
        <f t="shared" si="5"/>
        <v>41.022841118202912</v>
      </c>
      <c r="AG130" s="2" t="s">
        <v>169</v>
      </c>
      <c r="AH130" s="13">
        <v>-1</v>
      </c>
      <c r="AI130" s="13">
        <v>0.5</v>
      </c>
      <c r="AJ130" s="19">
        <f>IF(Abschlüsse[[#This Row],[Ergeb]]="ET","",SQRT(($AC130-$AH130)^2+($AD130-$AI130)^2))</f>
        <v>8.9022469073824286</v>
      </c>
      <c r="AK130" s="3">
        <v>0</v>
      </c>
      <c r="AL130" s="13"/>
      <c r="AM130" s="13"/>
      <c r="AN130" s="19" t="str">
        <f t="shared" si="6"/>
        <v/>
      </c>
      <c r="AO130" s="3">
        <v>1</v>
      </c>
      <c r="AP130" s="13">
        <v>2</v>
      </c>
      <c r="AQ130" s="13">
        <v>4</v>
      </c>
      <c r="AR130" s="19">
        <f t="shared" si="7"/>
        <v>4.3011626335213133</v>
      </c>
    </row>
    <row r="131" spans="1:44" ht="25.05" customHeight="1">
      <c r="A131" s="3">
        <v>6</v>
      </c>
      <c r="B131" s="2" t="s">
        <v>64</v>
      </c>
      <c r="C131" s="17" t="str">
        <f>IF($A131="","",IF(VLOOKUP($A131,Spiele!$A$2:$D$15,3,FALSE)=$B131,"H","G"))</f>
        <v>H</v>
      </c>
      <c r="D131" s="17" t="str">
        <f>IF($B131="","",IF(VLOOKUP($A131,Spiele!$A$2:$F$15,3,FALSE)=$B131,VLOOKUP($A131,Spiele!$A$2:$F$15,4,FALSE),VLOOKUP($A131,Spiele!$A$2:$F$15,3,FALSE)))</f>
        <v>FCN</v>
      </c>
      <c r="E131" s="18">
        <f>IF(Abschlüsse[[#This Row],[Ergeb]]="ET",0,COUNTIFS($A$2:$A131,$A131,$B$2:$B131,$B131,$L$2:$L131,"&lt;&gt;ET"))</f>
        <v>4</v>
      </c>
      <c r="F131" s="11">
        <v>25</v>
      </c>
      <c r="G131" s="12">
        <v>1</v>
      </c>
      <c r="H131" s="18">
        <f>COUNTIFS('Rote Karten'!$A$2:$A$4,$A131,'Rote Karten'!$D$2:$D$4,"&lt;&gt;"&amp;$B131,'Rote Karten'!$B$2:$B$4,"&lt;"&amp;$F131,'Rote Karten'!$C$2:$C$4,"&lt;="&amp;$G131)-COUNTIFS('Rote Karten'!$A$2:$A$4,$A131,'Rote Karten'!$D$2:$D$4,$B131,'Rote Karten'!$B$2:$B$4,"&lt;"&amp;$F131,'Rote Karten'!$C$2:$C$4,"&lt;="&amp;$G131)</f>
        <v>0</v>
      </c>
      <c r="I131" s="17" t="str">
        <f>IF(OR($L131="Tor",$L131="ET"),_xlfn.IFNA(IF(VLOOKUP($A131,Spiele!$A$2:$C$15,3,FALSE)=$B131,COUNTIFS($L$2:$L131,"Tor",$B$2:$B131,$B131,$A$2:$A131,$A131)+COUNTIFS($L$2:$L131,"ET",$B$2:$B131,$B131,$A$2:$A131,$A131)&amp;":"&amp;COUNTIFS($L$2:$L131,"Tor",$B$2:$B131,"&lt;&gt;"&amp;$B131,$A$2:$A131,$A131)+COUNTIFS($L$2:$L131,"ET",$B$2:$B131,"&lt;&gt;"&amp;$B131,$A$2:$A131,$A131),COUNTIFS($L$2:$L131,"Tor",$B$2:$B131,"&lt;&gt;"&amp;$B131,$A$2:$A131,$A131)+COUNTIFS($L$2:$L131,"ET",$B$2:$B131,"&lt;&gt;"&amp;$B131,$A$2:$A131,$A131)&amp;":"&amp;COUNTIFS($L$2:$L131,"Tor",$B$2:$B131,$B131,$A$2:$A131,$A131)+COUNTIFS($L$2:$L131,"ET",$B$2:$B131,$B131,$A$2:$A131,$A131)),""),"")</f>
        <v/>
      </c>
      <c r="J131" s="18">
        <f>_xlfn.IFNA(IF(VLOOKUP($A131,Spiele!$A$2:$D$15,3,FALSE)=$B131,(COUNTIFS($L$1:$L130,"Tor",$B$1:$B130,$B131,$A$1:$A130,$A131)+COUNTIFS($L$1:$L130,"ET",$B$1:$B130,$B131,$A$1:$A130,$A131))-(COUNTIFS($L$1:$L130,"Tor",$B$1:$B130,"&lt;&gt;"&amp;$B131,$A$1:$A130,$A131)+COUNTIFS($L$1:$L130,"ET",$B$1:$B130,"&lt;&gt;"&amp;$B131,$A$1:$A130,$A131)),(COUNTIFS($L$1:$L130,"Tor",$B$1:$B130,$B131,$A$1:$A130,$A131)+COUNTIFS($L$1:$L130,"ET",$B$1:$B130,$B131,$A$1:$A130,$A131))-(COUNTIFS($L$1:$L130,"Tor",$B$1:$B130,"&lt;&gt;"&amp;$B131,$A$1:$A130,$A131)+COUNTIFS($L$1:$L130,"ET",$B$1:$B130,"&lt;&gt;"&amp;$B131,$A$1:$A130,$A131))),"")</f>
        <v>0</v>
      </c>
      <c r="K131" s="3">
        <v>7</v>
      </c>
      <c r="L131" s="17" t="s">
        <v>46</v>
      </c>
      <c r="M131" s="2" t="s">
        <v>163</v>
      </c>
      <c r="N131" s="2" t="s">
        <v>164</v>
      </c>
      <c r="X131" s="2" t="s">
        <v>151</v>
      </c>
      <c r="Y131" s="17" t="s">
        <v>149</v>
      </c>
      <c r="Z131" s="14" t="s">
        <v>150</v>
      </c>
      <c r="AA131" s="14" t="s">
        <v>156</v>
      </c>
      <c r="AB131" s="18"/>
      <c r="AC131" s="13">
        <v>-4</v>
      </c>
      <c r="AD131" s="13">
        <v>1</v>
      </c>
      <c r="AE131" s="19">
        <f t="shared" si="4"/>
        <v>1.0562196741208714</v>
      </c>
      <c r="AF131" s="19">
        <f t="shared" si="5"/>
        <v>63.784163474394568</v>
      </c>
      <c r="AG131" s="2" t="s">
        <v>166</v>
      </c>
      <c r="AJ131" s="19">
        <f>IF(Abschlüsse[[#This Row],[Ergeb]]="ET","",SQRT(($AC131-$AH131)^2+($AD131-$AI131)^2))</f>
        <v>4.1231056256176606</v>
      </c>
      <c r="AK131" s="3">
        <v>0</v>
      </c>
      <c r="AL131" s="13"/>
      <c r="AM131" s="13"/>
      <c r="AN131" s="19" t="str">
        <f t="shared" si="6"/>
        <v/>
      </c>
      <c r="AO131" s="3">
        <v>2</v>
      </c>
      <c r="AP131" s="13">
        <v>-1.5</v>
      </c>
      <c r="AQ131" s="13">
        <v>0.5</v>
      </c>
      <c r="AR131" s="19">
        <f t="shared" si="7"/>
        <v>2.5495097567963922</v>
      </c>
    </row>
    <row r="132" spans="1:44" ht="25.05" customHeight="1">
      <c r="A132" s="3">
        <v>6</v>
      </c>
      <c r="B132" s="2" t="s">
        <v>64</v>
      </c>
      <c r="C132" s="17" t="str">
        <f>IF($A132="","",IF(VLOOKUP($A132,Spiele!$A$2:$D$15,3,FALSE)=$B132,"H","G"))</f>
        <v>H</v>
      </c>
      <c r="D132" s="17" t="str">
        <f>IF($B132="","",IF(VLOOKUP($A132,Spiele!$A$2:$F$15,3,FALSE)=$B132,VLOOKUP($A132,Spiele!$A$2:$F$15,4,FALSE),VLOOKUP($A132,Spiele!$A$2:$F$15,3,FALSE)))</f>
        <v>FCN</v>
      </c>
      <c r="E132" s="18">
        <f>IF(Abschlüsse[[#This Row],[Ergeb]]="ET",0,COUNTIFS($A$2:$A132,$A132,$B$2:$B132,$B132,$L$2:$L132,"&lt;&gt;ET"))</f>
        <v>5</v>
      </c>
      <c r="F132" s="11">
        <v>26</v>
      </c>
      <c r="G132" s="12">
        <v>1</v>
      </c>
      <c r="H132" s="18">
        <f>COUNTIFS('Rote Karten'!$A$2:$A$4,$A132,'Rote Karten'!$D$2:$D$4,"&lt;&gt;"&amp;$B132,'Rote Karten'!$B$2:$B$4,"&lt;"&amp;$F132,'Rote Karten'!$C$2:$C$4,"&lt;="&amp;$G132)-COUNTIFS('Rote Karten'!$A$2:$A$4,$A132,'Rote Karten'!$D$2:$D$4,$B132,'Rote Karten'!$B$2:$B$4,"&lt;"&amp;$F132,'Rote Karten'!$C$2:$C$4,"&lt;="&amp;$G132)</f>
        <v>0</v>
      </c>
      <c r="I132" s="17" t="str">
        <f>IF(OR($L132="Tor",$L132="ET"),_xlfn.IFNA(IF(VLOOKUP($A132,Spiele!$A$2:$C$15,3,FALSE)=$B132,COUNTIFS($L$2:$L132,"Tor",$B$2:$B132,$B132,$A$2:$A132,$A132)+COUNTIFS($L$2:$L132,"ET",$B$2:$B132,$B132,$A$2:$A132,$A132)&amp;":"&amp;COUNTIFS($L$2:$L132,"Tor",$B$2:$B132,"&lt;&gt;"&amp;$B132,$A$2:$A132,$A132)+COUNTIFS($L$2:$L132,"ET",$B$2:$B132,"&lt;&gt;"&amp;$B132,$A$2:$A132,$A132),COUNTIFS($L$2:$L132,"Tor",$B$2:$B132,"&lt;&gt;"&amp;$B132,$A$2:$A132,$A132)+COUNTIFS($L$2:$L132,"ET",$B$2:$B132,"&lt;&gt;"&amp;$B132,$A$2:$A132,$A132)&amp;":"&amp;COUNTIFS($L$2:$L132,"Tor",$B$2:$B132,$B132,$A$2:$A132,$A132)+COUNTIFS($L$2:$L132,"ET",$B$2:$B132,$B132,$A$2:$A132,$A132)),""),"")</f>
        <v/>
      </c>
      <c r="J132" s="18">
        <f>_xlfn.IFNA(IF(VLOOKUP($A132,Spiele!$A$2:$D$15,3,FALSE)=$B132,(COUNTIFS($L$1:$L131,"Tor",$B$1:$B131,$B132,$A$1:$A131,$A132)+COUNTIFS($L$1:$L131,"ET",$B$1:$B131,$B132,$A$1:$A131,$A132))-(COUNTIFS($L$1:$L131,"Tor",$B$1:$B131,"&lt;&gt;"&amp;$B132,$A$1:$A131,$A132)+COUNTIFS($L$1:$L131,"ET",$B$1:$B131,"&lt;&gt;"&amp;$B132,$A$1:$A131,$A132)),(COUNTIFS($L$1:$L131,"Tor",$B$1:$B131,$B132,$A$1:$A131,$A132)+COUNTIFS($L$1:$L131,"ET",$B$1:$B131,$B132,$A$1:$A131,$A132))-(COUNTIFS($L$1:$L131,"Tor",$B$1:$B131,"&lt;&gt;"&amp;$B132,$A$1:$A131,$A132)+COUNTIFS($L$1:$L131,"ET",$B$1:$B131,"&lt;&gt;"&amp;$B132,$A$1:$A131,$A132))),"")</f>
        <v>0</v>
      </c>
      <c r="K132" s="3">
        <v>8</v>
      </c>
      <c r="L132" s="17" t="s">
        <v>20</v>
      </c>
      <c r="M132" s="2" t="s">
        <v>168</v>
      </c>
      <c r="N132" s="2" t="s">
        <v>3</v>
      </c>
      <c r="X132" s="2" t="s">
        <v>141</v>
      </c>
      <c r="Y132" s="17" t="s">
        <v>149</v>
      </c>
      <c r="Z132" s="14" t="s">
        <v>150</v>
      </c>
      <c r="AA132" s="14" t="s">
        <v>145</v>
      </c>
      <c r="AB132" s="18"/>
      <c r="AC132" s="13">
        <v>-5</v>
      </c>
      <c r="AD132" s="13">
        <v>18.5</v>
      </c>
      <c r="AE132" s="19">
        <f t="shared" si="4"/>
        <v>18.548466243870408</v>
      </c>
      <c r="AF132" s="19">
        <f t="shared" si="5"/>
        <v>20.941837325172411</v>
      </c>
      <c r="AG132" s="2" t="s">
        <v>146</v>
      </c>
      <c r="AH132" s="13">
        <v>-0.5</v>
      </c>
      <c r="AI132" s="13">
        <v>0.5</v>
      </c>
      <c r="AJ132" s="19">
        <f>IF(Abschlüsse[[#This Row],[Ergeb]]="ET","",SQRT(($AC132-$AH132)^2+($AD132-$AI132)^2))</f>
        <v>18.553975315279473</v>
      </c>
      <c r="AK132" s="3">
        <v>0</v>
      </c>
      <c r="AL132" s="13"/>
      <c r="AM132" s="13"/>
      <c r="AN132" s="19" t="str">
        <f t="shared" si="6"/>
        <v/>
      </c>
      <c r="AO132" s="3">
        <v>4</v>
      </c>
      <c r="AP132" s="13">
        <v>-3.5</v>
      </c>
      <c r="AQ132" s="13">
        <v>9</v>
      </c>
      <c r="AR132" s="19">
        <f t="shared" si="7"/>
        <v>9.6176920308356717</v>
      </c>
    </row>
    <row r="133" spans="1:44" ht="25.05" customHeight="1">
      <c r="A133" s="3">
        <v>6</v>
      </c>
      <c r="B133" s="2" t="s">
        <v>64</v>
      </c>
      <c r="C133" s="17" t="str">
        <f>IF($A133="","",IF(VLOOKUP($A133,Spiele!$A$2:$D$15,3,FALSE)=$B133,"H","G"))</f>
        <v>H</v>
      </c>
      <c r="D133" s="17" t="str">
        <f>IF($B133="","",IF(VLOOKUP($A133,Spiele!$A$2:$F$15,3,FALSE)=$B133,VLOOKUP($A133,Spiele!$A$2:$F$15,4,FALSE),VLOOKUP($A133,Spiele!$A$2:$F$15,3,FALSE)))</f>
        <v>FCN</v>
      </c>
      <c r="E133" s="18">
        <f>IF(Abschlüsse[[#This Row],[Ergeb]]="ET",0,COUNTIFS($A$2:$A133,$A133,$B$2:$B133,$B133,$L$2:$L133,"&lt;&gt;ET"))</f>
        <v>6</v>
      </c>
      <c r="F133" s="11">
        <v>26</v>
      </c>
      <c r="G133" s="12">
        <v>1</v>
      </c>
      <c r="H133" s="18">
        <f>COUNTIFS('Rote Karten'!$A$2:$A$4,$A133,'Rote Karten'!$D$2:$D$4,"&lt;&gt;"&amp;$B133,'Rote Karten'!$B$2:$B$4,"&lt;"&amp;$F133,'Rote Karten'!$C$2:$C$4,"&lt;="&amp;$G133)-COUNTIFS('Rote Karten'!$A$2:$A$4,$A133,'Rote Karten'!$D$2:$D$4,$B133,'Rote Karten'!$B$2:$B$4,"&lt;"&amp;$F133,'Rote Karten'!$C$2:$C$4,"&lt;="&amp;$G133)</f>
        <v>0</v>
      </c>
      <c r="I133" s="17" t="str">
        <f>IF(OR($L133="Tor",$L133="ET"),_xlfn.IFNA(IF(VLOOKUP($A133,Spiele!$A$2:$C$15,3,FALSE)=$B133,COUNTIFS($L$2:$L133,"Tor",$B$2:$B133,$B133,$A$2:$A133,$A133)+COUNTIFS($L$2:$L133,"ET",$B$2:$B133,$B133,$A$2:$A133,$A133)&amp;":"&amp;COUNTIFS($L$2:$L133,"Tor",$B$2:$B133,"&lt;&gt;"&amp;$B133,$A$2:$A133,$A133)+COUNTIFS($L$2:$L133,"ET",$B$2:$B133,"&lt;&gt;"&amp;$B133,$A$2:$A133,$A133),COUNTIFS($L$2:$L133,"Tor",$B$2:$B133,"&lt;&gt;"&amp;$B133,$A$2:$A133,$A133)+COUNTIFS($L$2:$L133,"ET",$B$2:$B133,"&lt;&gt;"&amp;$B133,$A$2:$A133,$A133)&amp;":"&amp;COUNTIFS($L$2:$L133,"Tor",$B$2:$B133,$B133,$A$2:$A133,$A133)+COUNTIFS($L$2:$L133,"ET",$B$2:$B133,$B133,$A$2:$A133,$A133)),""),"")</f>
        <v/>
      </c>
      <c r="J133" s="18">
        <f>_xlfn.IFNA(IF(VLOOKUP($A133,Spiele!$A$2:$D$15,3,FALSE)=$B133,(COUNTIFS($L$1:$L132,"Tor",$B$1:$B132,$B133,$A$1:$A132,$A133)+COUNTIFS($L$1:$L132,"ET",$B$1:$B132,$B133,$A$1:$A132,$A133))-(COUNTIFS($L$1:$L132,"Tor",$B$1:$B132,"&lt;&gt;"&amp;$B133,$A$1:$A132,$A133)+COUNTIFS($L$1:$L132,"ET",$B$1:$B132,"&lt;&gt;"&amp;$B133,$A$1:$A132,$A133)),(COUNTIFS($L$1:$L132,"Tor",$B$1:$B132,$B133,$A$1:$A132,$A133)+COUNTIFS($L$1:$L132,"ET",$B$1:$B132,$B133,$A$1:$A132,$A133))-(COUNTIFS($L$1:$L132,"Tor",$B$1:$B132,"&lt;&gt;"&amp;$B133,$A$1:$A132,$A133)+COUNTIFS($L$1:$L132,"ET",$B$1:$B132,"&lt;&gt;"&amp;$B133,$A$1:$A132,$A133))),"")</f>
        <v>0</v>
      </c>
      <c r="K133" s="3">
        <v>8</v>
      </c>
      <c r="L133" s="17" t="s">
        <v>20</v>
      </c>
      <c r="M133" s="2" t="s">
        <v>168</v>
      </c>
      <c r="N133" s="2" t="s">
        <v>165</v>
      </c>
      <c r="X133" s="2" t="s">
        <v>142</v>
      </c>
      <c r="Y133" s="17" t="s">
        <v>143</v>
      </c>
      <c r="Z133" s="14" t="s">
        <v>150</v>
      </c>
      <c r="AA133" s="14" t="s">
        <v>156</v>
      </c>
      <c r="AB133" s="18"/>
      <c r="AC133" s="13">
        <v>6</v>
      </c>
      <c r="AD133" s="13">
        <v>13</v>
      </c>
      <c r="AE133" s="19">
        <f t="shared" si="4"/>
        <v>13.208921227715759</v>
      </c>
      <c r="AF133" s="19">
        <f t="shared" si="5"/>
        <v>26.411214801526391</v>
      </c>
      <c r="AG133" s="2" t="s">
        <v>146</v>
      </c>
      <c r="AH133" s="13">
        <v>2</v>
      </c>
      <c r="AI133" s="13">
        <v>0.5</v>
      </c>
      <c r="AJ133" s="19">
        <f>IF(Abschlüsse[[#This Row],[Ergeb]]="ET","",SQRT(($AC133-$AH133)^2+($AD133-$AI133)^2))</f>
        <v>13.124404748406688</v>
      </c>
      <c r="AK133" s="3">
        <v>1</v>
      </c>
      <c r="AL133" s="13">
        <v>6.5</v>
      </c>
      <c r="AM133" s="13">
        <v>12.5</v>
      </c>
      <c r="AN133" s="19">
        <f t="shared" si="6"/>
        <v>0.70710678118654757</v>
      </c>
      <c r="AO133" s="3">
        <v>3</v>
      </c>
      <c r="AP133" s="13">
        <v>4.5</v>
      </c>
      <c r="AQ133" s="13">
        <v>9</v>
      </c>
      <c r="AR133" s="19">
        <f t="shared" si="7"/>
        <v>4.2720018726587652</v>
      </c>
    </row>
    <row r="134" spans="1:44" ht="25.05" customHeight="1">
      <c r="A134" s="3">
        <v>6</v>
      </c>
      <c r="B134" s="2" t="s">
        <v>8</v>
      </c>
      <c r="C134" s="17" t="str">
        <f>IF($A134="","",IF(VLOOKUP($A134,Spiele!$A$2:$D$15,3,FALSE)=$B134,"H","G"))</f>
        <v>G</v>
      </c>
      <c r="D134" s="17" t="str">
        <f>IF($B134="","",IF(VLOOKUP($A134,Spiele!$A$2:$F$15,3,FALSE)=$B134,VLOOKUP($A134,Spiele!$A$2:$F$15,4,FALSE),VLOOKUP($A134,Spiele!$A$2:$F$15,3,FALSE)))</f>
        <v>FWK</v>
      </c>
      <c r="E134" s="18">
        <f>IF(Abschlüsse[[#This Row],[Ergeb]]="ET",0,COUNTIFS($A$2:$A134,$A134,$B$2:$B134,$B134,$L$2:$L134,"&lt;&gt;ET"))</f>
        <v>4</v>
      </c>
      <c r="F134" s="11">
        <v>31</v>
      </c>
      <c r="G134" s="12">
        <v>1</v>
      </c>
      <c r="H134" s="18">
        <f>COUNTIFS('Rote Karten'!$A$2:$A$4,$A134,'Rote Karten'!$D$2:$D$4,"&lt;&gt;"&amp;$B134,'Rote Karten'!$B$2:$B$4,"&lt;"&amp;$F134,'Rote Karten'!$C$2:$C$4,"&lt;="&amp;$G134)-COUNTIFS('Rote Karten'!$A$2:$A$4,$A134,'Rote Karten'!$D$2:$D$4,$B134,'Rote Karten'!$B$2:$B$4,"&lt;"&amp;$F134,'Rote Karten'!$C$2:$C$4,"&lt;="&amp;$G134)</f>
        <v>0</v>
      </c>
      <c r="I134" s="17" t="str">
        <f>IF(OR($L134="Tor",$L134="ET"),_xlfn.IFNA(IF(VLOOKUP($A134,Spiele!$A$2:$C$15,3,FALSE)=$B134,COUNTIFS($L$2:$L134,"Tor",$B$2:$B134,$B134,$A$2:$A134,$A134)+COUNTIFS($L$2:$L134,"ET",$B$2:$B134,$B134,$A$2:$A134,$A134)&amp;":"&amp;COUNTIFS($L$2:$L134,"Tor",$B$2:$B134,"&lt;&gt;"&amp;$B134,$A$2:$A134,$A134)+COUNTIFS($L$2:$L134,"ET",$B$2:$B134,"&lt;&gt;"&amp;$B134,$A$2:$A134,$A134),COUNTIFS($L$2:$L134,"Tor",$B$2:$B134,"&lt;&gt;"&amp;$B134,$A$2:$A134,$A134)+COUNTIFS($L$2:$L134,"ET",$B$2:$B134,"&lt;&gt;"&amp;$B134,$A$2:$A134,$A134)&amp;":"&amp;COUNTIFS($L$2:$L134,"Tor",$B$2:$B134,$B134,$A$2:$A134,$A134)+COUNTIFS($L$2:$L134,"ET",$B$2:$B134,$B134,$A$2:$A134,$A134)),""),"")</f>
        <v>1:2</v>
      </c>
      <c r="J134" s="18">
        <f>_xlfn.IFNA(IF(VLOOKUP($A134,Spiele!$A$2:$D$15,3,FALSE)=$B134,(COUNTIFS($L$1:$L133,"Tor",$B$1:$B133,$B134,$A$1:$A133,$A134)+COUNTIFS($L$1:$L133,"ET",$B$1:$B133,$B134,$A$1:$A133,$A134))-(COUNTIFS($L$1:$L133,"Tor",$B$1:$B133,"&lt;&gt;"&amp;$B134,$A$1:$A133,$A134)+COUNTIFS($L$1:$L133,"ET",$B$1:$B133,"&lt;&gt;"&amp;$B134,$A$1:$A133,$A134)),(COUNTIFS($L$1:$L133,"Tor",$B$1:$B133,$B134,$A$1:$A133,$A134)+COUNTIFS($L$1:$L133,"ET",$B$1:$B133,$B134,$A$1:$A133,$A134))-(COUNTIFS($L$1:$L133,"Tor",$B$1:$B133,"&lt;&gt;"&amp;$B134,$A$1:$A133,$A134)+COUNTIFS($L$1:$L133,"ET",$B$1:$B133,"&lt;&gt;"&amp;$B134,$A$1:$A133,$A134))),"")</f>
        <v>0</v>
      </c>
      <c r="K134" s="3">
        <v>9</v>
      </c>
      <c r="L134" s="17" t="s">
        <v>0</v>
      </c>
      <c r="M134" s="2" t="s">
        <v>163</v>
      </c>
      <c r="N134" s="2" t="s">
        <v>172</v>
      </c>
      <c r="O134" s="2">
        <v>8</v>
      </c>
      <c r="P134" s="2">
        <v>7</v>
      </c>
      <c r="Q134" s="2">
        <v>23</v>
      </c>
      <c r="R134" s="2">
        <v>4</v>
      </c>
      <c r="X134" s="2" t="s">
        <v>142</v>
      </c>
      <c r="Y134" s="17" t="s">
        <v>143</v>
      </c>
      <c r="Z134" s="14" t="s">
        <v>150</v>
      </c>
      <c r="AA134" s="14" t="s">
        <v>156</v>
      </c>
      <c r="AB134" s="18">
        <v>27</v>
      </c>
      <c r="AC134" s="13">
        <v>3</v>
      </c>
      <c r="AD134" s="13">
        <v>6</v>
      </c>
      <c r="AE134" s="19">
        <f t="shared" si="4"/>
        <v>6</v>
      </c>
      <c r="AF134" s="19">
        <f t="shared" si="5"/>
        <v>54.261580633190938</v>
      </c>
      <c r="AG134" s="2" t="s">
        <v>169</v>
      </c>
      <c r="AH134" s="13">
        <v>3.5</v>
      </c>
      <c r="AI134" s="13">
        <v>1</v>
      </c>
      <c r="AJ134" s="19">
        <f>IF(Abschlüsse[[#This Row],[Ergeb]]="ET","",SQRT(($AC134-$AH134)^2+($AD134-$AI134)^2))</f>
        <v>5.024937810560445</v>
      </c>
      <c r="AK134" s="3">
        <v>2</v>
      </c>
      <c r="AL134" s="13">
        <v>1.5</v>
      </c>
      <c r="AM134" s="13">
        <v>6</v>
      </c>
      <c r="AN134" s="19">
        <f t="shared" si="6"/>
        <v>1.5</v>
      </c>
      <c r="AO134" s="3">
        <v>0</v>
      </c>
      <c r="AR134" s="19" t="str">
        <f t="shared" si="7"/>
        <v/>
      </c>
    </row>
    <row r="135" spans="1:44" ht="25.05" customHeight="1">
      <c r="A135" s="3">
        <v>6</v>
      </c>
      <c r="B135" s="2" t="s">
        <v>64</v>
      </c>
      <c r="C135" s="17" t="str">
        <f>IF($A135="","",IF(VLOOKUP($A135,Spiele!$A$2:$D$15,3,FALSE)=$B135,"H","G"))</f>
        <v>H</v>
      </c>
      <c r="D135" s="17" t="str">
        <f>IF($B135="","",IF(VLOOKUP($A135,Spiele!$A$2:$F$15,3,FALSE)=$B135,VLOOKUP($A135,Spiele!$A$2:$F$15,4,FALSE),VLOOKUP($A135,Spiele!$A$2:$F$15,3,FALSE)))</f>
        <v>FCN</v>
      </c>
      <c r="E135" s="18">
        <f>IF(Abschlüsse[[#This Row],[Ergeb]]="ET",0,COUNTIFS($A$2:$A135,$A135,$B$2:$B135,$B135,$L$2:$L135,"&lt;&gt;ET"))</f>
        <v>7</v>
      </c>
      <c r="F135" s="11">
        <v>34</v>
      </c>
      <c r="G135" s="12">
        <v>1</v>
      </c>
      <c r="H135" s="18">
        <f>COUNTIFS('Rote Karten'!$A$2:$A$4,$A135,'Rote Karten'!$D$2:$D$4,"&lt;&gt;"&amp;$B135,'Rote Karten'!$B$2:$B$4,"&lt;"&amp;$F135,'Rote Karten'!$C$2:$C$4,"&lt;="&amp;$G135)-COUNTIFS('Rote Karten'!$A$2:$A$4,$A135,'Rote Karten'!$D$2:$D$4,$B135,'Rote Karten'!$B$2:$B$4,"&lt;"&amp;$F135,'Rote Karten'!$C$2:$C$4,"&lt;="&amp;$G135)</f>
        <v>0</v>
      </c>
      <c r="I135" s="17" t="str">
        <f>IF(OR($L135="Tor",$L135="ET"),_xlfn.IFNA(IF(VLOOKUP($A135,Spiele!$A$2:$C$15,3,FALSE)=$B135,COUNTIFS($L$2:$L135,"Tor",$B$2:$B135,$B135,$A$2:$A135,$A135)+COUNTIFS($L$2:$L135,"ET",$B$2:$B135,$B135,$A$2:$A135,$A135)&amp;":"&amp;COUNTIFS($L$2:$L135,"Tor",$B$2:$B135,"&lt;&gt;"&amp;$B135,$A$2:$A135,$A135)+COUNTIFS($L$2:$L135,"ET",$B$2:$B135,"&lt;&gt;"&amp;$B135,$A$2:$A135,$A135),COUNTIFS($L$2:$L135,"Tor",$B$2:$B135,"&lt;&gt;"&amp;$B135,$A$2:$A135,$A135)+COUNTIFS($L$2:$L135,"ET",$B$2:$B135,"&lt;&gt;"&amp;$B135,$A$2:$A135,$A135)&amp;":"&amp;COUNTIFS($L$2:$L135,"Tor",$B$2:$B135,$B135,$A$2:$A135,$A135)+COUNTIFS($L$2:$L135,"ET",$B$2:$B135,$B135,$A$2:$A135,$A135)),""),"")</f>
        <v/>
      </c>
      <c r="J135" s="18">
        <f>_xlfn.IFNA(IF(VLOOKUP($A135,Spiele!$A$2:$D$15,3,FALSE)=$B135,(COUNTIFS($L$1:$L134,"Tor",$B$1:$B134,$B135,$A$1:$A134,$A135)+COUNTIFS($L$1:$L134,"ET",$B$1:$B134,$B135,$A$1:$A134,$A135))-(COUNTIFS($L$1:$L134,"Tor",$B$1:$B134,"&lt;&gt;"&amp;$B135,$A$1:$A134,$A135)+COUNTIFS($L$1:$L134,"ET",$B$1:$B134,"&lt;&gt;"&amp;$B135,$A$1:$A134,$A135)),(COUNTIFS($L$1:$L134,"Tor",$B$1:$B134,$B135,$A$1:$A134,$A135)+COUNTIFS($L$1:$L134,"ET",$B$1:$B134,$B135,$A$1:$A134,$A135))-(COUNTIFS($L$1:$L134,"Tor",$B$1:$B134,"&lt;&gt;"&amp;$B135,$A$1:$A134,$A135)+COUNTIFS($L$1:$L134,"ET",$B$1:$B134,"&lt;&gt;"&amp;$B135,$A$1:$A134,$A135))),"")</f>
        <v>-1</v>
      </c>
      <c r="K135" s="3">
        <v>10</v>
      </c>
      <c r="L135" s="17" t="s">
        <v>19</v>
      </c>
      <c r="M135" s="2" t="s">
        <v>163</v>
      </c>
      <c r="N135" s="2" t="s">
        <v>158</v>
      </c>
      <c r="X135" s="2" t="s">
        <v>142</v>
      </c>
      <c r="Y135" s="17" t="s">
        <v>149</v>
      </c>
      <c r="Z135" s="14" t="s">
        <v>150</v>
      </c>
      <c r="AA135" s="14" t="s">
        <v>145</v>
      </c>
      <c r="AB135" s="18"/>
      <c r="AC135" s="13">
        <v>-8</v>
      </c>
      <c r="AD135" s="13">
        <v>14.5</v>
      </c>
      <c r="AE135" s="19">
        <f t="shared" ref="AE135:AE201" si="8">IF($L135="ET","",IF($AC135&gt;3.66,SQRT($AD135^2+($AC135-(7.32/2))^2),IF($AC135&lt;-3.66,SQRT($AD135^2+($AC135+(7.32/2))^2),$AD135)))</f>
        <v>15.135573989776535</v>
      </c>
      <c r="AF135" s="19">
        <f t="shared" ref="AF135:AF201" si="9">IF($L135="ET","",IF(DEGREES(ATAN((7.32*$AD135)/($AD135^2+$AC135^2-(7.32/2)^2)))&lt;=0,180+DEGREES(ATAN((7.32*$AD135)/($AD135^2+$AC135^2-(7.32/2)^2))),DEGREES(ATAN((7.32*$AD135)/($AD135^2+$AC135^2-(7.32/2)^2)))))</f>
        <v>22.141095680440266</v>
      </c>
      <c r="AG135" s="2" t="s">
        <v>146</v>
      </c>
      <c r="AH135" s="13">
        <v>-2</v>
      </c>
      <c r="AI135" s="13">
        <v>1</v>
      </c>
      <c r="AJ135" s="19">
        <f>IF(Abschlüsse[[#This Row],[Ergeb]]="ET","",SQRT(($AC135-$AH135)^2+($AD135-$AI135)^2))</f>
        <v>14.773286702694158</v>
      </c>
      <c r="AK135" s="3">
        <v>1</v>
      </c>
      <c r="AL135" s="13">
        <v>-6</v>
      </c>
      <c r="AM135" s="13">
        <v>14</v>
      </c>
      <c r="AN135" s="19">
        <f t="shared" ref="AN135:AN202" si="10">IF(AK135=0,"",SQRT(($AC135-$AL135)^2+($AD135-$AM135)^2))</f>
        <v>2.0615528128088303</v>
      </c>
      <c r="AO135" s="3">
        <v>2</v>
      </c>
      <c r="AP135" s="13">
        <v>-6</v>
      </c>
      <c r="AQ135" s="13">
        <v>13</v>
      </c>
      <c r="AR135" s="19">
        <f t="shared" ref="AR135:AR202" si="11">IF(AO135=0,"",SQRT(($AC135-$AP135)^2+($AD135-$AQ135)^2))</f>
        <v>2.5</v>
      </c>
    </row>
    <row r="136" spans="1:44" ht="25.05" customHeight="1">
      <c r="A136" s="3">
        <v>6</v>
      </c>
      <c r="B136" s="2" t="s">
        <v>64</v>
      </c>
      <c r="C136" s="17" t="str">
        <f>IF($A136="","",IF(VLOOKUP($A136,Spiele!$A$2:$D$15,3,FALSE)=$B136,"H","G"))</f>
        <v>H</v>
      </c>
      <c r="D136" s="17" t="str">
        <f>IF($B136="","",IF(VLOOKUP($A136,Spiele!$A$2:$F$15,3,FALSE)=$B136,VLOOKUP($A136,Spiele!$A$2:$F$15,4,FALSE),VLOOKUP($A136,Spiele!$A$2:$F$15,3,FALSE)))</f>
        <v>FCN</v>
      </c>
      <c r="E136" s="18">
        <f>IF(Abschlüsse[[#This Row],[Ergeb]]="ET",0,COUNTIFS($A$2:$A136,$A136,$B$2:$B136,$B136,$L$2:$L136,"&lt;&gt;ET"))</f>
        <v>8</v>
      </c>
      <c r="F136" s="11">
        <v>35</v>
      </c>
      <c r="G136" s="12">
        <v>1</v>
      </c>
      <c r="H136" s="18">
        <f>COUNTIFS('Rote Karten'!$A$2:$A$4,$A136,'Rote Karten'!$D$2:$D$4,"&lt;&gt;"&amp;$B136,'Rote Karten'!$B$2:$B$4,"&lt;"&amp;$F136,'Rote Karten'!$C$2:$C$4,"&lt;="&amp;$G136)-COUNTIFS('Rote Karten'!$A$2:$A$4,$A136,'Rote Karten'!$D$2:$D$4,$B136,'Rote Karten'!$B$2:$B$4,"&lt;"&amp;$F136,'Rote Karten'!$C$2:$C$4,"&lt;="&amp;$G136)</f>
        <v>0</v>
      </c>
      <c r="I136" s="17" t="str">
        <f>IF(OR($L136="Tor",$L136="ET"),_xlfn.IFNA(IF(VLOOKUP($A136,Spiele!$A$2:$C$15,3,FALSE)=$B136,COUNTIFS($L$2:$L136,"Tor",$B$2:$B136,$B136,$A$2:$A136,$A136)+COUNTIFS($L$2:$L136,"ET",$B$2:$B136,$B136,$A$2:$A136,$A136)&amp;":"&amp;COUNTIFS($L$2:$L136,"Tor",$B$2:$B136,"&lt;&gt;"&amp;$B136,$A$2:$A136,$A136)+COUNTIFS($L$2:$L136,"ET",$B$2:$B136,"&lt;&gt;"&amp;$B136,$A$2:$A136,$A136),COUNTIFS($L$2:$L136,"Tor",$B$2:$B136,"&lt;&gt;"&amp;$B136,$A$2:$A136,$A136)+COUNTIFS($L$2:$L136,"ET",$B$2:$B136,"&lt;&gt;"&amp;$B136,$A$2:$A136,$A136)&amp;":"&amp;COUNTIFS($L$2:$L136,"Tor",$B$2:$B136,$B136,$A$2:$A136,$A136)+COUNTIFS($L$2:$L136,"ET",$B$2:$B136,$B136,$A$2:$A136,$A136)),""),"")</f>
        <v/>
      </c>
      <c r="J136" s="18">
        <f>_xlfn.IFNA(IF(VLOOKUP($A136,Spiele!$A$2:$D$15,3,FALSE)=$B136,(COUNTIFS($L$1:$L135,"Tor",$B$1:$B135,$B136,$A$1:$A135,$A136)+COUNTIFS($L$1:$L135,"ET",$B$1:$B135,$B136,$A$1:$A135,$A136))-(COUNTIFS($L$1:$L135,"Tor",$B$1:$B135,"&lt;&gt;"&amp;$B136,$A$1:$A135,$A136)+COUNTIFS($L$1:$L135,"ET",$B$1:$B135,"&lt;&gt;"&amp;$B136,$A$1:$A135,$A136)),(COUNTIFS($L$1:$L135,"Tor",$B$1:$B135,$B136,$A$1:$A135,$A136)+COUNTIFS($L$1:$L135,"ET",$B$1:$B135,$B136,$A$1:$A135,$A136))-(COUNTIFS($L$1:$L135,"Tor",$B$1:$B135,"&lt;&gt;"&amp;$B136,$A$1:$A135,$A136)+COUNTIFS($L$1:$L135,"ET",$B$1:$B135,"&lt;&gt;"&amp;$B136,$A$1:$A135,$A136))),"")</f>
        <v>-1</v>
      </c>
      <c r="K136" s="3">
        <v>11</v>
      </c>
      <c r="L136" s="17" t="s">
        <v>18</v>
      </c>
      <c r="M136" s="2" t="s">
        <v>163</v>
      </c>
      <c r="N136" s="2" t="s">
        <v>152</v>
      </c>
      <c r="X136" s="2" t="s">
        <v>151</v>
      </c>
      <c r="Y136" s="17" t="s">
        <v>149</v>
      </c>
      <c r="Z136" s="14" t="s">
        <v>150</v>
      </c>
      <c r="AA136" s="14" t="s">
        <v>156</v>
      </c>
      <c r="AB136" s="18"/>
      <c r="AC136" s="13">
        <v>-9</v>
      </c>
      <c r="AD136" s="13">
        <v>8</v>
      </c>
      <c r="AE136" s="19">
        <f t="shared" si="8"/>
        <v>9.6185030020268751</v>
      </c>
      <c r="AF136" s="19">
        <f t="shared" si="9"/>
        <v>23.987625651584761</v>
      </c>
      <c r="AG136" s="2" t="s">
        <v>146</v>
      </c>
      <c r="AH136" s="13">
        <v>-5</v>
      </c>
      <c r="AI136" s="13">
        <v>2.5</v>
      </c>
      <c r="AJ136" s="19">
        <f>IF(Abschlüsse[[#This Row],[Ergeb]]="ET","",SQRT(($AC136-$AH136)^2+($AD136-$AI136)^2))</f>
        <v>6.800735254367722</v>
      </c>
      <c r="AK136" s="3">
        <v>1</v>
      </c>
      <c r="AL136" s="13">
        <v>-6.5</v>
      </c>
      <c r="AM136" s="13">
        <v>8.5</v>
      </c>
      <c r="AN136" s="19">
        <f t="shared" si="10"/>
        <v>2.5495097567963922</v>
      </c>
      <c r="AO136" s="3">
        <v>0</v>
      </c>
      <c r="AR136" s="19" t="str">
        <f t="shared" si="11"/>
        <v/>
      </c>
    </row>
    <row r="137" spans="1:44" ht="25.05" customHeight="1">
      <c r="A137" s="3">
        <v>6</v>
      </c>
      <c r="B137" s="2" t="s">
        <v>8</v>
      </c>
      <c r="C137" s="17" t="str">
        <f>IF($A137="","",IF(VLOOKUP($A137,Spiele!$A$2:$D$15,3,FALSE)=$B137,"H","G"))</f>
        <v>G</v>
      </c>
      <c r="D137" s="17" t="str">
        <f>IF($B137="","",IF(VLOOKUP($A137,Spiele!$A$2:$F$15,3,FALSE)=$B137,VLOOKUP($A137,Spiele!$A$2:$F$15,4,FALSE),VLOOKUP($A137,Spiele!$A$2:$F$15,3,FALSE)))</f>
        <v>FWK</v>
      </c>
      <c r="E137" s="18">
        <f>IF(Abschlüsse[[#This Row],[Ergeb]]="ET",0,COUNTIFS($A$2:$A137,$A137,$B$2:$B137,$B137,$L$2:$L137,"&lt;&gt;ET"))</f>
        <v>5</v>
      </c>
      <c r="F137" s="11">
        <v>36</v>
      </c>
      <c r="G137" s="12">
        <v>1</v>
      </c>
      <c r="H137" s="18">
        <f>COUNTIFS('Rote Karten'!$A$2:$A$4,$A137,'Rote Karten'!$D$2:$D$4,"&lt;&gt;"&amp;$B137,'Rote Karten'!$B$2:$B$4,"&lt;"&amp;$F137,'Rote Karten'!$C$2:$C$4,"&lt;="&amp;$G137)-COUNTIFS('Rote Karten'!$A$2:$A$4,$A137,'Rote Karten'!$D$2:$D$4,$B137,'Rote Karten'!$B$2:$B$4,"&lt;"&amp;$F137,'Rote Karten'!$C$2:$C$4,"&lt;="&amp;$G137)</f>
        <v>0</v>
      </c>
      <c r="I137" s="17" t="str">
        <f>IF(OR($L137="Tor",$L137="ET"),_xlfn.IFNA(IF(VLOOKUP($A137,Spiele!$A$2:$C$15,3,FALSE)=$B137,COUNTIFS($L$2:$L137,"Tor",$B$2:$B137,$B137,$A$2:$A137,$A137)+COUNTIFS($L$2:$L137,"ET",$B$2:$B137,$B137,$A$2:$A137,$A137)&amp;":"&amp;COUNTIFS($L$2:$L137,"Tor",$B$2:$B137,"&lt;&gt;"&amp;$B137,$A$2:$A137,$A137)+COUNTIFS($L$2:$L137,"ET",$B$2:$B137,"&lt;&gt;"&amp;$B137,$A$2:$A137,$A137),COUNTIFS($L$2:$L137,"Tor",$B$2:$B137,"&lt;&gt;"&amp;$B137,$A$2:$A137,$A137)+COUNTIFS($L$2:$L137,"ET",$B$2:$B137,"&lt;&gt;"&amp;$B137,$A$2:$A137,$A137)&amp;":"&amp;COUNTIFS($L$2:$L137,"Tor",$B$2:$B137,$B137,$A$2:$A137,$A137)+COUNTIFS($L$2:$L137,"ET",$B$2:$B137,$B137,$A$2:$A137,$A137)),""),"")</f>
        <v>1:3</v>
      </c>
      <c r="J137" s="18">
        <f>_xlfn.IFNA(IF(VLOOKUP($A137,Spiele!$A$2:$D$15,3,FALSE)=$B137,(COUNTIFS($L$1:$L136,"Tor",$B$1:$B136,$B137,$A$1:$A136,$A137)+COUNTIFS($L$1:$L136,"ET",$B$1:$B136,$B137,$A$1:$A136,$A137))-(COUNTIFS($L$1:$L136,"Tor",$B$1:$B136,"&lt;&gt;"&amp;$B137,$A$1:$A136,$A137)+COUNTIFS($L$1:$L136,"ET",$B$1:$B136,"&lt;&gt;"&amp;$B137,$A$1:$A136,$A137)),(COUNTIFS($L$1:$L136,"Tor",$B$1:$B136,$B137,$A$1:$A136,$A137)+COUNTIFS($L$1:$L136,"ET",$B$1:$B136,$B137,$A$1:$A136,$A137))-(COUNTIFS($L$1:$L136,"Tor",$B$1:$B136,"&lt;&gt;"&amp;$B137,$A$1:$A136,$A137)+COUNTIFS($L$1:$L136,"ET",$B$1:$B136,"&lt;&gt;"&amp;$B137,$A$1:$A136,$A137))),"")</f>
        <v>1</v>
      </c>
      <c r="K137" s="3">
        <v>12</v>
      </c>
      <c r="L137" s="17" t="s">
        <v>0</v>
      </c>
      <c r="M137" s="2" t="s">
        <v>147</v>
      </c>
      <c r="N137" s="2" t="s">
        <v>178</v>
      </c>
      <c r="O137" s="2">
        <v>7</v>
      </c>
      <c r="P137" s="2">
        <v>10</v>
      </c>
      <c r="Q137" s="2">
        <v>8</v>
      </c>
      <c r="R137" s="2">
        <v>23</v>
      </c>
      <c r="S137" s="2">
        <v>20</v>
      </c>
      <c r="X137" s="2" t="s">
        <v>142</v>
      </c>
      <c r="Y137" s="17" t="s">
        <v>143</v>
      </c>
      <c r="Z137" s="14" t="s">
        <v>150</v>
      </c>
      <c r="AA137" s="14" t="s">
        <v>145</v>
      </c>
      <c r="AB137" s="18">
        <v>4</v>
      </c>
      <c r="AC137" s="13">
        <v>-3</v>
      </c>
      <c r="AD137" s="13">
        <v>5.5</v>
      </c>
      <c r="AE137" s="19">
        <f t="shared" si="8"/>
        <v>5.5</v>
      </c>
      <c r="AF137" s="19">
        <f t="shared" si="9"/>
        <v>57.291999541595608</v>
      </c>
      <c r="AG137" s="2" t="s">
        <v>166</v>
      </c>
      <c r="AJ137" s="19">
        <f>IF(Abschlüsse[[#This Row],[Ergeb]]="ET","",SQRT(($AC137-$AH137)^2+($AD137-$AI137)^2))</f>
        <v>6.2649820430708338</v>
      </c>
      <c r="AK137" s="3">
        <v>1</v>
      </c>
      <c r="AL137" s="13">
        <v>-0.5</v>
      </c>
      <c r="AM137" s="13">
        <v>6</v>
      </c>
      <c r="AN137" s="19">
        <f t="shared" si="10"/>
        <v>2.5495097567963922</v>
      </c>
      <c r="AO137" s="3">
        <v>1</v>
      </c>
      <c r="AP137" s="13">
        <v>-0.5</v>
      </c>
      <c r="AQ137" s="13">
        <v>0</v>
      </c>
      <c r="AR137" s="19">
        <f t="shared" si="11"/>
        <v>6.0415229867972862</v>
      </c>
    </row>
    <row r="138" spans="1:44" ht="25.05" customHeight="1">
      <c r="A138" s="3">
        <v>6</v>
      </c>
      <c r="B138" s="2" t="s">
        <v>64</v>
      </c>
      <c r="C138" s="17" t="str">
        <f>IF($A138="","",IF(VLOOKUP($A138,Spiele!$A$2:$D$15,3,FALSE)=$B138,"H","G"))</f>
        <v>H</v>
      </c>
      <c r="D138" s="17" t="str">
        <f>IF($B138="","",IF(VLOOKUP($A138,Spiele!$A$2:$F$15,3,FALSE)=$B138,VLOOKUP($A138,Spiele!$A$2:$F$15,4,FALSE),VLOOKUP($A138,Spiele!$A$2:$F$15,3,FALSE)))</f>
        <v>FCN</v>
      </c>
      <c r="E138" s="18">
        <f>IF(Abschlüsse[[#This Row],[Ergeb]]="ET",0,COUNTIFS($A$2:$A138,$A138,$B$2:$B138,$B138,$L$2:$L138,"&lt;&gt;ET"))</f>
        <v>9</v>
      </c>
      <c r="F138" s="11">
        <v>38</v>
      </c>
      <c r="G138" s="12">
        <v>1</v>
      </c>
      <c r="H138" s="18">
        <f>COUNTIFS('Rote Karten'!$A$2:$A$4,$A138,'Rote Karten'!$D$2:$D$4,"&lt;&gt;"&amp;$B138,'Rote Karten'!$B$2:$B$4,"&lt;"&amp;$F138,'Rote Karten'!$C$2:$C$4,"&lt;="&amp;$G138)-COUNTIFS('Rote Karten'!$A$2:$A$4,$A138,'Rote Karten'!$D$2:$D$4,$B138,'Rote Karten'!$B$2:$B$4,"&lt;"&amp;$F138,'Rote Karten'!$C$2:$C$4,"&lt;="&amp;$G138)</f>
        <v>0</v>
      </c>
      <c r="I138" s="17" t="str">
        <f>IF(OR($L138="Tor",$L138="ET"),_xlfn.IFNA(IF(VLOOKUP($A138,Spiele!$A$2:$C$15,3,FALSE)=$B138,COUNTIFS($L$2:$L138,"Tor",$B$2:$B138,$B138,$A$2:$A138,$A138)+COUNTIFS($L$2:$L138,"ET",$B$2:$B138,$B138,$A$2:$A138,$A138)&amp;":"&amp;COUNTIFS($L$2:$L138,"Tor",$B$2:$B138,"&lt;&gt;"&amp;$B138,$A$2:$A138,$A138)+COUNTIFS($L$2:$L138,"ET",$B$2:$B138,"&lt;&gt;"&amp;$B138,$A$2:$A138,$A138),COUNTIFS($L$2:$L138,"Tor",$B$2:$B138,"&lt;&gt;"&amp;$B138,$A$2:$A138,$A138)+COUNTIFS($L$2:$L138,"ET",$B$2:$B138,"&lt;&gt;"&amp;$B138,$A$2:$A138,$A138)&amp;":"&amp;COUNTIFS($L$2:$L138,"Tor",$B$2:$B138,$B138,$A$2:$A138,$A138)+COUNTIFS($L$2:$L138,"ET",$B$2:$B138,$B138,$A$2:$A138,$A138)),""),"")</f>
        <v/>
      </c>
      <c r="J138" s="18">
        <f>_xlfn.IFNA(IF(VLOOKUP($A138,Spiele!$A$2:$D$15,3,FALSE)=$B138,(COUNTIFS($L$1:$L137,"Tor",$B$1:$B137,$B138,$A$1:$A137,$A138)+COUNTIFS($L$1:$L137,"ET",$B$1:$B137,$B138,$A$1:$A137,$A138))-(COUNTIFS($L$1:$L137,"Tor",$B$1:$B137,"&lt;&gt;"&amp;$B138,$A$1:$A137,$A138)+COUNTIFS($L$1:$L137,"ET",$B$1:$B137,"&lt;&gt;"&amp;$B138,$A$1:$A137,$A138)),(COUNTIFS($L$1:$L137,"Tor",$B$1:$B137,$B138,$A$1:$A137,$A138)+COUNTIFS($L$1:$L137,"ET",$B$1:$B137,$B138,$A$1:$A137,$A138))-(COUNTIFS($L$1:$L137,"Tor",$B$1:$B137,"&lt;&gt;"&amp;$B138,$A$1:$A137,$A138)+COUNTIFS($L$1:$L137,"ET",$B$1:$B137,"&lt;&gt;"&amp;$B138,$A$1:$A137,$A138))),"")</f>
        <v>-2</v>
      </c>
      <c r="K138" s="3">
        <v>13</v>
      </c>
      <c r="L138" s="17" t="s">
        <v>19</v>
      </c>
      <c r="M138" s="2" t="s">
        <v>173</v>
      </c>
      <c r="N138" s="2" t="s">
        <v>173</v>
      </c>
      <c r="X138" s="2" t="s">
        <v>154</v>
      </c>
      <c r="Y138" s="17" t="s">
        <v>143</v>
      </c>
      <c r="Z138" s="14" t="s">
        <v>150</v>
      </c>
      <c r="AA138" s="14" t="s">
        <v>156</v>
      </c>
      <c r="AB138" s="18"/>
      <c r="AC138" s="13">
        <v>4.5</v>
      </c>
      <c r="AD138" s="13">
        <v>7.5</v>
      </c>
      <c r="AE138" s="19">
        <f t="shared" si="8"/>
        <v>7.5468934005986856</v>
      </c>
      <c r="AF138" s="19">
        <f t="shared" si="9"/>
        <v>41.022841118202912</v>
      </c>
      <c r="AG138" s="2" t="s">
        <v>146</v>
      </c>
      <c r="AH138" s="13">
        <v>1.5</v>
      </c>
      <c r="AI138" s="13">
        <v>0.5</v>
      </c>
      <c r="AJ138" s="19">
        <f>IF(Abschlüsse[[#This Row],[Ergeb]]="ET","",SQRT(($AC138-$AH138)^2+($AD138-$AI138)^2))</f>
        <v>7.6157731058639087</v>
      </c>
      <c r="AK138" s="3">
        <v>2</v>
      </c>
      <c r="AL138" s="13">
        <v>6</v>
      </c>
      <c r="AM138" s="13">
        <v>8</v>
      </c>
      <c r="AN138" s="19">
        <f t="shared" si="10"/>
        <v>1.5811388300841898</v>
      </c>
      <c r="AO138" s="3">
        <v>1</v>
      </c>
      <c r="AP138" s="13">
        <v>1</v>
      </c>
      <c r="AQ138" s="13">
        <v>3.5</v>
      </c>
      <c r="AR138" s="19">
        <f t="shared" si="11"/>
        <v>5.315072906367325</v>
      </c>
    </row>
    <row r="139" spans="1:44" ht="25.05" customHeight="1">
      <c r="A139" s="3">
        <v>6</v>
      </c>
      <c r="B139" s="2" t="s">
        <v>8</v>
      </c>
      <c r="C139" s="17" t="str">
        <f>IF($A139="","",IF(VLOOKUP($A139,Spiele!$A$2:$D$15,3,FALSE)=$B139,"H","G"))</f>
        <v>G</v>
      </c>
      <c r="D139" s="17" t="str">
        <f>IF($B139="","",IF(VLOOKUP($A139,Spiele!$A$2:$F$15,3,FALSE)=$B139,VLOOKUP($A139,Spiele!$A$2:$F$15,4,FALSE),VLOOKUP($A139,Spiele!$A$2:$F$15,3,FALSE)))</f>
        <v>FWK</v>
      </c>
      <c r="E139" s="18">
        <f>IF(Abschlüsse[[#This Row],[Ergeb]]="ET",0,COUNTIFS($A$2:$A139,$A139,$B$2:$B139,$B139,$L$2:$L139,"&lt;&gt;ET"))</f>
        <v>6</v>
      </c>
      <c r="F139" s="11">
        <v>41</v>
      </c>
      <c r="G139" s="12">
        <v>2</v>
      </c>
      <c r="H139" s="18">
        <f>COUNTIFS('Rote Karten'!$A$2:$A$4,$A139,'Rote Karten'!$D$2:$D$4,"&lt;&gt;"&amp;$B139,'Rote Karten'!$B$2:$B$4,"&lt;"&amp;$F139,'Rote Karten'!$C$2:$C$4,"&lt;="&amp;$G139)-COUNTIFS('Rote Karten'!$A$2:$A$4,$A139,'Rote Karten'!$D$2:$D$4,$B139,'Rote Karten'!$B$2:$B$4,"&lt;"&amp;$F139,'Rote Karten'!$C$2:$C$4,"&lt;="&amp;$G139)</f>
        <v>0</v>
      </c>
      <c r="I139" s="17" t="str">
        <f>IF(OR($L139="Tor",$L139="ET"),_xlfn.IFNA(IF(VLOOKUP($A139,Spiele!$A$2:$C$15,3,FALSE)=$B139,COUNTIFS($L$2:$L139,"Tor",$B$2:$B139,$B139,$A$2:$A139,$A139)+COUNTIFS($L$2:$L139,"ET",$B$2:$B139,$B139,$A$2:$A139,$A139)&amp;":"&amp;COUNTIFS($L$2:$L139,"Tor",$B$2:$B139,"&lt;&gt;"&amp;$B139,$A$2:$A139,$A139)+COUNTIFS($L$2:$L139,"ET",$B$2:$B139,"&lt;&gt;"&amp;$B139,$A$2:$A139,$A139),COUNTIFS($L$2:$L139,"Tor",$B$2:$B139,"&lt;&gt;"&amp;$B139,$A$2:$A139,$A139)+COUNTIFS($L$2:$L139,"ET",$B$2:$B139,"&lt;&gt;"&amp;$B139,$A$2:$A139,$A139)&amp;":"&amp;COUNTIFS($L$2:$L139,"Tor",$B$2:$B139,$B139,$A$2:$A139,$A139)+COUNTIFS($L$2:$L139,"ET",$B$2:$B139,$B139,$A$2:$A139,$A139)),""),"")</f>
        <v/>
      </c>
      <c r="J139" s="18">
        <f>_xlfn.IFNA(IF(VLOOKUP($A139,Spiele!$A$2:$D$15,3,FALSE)=$B139,(COUNTIFS($L$1:$L138,"Tor",$B$1:$B138,$B139,$A$1:$A138,$A139)+COUNTIFS($L$1:$L138,"ET",$B$1:$B138,$B139,$A$1:$A138,$A139))-(COUNTIFS($L$1:$L138,"Tor",$B$1:$B138,"&lt;&gt;"&amp;$B139,$A$1:$A138,$A139)+COUNTIFS($L$1:$L138,"ET",$B$1:$B138,"&lt;&gt;"&amp;$B139,$A$1:$A138,$A139)),(COUNTIFS($L$1:$L138,"Tor",$B$1:$B138,$B139,$A$1:$A138,$A139)+COUNTIFS($L$1:$L138,"ET",$B$1:$B138,$B139,$A$1:$A138,$A139))-(COUNTIFS($L$1:$L138,"Tor",$B$1:$B138,"&lt;&gt;"&amp;$B139,$A$1:$A138,$A139)+COUNTIFS($L$1:$L138,"ET",$B$1:$B138,"&lt;&gt;"&amp;$B139,$A$1:$A138,$A139))),"")</f>
        <v>2</v>
      </c>
      <c r="K139" s="3">
        <v>14</v>
      </c>
      <c r="L139" s="17" t="s">
        <v>18</v>
      </c>
      <c r="M139" s="2" t="s">
        <v>163</v>
      </c>
      <c r="N139" s="2" t="s">
        <v>158</v>
      </c>
      <c r="O139" s="2">
        <v>26</v>
      </c>
      <c r="X139" s="2" t="s">
        <v>151</v>
      </c>
      <c r="Y139" s="17" t="s">
        <v>143</v>
      </c>
      <c r="Z139" s="14" t="s">
        <v>150</v>
      </c>
      <c r="AA139" s="14" t="s">
        <v>156</v>
      </c>
      <c r="AB139" s="18">
        <v>8</v>
      </c>
      <c r="AC139" s="13">
        <v>-5</v>
      </c>
      <c r="AD139" s="13">
        <v>16.5</v>
      </c>
      <c r="AE139" s="19">
        <f t="shared" si="8"/>
        <v>16.554322698316593</v>
      </c>
      <c r="AF139" s="19">
        <f t="shared" si="9"/>
        <v>23.049744594068812</v>
      </c>
      <c r="AG139" s="2" t="s">
        <v>146</v>
      </c>
      <c r="AH139" s="13">
        <v>-0.56999999999999995</v>
      </c>
      <c r="AI139" s="13">
        <v>2</v>
      </c>
      <c r="AJ139" s="19">
        <f>IF(Abschlüsse[[#This Row],[Ergeb]]="ET","",SQRT(($AC139-$AH139)^2+($AD139-$AI139)^2))</f>
        <v>15.161625902257317</v>
      </c>
      <c r="AK139" s="3">
        <v>2</v>
      </c>
      <c r="AL139" s="13">
        <v>-5.5</v>
      </c>
      <c r="AM139" s="13">
        <v>17.5</v>
      </c>
      <c r="AN139" s="19">
        <f t="shared" si="10"/>
        <v>1.1180339887498949</v>
      </c>
      <c r="AO139" s="3">
        <v>0</v>
      </c>
      <c r="AR139" s="19" t="str">
        <f t="shared" si="11"/>
        <v/>
      </c>
    </row>
    <row r="140" spans="1:44" ht="25.05" customHeight="1">
      <c r="A140" s="3">
        <v>6</v>
      </c>
      <c r="B140" s="2" t="s">
        <v>8</v>
      </c>
      <c r="C140" s="17" t="str">
        <f>IF($A140="","",IF(VLOOKUP($A140,Spiele!$A$2:$D$15,3,FALSE)=$B140,"H","G"))</f>
        <v>G</v>
      </c>
      <c r="D140" s="17" t="str">
        <f>IF($B140="","",IF(VLOOKUP($A140,Spiele!$A$2:$F$15,3,FALSE)=$B140,VLOOKUP($A140,Spiele!$A$2:$F$15,4,FALSE),VLOOKUP($A140,Spiele!$A$2:$F$15,3,FALSE)))</f>
        <v>FWK</v>
      </c>
      <c r="E140" s="18">
        <f>IF(Abschlüsse[[#This Row],[Ergeb]]="ET",0,COUNTIFS($A$2:$A140,$A140,$B$2:$B140,$B140,$L$2:$L140,"&lt;&gt;ET"))</f>
        <v>7</v>
      </c>
      <c r="F140" s="11">
        <v>45</v>
      </c>
      <c r="G140" s="12">
        <v>2</v>
      </c>
      <c r="H140" s="18">
        <f>COUNTIFS('Rote Karten'!$A$2:$A$4,$A140,'Rote Karten'!$D$2:$D$4,"&lt;&gt;"&amp;$B140,'Rote Karten'!$B$2:$B$4,"&lt;"&amp;$F140,'Rote Karten'!$C$2:$C$4,"&lt;="&amp;$G140)-COUNTIFS('Rote Karten'!$A$2:$A$4,$A140,'Rote Karten'!$D$2:$D$4,$B140,'Rote Karten'!$B$2:$B$4,"&lt;"&amp;$F140,'Rote Karten'!$C$2:$C$4,"&lt;="&amp;$G140)</f>
        <v>0</v>
      </c>
      <c r="I140" s="17" t="str">
        <f>IF(OR($L140="Tor",$L140="ET"),_xlfn.IFNA(IF(VLOOKUP($A140,Spiele!$A$2:$C$15,3,FALSE)=$B140,COUNTIFS($L$2:$L140,"Tor",$B$2:$B140,$B140,$A$2:$A140,$A140)+COUNTIFS($L$2:$L140,"ET",$B$2:$B140,$B140,$A$2:$A140,$A140)&amp;":"&amp;COUNTIFS($L$2:$L140,"Tor",$B$2:$B140,"&lt;&gt;"&amp;$B140,$A$2:$A140,$A140)+COUNTIFS($L$2:$L140,"ET",$B$2:$B140,"&lt;&gt;"&amp;$B140,$A$2:$A140,$A140),COUNTIFS($L$2:$L140,"Tor",$B$2:$B140,"&lt;&gt;"&amp;$B140,$A$2:$A140,$A140)+COUNTIFS($L$2:$L140,"ET",$B$2:$B140,"&lt;&gt;"&amp;$B140,$A$2:$A140,$A140)&amp;":"&amp;COUNTIFS($L$2:$L140,"Tor",$B$2:$B140,$B140,$A$2:$A140,$A140)+COUNTIFS($L$2:$L140,"ET",$B$2:$B140,$B140,$A$2:$A140,$A140)),""),"")</f>
        <v/>
      </c>
      <c r="J140" s="18">
        <f>_xlfn.IFNA(IF(VLOOKUP($A140,Spiele!$A$2:$D$15,3,FALSE)=$B140,(COUNTIFS($L$1:$L139,"Tor",$B$1:$B139,$B140,$A$1:$A139,$A140)+COUNTIFS($L$1:$L139,"ET",$B$1:$B139,$B140,$A$1:$A139,$A140))-(COUNTIFS($L$1:$L139,"Tor",$B$1:$B139,"&lt;&gt;"&amp;$B140,$A$1:$A139,$A140)+COUNTIFS($L$1:$L139,"ET",$B$1:$B139,"&lt;&gt;"&amp;$B140,$A$1:$A139,$A140)),(COUNTIFS($L$1:$L139,"Tor",$B$1:$B139,$B140,$A$1:$A139,$A140)+COUNTIFS($L$1:$L139,"ET",$B$1:$B139,$B140,$A$1:$A139,$A140))-(COUNTIFS($L$1:$L139,"Tor",$B$1:$B139,"&lt;&gt;"&amp;$B140,$A$1:$A139,$A140)+COUNTIFS($L$1:$L139,"ET",$B$1:$B139,"&lt;&gt;"&amp;$B140,$A$1:$A139,$A140))),"")</f>
        <v>2</v>
      </c>
      <c r="K140" s="3">
        <v>15</v>
      </c>
      <c r="L140" s="17" t="s">
        <v>18</v>
      </c>
      <c r="M140" s="2" t="s">
        <v>163</v>
      </c>
      <c r="N140" s="2" t="s">
        <v>3</v>
      </c>
      <c r="X140" s="2" t="s">
        <v>154</v>
      </c>
      <c r="Y140" s="17" t="s">
        <v>143</v>
      </c>
      <c r="Z140" s="14" t="s">
        <v>144</v>
      </c>
      <c r="AA140" s="14" t="s">
        <v>145</v>
      </c>
      <c r="AB140" s="18">
        <v>27</v>
      </c>
      <c r="AC140" s="13">
        <v>-8</v>
      </c>
      <c r="AD140" s="13">
        <v>23</v>
      </c>
      <c r="AE140" s="19">
        <f t="shared" si="8"/>
        <v>23.405888148070776</v>
      </c>
      <c r="AF140" s="19">
        <f t="shared" si="9"/>
        <v>16.197206443157352</v>
      </c>
      <c r="AG140" s="2" t="s">
        <v>146</v>
      </c>
      <c r="AH140" s="13">
        <v>-0.5</v>
      </c>
      <c r="AI140" s="13">
        <v>3</v>
      </c>
      <c r="AJ140" s="19">
        <f>IF(Abschlüsse[[#This Row],[Ergeb]]="ET","",SQRT(($AC140-$AH140)^2+($AD140-$AI140)^2))</f>
        <v>21.360009363293827</v>
      </c>
      <c r="AK140" s="3">
        <v>1</v>
      </c>
      <c r="AL140" s="13">
        <v>-7.5</v>
      </c>
      <c r="AM140" s="13">
        <v>19.5</v>
      </c>
      <c r="AN140" s="19">
        <f t="shared" si="10"/>
        <v>3.5355339059327378</v>
      </c>
      <c r="AO140" s="3">
        <v>1</v>
      </c>
      <c r="AP140" s="13">
        <v>-5.5</v>
      </c>
      <c r="AQ140" s="13">
        <v>21.5</v>
      </c>
      <c r="AR140" s="19">
        <f t="shared" si="11"/>
        <v>2.9154759474226504</v>
      </c>
    </row>
    <row r="141" spans="1:44" ht="25.05" customHeight="1">
      <c r="A141" s="3">
        <v>6</v>
      </c>
      <c r="B141" s="2" t="s">
        <v>8</v>
      </c>
      <c r="C141" s="17" t="str">
        <f>IF($A141="","",IF(VLOOKUP($A141,Spiele!$A$2:$D$15,3,FALSE)=$B141,"H","G"))</f>
        <v>G</v>
      </c>
      <c r="D141" s="17" t="str">
        <f>IF($B141="","",IF(VLOOKUP($A141,Spiele!$A$2:$F$15,3,FALSE)=$B141,VLOOKUP($A141,Spiele!$A$2:$F$15,4,FALSE),VLOOKUP($A141,Spiele!$A$2:$F$15,3,FALSE)))</f>
        <v>FWK</v>
      </c>
      <c r="E141" s="18">
        <f>IF(Abschlüsse[[#This Row],[Ergeb]]="ET",0,COUNTIFS($A$2:$A141,$A141,$B$2:$B141,$B141,$L$2:$L141,"&lt;&gt;ET"))</f>
        <v>8</v>
      </c>
      <c r="F141" s="11">
        <v>46</v>
      </c>
      <c r="G141" s="12">
        <v>2</v>
      </c>
      <c r="H141" s="18">
        <f>COUNTIFS('Rote Karten'!$A$2:$A$4,$A141,'Rote Karten'!$D$2:$D$4,"&lt;&gt;"&amp;$B141,'Rote Karten'!$B$2:$B$4,"&lt;"&amp;$F141,'Rote Karten'!$C$2:$C$4,"&lt;="&amp;$G141)-COUNTIFS('Rote Karten'!$A$2:$A$4,$A141,'Rote Karten'!$D$2:$D$4,$B141,'Rote Karten'!$B$2:$B$4,"&lt;"&amp;$F141,'Rote Karten'!$C$2:$C$4,"&lt;="&amp;$G141)</f>
        <v>0</v>
      </c>
      <c r="I141" s="17" t="str">
        <f>IF(OR($L141="Tor",$L141="ET"),_xlfn.IFNA(IF(VLOOKUP($A141,Spiele!$A$2:$C$15,3,FALSE)=$B141,COUNTIFS($L$2:$L141,"Tor",$B$2:$B141,$B141,$A$2:$A141,$A141)+COUNTIFS($L$2:$L141,"ET",$B$2:$B141,$B141,$A$2:$A141,$A141)&amp;":"&amp;COUNTIFS($L$2:$L141,"Tor",$B$2:$B141,"&lt;&gt;"&amp;$B141,$A$2:$A141,$A141)+COUNTIFS($L$2:$L141,"ET",$B$2:$B141,"&lt;&gt;"&amp;$B141,$A$2:$A141,$A141),COUNTIFS($L$2:$L141,"Tor",$B$2:$B141,"&lt;&gt;"&amp;$B141,$A$2:$A141,$A141)+COUNTIFS($L$2:$L141,"ET",$B$2:$B141,"&lt;&gt;"&amp;$B141,$A$2:$A141,$A141)&amp;":"&amp;COUNTIFS($L$2:$L141,"Tor",$B$2:$B141,$B141,$A$2:$A141,$A141)+COUNTIFS($L$2:$L141,"ET",$B$2:$B141,$B141,$A$2:$A141,$A141)),""),"")</f>
        <v/>
      </c>
      <c r="J141" s="18">
        <f>_xlfn.IFNA(IF(VLOOKUP($A141,Spiele!$A$2:$D$15,3,FALSE)=$B141,(COUNTIFS($L$1:$L140,"Tor",$B$1:$B140,$B141,$A$1:$A140,$A141)+COUNTIFS($L$1:$L140,"ET",$B$1:$B140,$B141,$A$1:$A140,$A141))-(COUNTIFS($L$1:$L140,"Tor",$B$1:$B140,"&lt;&gt;"&amp;$B141,$A$1:$A140,$A141)+COUNTIFS($L$1:$L140,"ET",$B$1:$B140,"&lt;&gt;"&amp;$B141,$A$1:$A140,$A141)),(COUNTIFS($L$1:$L140,"Tor",$B$1:$B140,$B141,$A$1:$A140,$A141)+COUNTIFS($L$1:$L140,"ET",$B$1:$B140,$B141,$A$1:$A140,$A141))-(COUNTIFS($L$1:$L140,"Tor",$B$1:$B140,"&lt;&gt;"&amp;$B141,$A$1:$A140,$A141)+COUNTIFS($L$1:$L140,"ET",$B$1:$B140,"&lt;&gt;"&amp;$B141,$A$1:$A140,$A141))),"")</f>
        <v>2</v>
      </c>
      <c r="K141" s="3">
        <v>16</v>
      </c>
      <c r="L141" s="17" t="s">
        <v>19</v>
      </c>
      <c r="M141" s="2" t="s">
        <v>163</v>
      </c>
      <c r="N141" s="2" t="s">
        <v>158</v>
      </c>
      <c r="O141" s="2">
        <v>27</v>
      </c>
      <c r="X141" s="2" t="s">
        <v>151</v>
      </c>
      <c r="Y141" s="17" t="s">
        <v>143</v>
      </c>
      <c r="Z141" s="14" t="s">
        <v>150</v>
      </c>
      <c r="AA141" s="14" t="s">
        <v>156</v>
      </c>
      <c r="AB141" s="18">
        <v>26</v>
      </c>
      <c r="AC141" s="13">
        <v>-5.5</v>
      </c>
      <c r="AD141" s="13">
        <v>26</v>
      </c>
      <c r="AE141" s="19">
        <f t="shared" si="8"/>
        <v>26.06502637635343</v>
      </c>
      <c r="AF141" s="19">
        <f t="shared" si="9"/>
        <v>15.359723570306498</v>
      </c>
      <c r="AG141" s="2" t="s">
        <v>146</v>
      </c>
      <c r="AH141" s="13">
        <v>0</v>
      </c>
      <c r="AI141" s="13">
        <v>3</v>
      </c>
      <c r="AJ141" s="19">
        <f>IF(Abschlüsse[[#This Row],[Ergeb]]="ET","",SQRT(($AC141-$AH141)^2+($AD141-$AI141)^2))</f>
        <v>23.648467180770936</v>
      </c>
      <c r="AK141" s="3">
        <v>1</v>
      </c>
      <c r="AL141" s="13">
        <v>-7</v>
      </c>
      <c r="AM141" s="13">
        <v>24.5</v>
      </c>
      <c r="AN141" s="19">
        <f t="shared" si="10"/>
        <v>2.1213203435596424</v>
      </c>
      <c r="AO141" s="3">
        <v>1</v>
      </c>
      <c r="AP141" s="13">
        <v>-3</v>
      </c>
      <c r="AQ141" s="13">
        <v>16</v>
      </c>
      <c r="AR141" s="19">
        <f t="shared" si="11"/>
        <v>10.307764064044152</v>
      </c>
    </row>
    <row r="142" spans="1:44" ht="25.05" customHeight="1">
      <c r="A142" s="3">
        <v>6</v>
      </c>
      <c r="B142" s="2" t="s">
        <v>64</v>
      </c>
      <c r="C142" s="17" t="str">
        <f>IF($A142="","",IF(VLOOKUP($A142,Spiele!$A$2:$D$15,3,FALSE)=$B142,"H","G"))</f>
        <v>H</v>
      </c>
      <c r="D142" s="17" t="str">
        <f>IF($B142="","",IF(VLOOKUP($A142,Spiele!$A$2:$F$15,3,FALSE)=$B142,VLOOKUP($A142,Spiele!$A$2:$F$15,4,FALSE),VLOOKUP($A142,Spiele!$A$2:$F$15,3,FALSE)))</f>
        <v>FCN</v>
      </c>
      <c r="E142" s="18">
        <f>IF(Abschlüsse[[#This Row],[Ergeb]]="ET",0,COUNTIFS($A$2:$A142,$A142,$B$2:$B142,$B142,$L$2:$L142,"&lt;&gt;ET"))</f>
        <v>10</v>
      </c>
      <c r="F142" s="11">
        <v>60</v>
      </c>
      <c r="G142" s="12">
        <v>2</v>
      </c>
      <c r="H142" s="18">
        <f>COUNTIFS('Rote Karten'!$A$2:$A$4,$A142,'Rote Karten'!$D$2:$D$4,"&lt;&gt;"&amp;$B142,'Rote Karten'!$B$2:$B$4,"&lt;"&amp;$F142,'Rote Karten'!$C$2:$C$4,"&lt;="&amp;$G142)-COUNTIFS('Rote Karten'!$A$2:$A$4,$A142,'Rote Karten'!$D$2:$D$4,$B142,'Rote Karten'!$B$2:$B$4,"&lt;"&amp;$F142,'Rote Karten'!$C$2:$C$4,"&lt;="&amp;$G142)</f>
        <v>0</v>
      </c>
      <c r="I142" s="17" t="str">
        <f>IF(OR($L142="Tor",$L142="ET"),_xlfn.IFNA(IF(VLOOKUP($A142,Spiele!$A$2:$C$15,3,FALSE)=$B142,COUNTIFS($L$2:$L142,"Tor",$B$2:$B142,$B142,$A$2:$A142,$A142)+COUNTIFS($L$2:$L142,"ET",$B$2:$B142,$B142,$A$2:$A142,$A142)&amp;":"&amp;COUNTIFS($L$2:$L142,"Tor",$B$2:$B142,"&lt;&gt;"&amp;$B142,$A$2:$A142,$A142)+COUNTIFS($L$2:$L142,"ET",$B$2:$B142,"&lt;&gt;"&amp;$B142,$A$2:$A142,$A142),COUNTIFS($L$2:$L142,"Tor",$B$2:$B142,"&lt;&gt;"&amp;$B142,$A$2:$A142,$A142)+COUNTIFS($L$2:$L142,"ET",$B$2:$B142,"&lt;&gt;"&amp;$B142,$A$2:$A142,$A142)&amp;":"&amp;COUNTIFS($L$2:$L142,"Tor",$B$2:$B142,$B142,$A$2:$A142,$A142)+COUNTIFS($L$2:$L142,"ET",$B$2:$B142,$B142,$A$2:$A142,$A142)),""),"")</f>
        <v>2:3</v>
      </c>
      <c r="J142" s="18">
        <f>_xlfn.IFNA(IF(VLOOKUP($A142,Spiele!$A$2:$D$15,3,FALSE)=$B142,(COUNTIFS($L$1:$L141,"Tor",$B$1:$B141,$B142,$A$1:$A141,$A142)+COUNTIFS($L$1:$L141,"ET",$B$1:$B141,$B142,$A$1:$A141,$A142))-(COUNTIFS($L$1:$L141,"Tor",$B$1:$B141,"&lt;&gt;"&amp;$B142,$A$1:$A141,$A142)+COUNTIFS($L$1:$L141,"ET",$B$1:$B141,"&lt;&gt;"&amp;$B142,$A$1:$A141,$A142)),(COUNTIFS($L$1:$L141,"Tor",$B$1:$B141,$B142,$A$1:$A141,$A142)+COUNTIFS($L$1:$L141,"ET",$B$1:$B141,$B142,$A$1:$A141,$A142))-(COUNTIFS($L$1:$L141,"Tor",$B$1:$B141,"&lt;&gt;"&amp;$B142,$A$1:$A141,$A142)+COUNTIFS($L$1:$L141,"ET",$B$1:$B141,"&lt;&gt;"&amp;$B142,$A$1:$A141,$A142))),"")</f>
        <v>-2</v>
      </c>
      <c r="K142" s="3">
        <v>17</v>
      </c>
      <c r="L142" s="17" t="s">
        <v>0</v>
      </c>
      <c r="M142" s="2" t="s">
        <v>177</v>
      </c>
      <c r="X142" s="2" t="s">
        <v>142</v>
      </c>
      <c r="Y142" s="17" t="s">
        <v>143</v>
      </c>
      <c r="Z142" s="14" t="s">
        <v>150</v>
      </c>
      <c r="AA142" s="14" t="s">
        <v>145</v>
      </c>
      <c r="AB142" s="18"/>
      <c r="AC142" s="13">
        <v>0</v>
      </c>
      <c r="AD142" s="13">
        <v>11</v>
      </c>
      <c r="AE142" s="19">
        <f t="shared" si="8"/>
        <v>11</v>
      </c>
      <c r="AF142" s="19">
        <f t="shared" si="9"/>
        <v>36.807381798785883</v>
      </c>
      <c r="AG142" s="2" t="s">
        <v>146</v>
      </c>
      <c r="AH142" s="13">
        <v>0</v>
      </c>
      <c r="AI142" s="13">
        <v>0</v>
      </c>
      <c r="AJ142" s="19">
        <f>IF(Abschlüsse[[#This Row],[Ergeb]]="ET","",SQRT(($AC142-$AH142)^2+($AD142-$AI142)^2))</f>
        <v>11</v>
      </c>
      <c r="AK142" s="3">
        <v>0</v>
      </c>
      <c r="AL142" s="13"/>
      <c r="AM142" s="13"/>
      <c r="AN142" s="19" t="str">
        <f t="shared" si="10"/>
        <v/>
      </c>
      <c r="AO142" s="3">
        <v>0</v>
      </c>
      <c r="AR142" s="19" t="str">
        <f t="shared" si="11"/>
        <v/>
      </c>
    </row>
    <row r="143" spans="1:44" ht="25.05" customHeight="1">
      <c r="A143" s="3">
        <v>6</v>
      </c>
      <c r="B143" s="2" t="s">
        <v>64</v>
      </c>
      <c r="C143" s="17" t="str">
        <f>IF($A143="","",IF(VLOOKUP($A143,Spiele!$A$2:$D$15,3,FALSE)=$B143,"H","G"))</f>
        <v>H</v>
      </c>
      <c r="D143" s="17" t="str">
        <f>IF($B143="","",IF(VLOOKUP($A143,Spiele!$A$2:$F$15,3,FALSE)=$B143,VLOOKUP($A143,Spiele!$A$2:$F$15,4,FALSE),VLOOKUP($A143,Spiele!$A$2:$F$15,3,FALSE)))</f>
        <v>FCN</v>
      </c>
      <c r="E143" s="18">
        <f>IF(Abschlüsse[[#This Row],[Ergeb]]="ET",0,COUNTIFS($A$2:$A143,$A143,$B$2:$B143,$B143,$L$2:$L143,"&lt;&gt;ET"))</f>
        <v>11</v>
      </c>
      <c r="F143" s="11">
        <v>65</v>
      </c>
      <c r="G143" s="12">
        <v>2</v>
      </c>
      <c r="H143" s="18">
        <f>COUNTIFS('Rote Karten'!$A$2:$A$4,$A143,'Rote Karten'!$D$2:$D$4,"&lt;&gt;"&amp;$B143,'Rote Karten'!$B$2:$B$4,"&lt;"&amp;$F143,'Rote Karten'!$C$2:$C$4,"&lt;="&amp;$G143)-COUNTIFS('Rote Karten'!$A$2:$A$4,$A143,'Rote Karten'!$D$2:$D$4,$B143,'Rote Karten'!$B$2:$B$4,"&lt;"&amp;$F143,'Rote Karten'!$C$2:$C$4,"&lt;="&amp;$G143)</f>
        <v>0</v>
      </c>
      <c r="I143" s="17" t="str">
        <f>IF(OR($L143="Tor",$L143="ET"),_xlfn.IFNA(IF(VLOOKUP($A143,Spiele!$A$2:$C$15,3,FALSE)=$B143,COUNTIFS($L$2:$L143,"Tor",$B$2:$B143,$B143,$A$2:$A143,$A143)+COUNTIFS($L$2:$L143,"ET",$B$2:$B143,$B143,$A$2:$A143,$A143)&amp;":"&amp;COUNTIFS($L$2:$L143,"Tor",$B$2:$B143,"&lt;&gt;"&amp;$B143,$A$2:$A143,$A143)+COUNTIFS($L$2:$L143,"ET",$B$2:$B143,"&lt;&gt;"&amp;$B143,$A$2:$A143,$A143),COUNTIFS($L$2:$L143,"Tor",$B$2:$B143,"&lt;&gt;"&amp;$B143,$A$2:$A143,$A143)+COUNTIFS($L$2:$L143,"ET",$B$2:$B143,"&lt;&gt;"&amp;$B143,$A$2:$A143,$A143)&amp;":"&amp;COUNTIFS($L$2:$L143,"Tor",$B$2:$B143,$B143,$A$2:$A143,$A143)+COUNTIFS($L$2:$L143,"ET",$B$2:$B143,$B143,$A$2:$A143,$A143)),""),"")</f>
        <v>3:3</v>
      </c>
      <c r="J143" s="18">
        <f>_xlfn.IFNA(IF(VLOOKUP($A143,Spiele!$A$2:$D$15,3,FALSE)=$B143,(COUNTIFS($L$1:$L142,"Tor",$B$1:$B142,$B143,$A$1:$A142,$A143)+COUNTIFS($L$1:$L142,"ET",$B$1:$B142,$B143,$A$1:$A142,$A143))-(COUNTIFS($L$1:$L142,"Tor",$B$1:$B142,"&lt;&gt;"&amp;$B143,$A$1:$A142,$A143)+COUNTIFS($L$1:$L142,"ET",$B$1:$B142,"&lt;&gt;"&amp;$B143,$A$1:$A142,$A143)),(COUNTIFS($L$1:$L142,"Tor",$B$1:$B142,$B143,$A$1:$A142,$A143)+COUNTIFS($L$1:$L142,"ET",$B$1:$B142,$B143,$A$1:$A142,$A143))-(COUNTIFS($L$1:$L142,"Tor",$B$1:$B142,"&lt;&gt;"&amp;$B143,$A$1:$A142,$A143)+COUNTIFS($L$1:$L142,"ET",$B$1:$B142,"&lt;&gt;"&amp;$B143,$A$1:$A142,$A143))),"")</f>
        <v>-1</v>
      </c>
      <c r="K143" s="3">
        <v>18</v>
      </c>
      <c r="L143" s="17" t="s">
        <v>0</v>
      </c>
      <c r="M143" s="2" t="s">
        <v>163</v>
      </c>
      <c r="N143" s="2" t="s">
        <v>153</v>
      </c>
      <c r="X143" s="2" t="s">
        <v>141</v>
      </c>
      <c r="Y143" s="17" t="s">
        <v>149</v>
      </c>
      <c r="Z143" s="14" t="s">
        <v>150</v>
      </c>
      <c r="AA143" s="14" t="s">
        <v>145</v>
      </c>
      <c r="AB143" s="18"/>
      <c r="AC143" s="13">
        <v>4.5</v>
      </c>
      <c r="AD143" s="13">
        <v>5.5</v>
      </c>
      <c r="AE143" s="19">
        <f t="shared" si="8"/>
        <v>5.5637756964133631</v>
      </c>
      <c r="AF143" s="19">
        <f t="shared" si="9"/>
        <v>47.335730558460277</v>
      </c>
      <c r="AG143" s="2" t="s">
        <v>146</v>
      </c>
      <c r="AH143" s="13">
        <v>3</v>
      </c>
      <c r="AI143" s="13">
        <v>1.5</v>
      </c>
      <c r="AJ143" s="19">
        <f>IF(Abschlüsse[[#This Row],[Ergeb]]="ET","",SQRT(($AC143-$AH143)^2+($AD143-$AI143)^2))</f>
        <v>4.2720018726587652</v>
      </c>
      <c r="AK143" s="3">
        <v>1</v>
      </c>
      <c r="AL143" s="13">
        <v>3.5</v>
      </c>
      <c r="AM143" s="13">
        <v>6.5</v>
      </c>
      <c r="AN143" s="19">
        <f t="shared" si="10"/>
        <v>1.4142135623730951</v>
      </c>
      <c r="AO143" s="3">
        <v>0</v>
      </c>
      <c r="AR143" s="19" t="str">
        <f t="shared" si="11"/>
        <v/>
      </c>
    </row>
    <row r="144" spans="1:44" ht="25.05" customHeight="1">
      <c r="A144" s="3">
        <v>6</v>
      </c>
      <c r="B144" s="2" t="s">
        <v>64</v>
      </c>
      <c r="C144" s="17" t="str">
        <f>IF($A144="","",IF(VLOOKUP($A144,Spiele!$A$2:$D$15,3,FALSE)=$B144,"H","G"))</f>
        <v>H</v>
      </c>
      <c r="D144" s="17" t="str">
        <f>IF($B144="","",IF(VLOOKUP($A144,Spiele!$A$2:$F$15,3,FALSE)=$B144,VLOOKUP($A144,Spiele!$A$2:$F$15,4,FALSE),VLOOKUP($A144,Spiele!$A$2:$F$15,3,FALSE)))</f>
        <v>FCN</v>
      </c>
      <c r="E144" s="18">
        <f>IF(Abschlüsse[[#This Row],[Ergeb]]="ET",0,COUNTIFS($A$2:$A144,$A144,$B$2:$B144,$B144,$L$2:$L144,"&lt;&gt;ET"))</f>
        <v>12</v>
      </c>
      <c r="F144" s="11">
        <v>68</v>
      </c>
      <c r="G144" s="12">
        <v>2</v>
      </c>
      <c r="H144" s="18">
        <f>COUNTIFS('Rote Karten'!$A$2:$A$4,$A144,'Rote Karten'!$D$2:$D$4,"&lt;&gt;"&amp;$B144,'Rote Karten'!$B$2:$B$4,"&lt;"&amp;$F144,'Rote Karten'!$C$2:$C$4,"&lt;="&amp;$G144)-COUNTIFS('Rote Karten'!$A$2:$A$4,$A144,'Rote Karten'!$D$2:$D$4,$B144,'Rote Karten'!$B$2:$B$4,"&lt;"&amp;$F144,'Rote Karten'!$C$2:$C$4,"&lt;="&amp;$G144)</f>
        <v>0</v>
      </c>
      <c r="I144" s="17" t="str">
        <f>IF(OR($L144="Tor",$L144="ET"),_xlfn.IFNA(IF(VLOOKUP($A144,Spiele!$A$2:$C$15,3,FALSE)=$B144,COUNTIFS($L$2:$L144,"Tor",$B$2:$B144,$B144,$A$2:$A144,$A144)+COUNTIFS($L$2:$L144,"ET",$B$2:$B144,$B144,$A$2:$A144,$A144)&amp;":"&amp;COUNTIFS($L$2:$L144,"Tor",$B$2:$B144,"&lt;&gt;"&amp;$B144,$A$2:$A144,$A144)+COUNTIFS($L$2:$L144,"ET",$B$2:$B144,"&lt;&gt;"&amp;$B144,$A$2:$A144,$A144),COUNTIFS($L$2:$L144,"Tor",$B$2:$B144,"&lt;&gt;"&amp;$B144,$A$2:$A144,$A144)+COUNTIFS($L$2:$L144,"ET",$B$2:$B144,"&lt;&gt;"&amp;$B144,$A$2:$A144,$A144)&amp;":"&amp;COUNTIFS($L$2:$L144,"Tor",$B$2:$B144,$B144,$A$2:$A144,$A144)+COUNTIFS($L$2:$L144,"ET",$B$2:$B144,$B144,$A$2:$A144,$A144)),""),"")</f>
        <v>4:3</v>
      </c>
      <c r="J144" s="18">
        <f>_xlfn.IFNA(IF(VLOOKUP($A144,Spiele!$A$2:$D$15,3,FALSE)=$B144,(COUNTIFS($L$1:$L143,"Tor",$B$1:$B143,$B144,$A$1:$A143,$A144)+COUNTIFS($L$1:$L143,"ET",$B$1:$B143,$B144,$A$1:$A143,$A144))-(COUNTIFS($L$1:$L143,"Tor",$B$1:$B143,"&lt;&gt;"&amp;$B144,$A$1:$A143,$A144)+COUNTIFS($L$1:$L143,"ET",$B$1:$B143,"&lt;&gt;"&amp;$B144,$A$1:$A143,$A144)),(COUNTIFS($L$1:$L143,"Tor",$B$1:$B143,$B144,$A$1:$A143,$A144)+COUNTIFS($L$1:$L143,"ET",$B$1:$B143,$B144,$A$1:$A143,$A144))-(COUNTIFS($L$1:$L143,"Tor",$B$1:$B143,"&lt;&gt;"&amp;$B144,$A$1:$A143,$A144)+COUNTIFS($L$1:$L143,"ET",$B$1:$B143,"&lt;&gt;"&amp;$B144,$A$1:$A143,$A144))),"")</f>
        <v>0</v>
      </c>
      <c r="K144" s="3">
        <v>19</v>
      </c>
      <c r="L144" s="17" t="s">
        <v>0</v>
      </c>
      <c r="M144" s="2" t="s">
        <v>163</v>
      </c>
      <c r="N144" s="2" t="s">
        <v>152</v>
      </c>
      <c r="X144" s="2" t="s">
        <v>141</v>
      </c>
      <c r="Y144" s="17" t="s">
        <v>149</v>
      </c>
      <c r="Z144" s="14" t="s">
        <v>144</v>
      </c>
      <c r="AA144" s="14" t="s">
        <v>145</v>
      </c>
      <c r="AB144" s="18"/>
      <c r="AC144" s="13">
        <v>0</v>
      </c>
      <c r="AD144" s="13">
        <v>14.5</v>
      </c>
      <c r="AE144" s="19">
        <f t="shared" si="8"/>
        <v>14.5</v>
      </c>
      <c r="AF144" s="19">
        <f t="shared" si="9"/>
        <v>28.33266842621213</v>
      </c>
      <c r="AG144" s="2" t="s">
        <v>169</v>
      </c>
      <c r="AH144" s="13">
        <v>0</v>
      </c>
      <c r="AI144" s="13">
        <v>11.5</v>
      </c>
      <c r="AJ144" s="19">
        <f>IF(Abschlüsse[[#This Row],[Ergeb]]="ET","",SQRT(($AC144-$AH144)^2+($AD144-$AI144)^2))</f>
        <v>3</v>
      </c>
      <c r="AK144" s="3">
        <v>2</v>
      </c>
      <c r="AL144" s="13">
        <v>-0.5</v>
      </c>
      <c r="AM144" s="13">
        <v>14.5</v>
      </c>
      <c r="AN144" s="19">
        <f t="shared" si="10"/>
        <v>0.5</v>
      </c>
      <c r="AO144" s="3">
        <v>0</v>
      </c>
      <c r="AR144" s="19" t="str">
        <f t="shared" si="11"/>
        <v/>
      </c>
    </row>
    <row r="145" spans="1:44" ht="25.05" customHeight="1">
      <c r="A145" s="3">
        <v>6</v>
      </c>
      <c r="B145" s="2" t="s">
        <v>64</v>
      </c>
      <c r="C145" s="17" t="str">
        <f>IF($A145="","",IF(VLOOKUP($A145,Spiele!$A$2:$D$15,3,FALSE)=$B145,"H","G"))</f>
        <v>H</v>
      </c>
      <c r="D145" s="17" t="str">
        <f>IF($B145="","",IF(VLOOKUP($A145,Spiele!$A$2:$F$15,3,FALSE)=$B145,VLOOKUP($A145,Spiele!$A$2:$F$15,4,FALSE),VLOOKUP($A145,Spiele!$A$2:$F$15,3,FALSE)))</f>
        <v>FCN</v>
      </c>
      <c r="E145" s="18">
        <f>IF(Abschlüsse[[#This Row],[Ergeb]]="ET",0,COUNTIFS($A$2:$A145,$A145,$B$2:$B145,$B145,$L$2:$L145,"&lt;&gt;ET"))</f>
        <v>13</v>
      </c>
      <c r="F145" s="11">
        <v>70</v>
      </c>
      <c r="G145" s="12">
        <v>2</v>
      </c>
      <c r="H145" s="18">
        <f>COUNTIFS('Rote Karten'!$A$2:$A$4,$A145,'Rote Karten'!$D$2:$D$4,"&lt;&gt;"&amp;$B145,'Rote Karten'!$B$2:$B$4,"&lt;"&amp;$F145,'Rote Karten'!$C$2:$C$4,"&lt;="&amp;$G145)-COUNTIFS('Rote Karten'!$A$2:$A$4,$A145,'Rote Karten'!$D$2:$D$4,$B145,'Rote Karten'!$B$2:$B$4,"&lt;"&amp;$F145,'Rote Karten'!$C$2:$C$4,"&lt;="&amp;$G145)</f>
        <v>0</v>
      </c>
      <c r="I145" s="17" t="str">
        <f>IF(OR($L145="Tor",$L145="ET"),_xlfn.IFNA(IF(VLOOKUP($A145,Spiele!$A$2:$C$15,3,FALSE)=$B145,COUNTIFS($L$2:$L145,"Tor",$B$2:$B145,$B145,$A$2:$A145,$A145)+COUNTIFS($L$2:$L145,"ET",$B$2:$B145,$B145,$A$2:$A145,$A145)&amp;":"&amp;COUNTIFS($L$2:$L145,"Tor",$B$2:$B145,"&lt;&gt;"&amp;$B145,$A$2:$A145,$A145)+COUNTIFS($L$2:$L145,"ET",$B$2:$B145,"&lt;&gt;"&amp;$B145,$A$2:$A145,$A145),COUNTIFS($L$2:$L145,"Tor",$B$2:$B145,"&lt;&gt;"&amp;$B145,$A$2:$A145,$A145)+COUNTIFS($L$2:$L145,"ET",$B$2:$B145,"&lt;&gt;"&amp;$B145,$A$2:$A145,$A145)&amp;":"&amp;COUNTIFS($L$2:$L145,"Tor",$B$2:$B145,$B145,$A$2:$A145,$A145)+COUNTIFS($L$2:$L145,"ET",$B$2:$B145,$B145,$A$2:$A145,$A145)),""),"")</f>
        <v/>
      </c>
      <c r="J145" s="18">
        <f>_xlfn.IFNA(IF(VLOOKUP($A145,Spiele!$A$2:$D$15,3,FALSE)=$B145,(COUNTIFS($L$1:$L144,"Tor",$B$1:$B144,$B145,$A$1:$A144,$A145)+COUNTIFS($L$1:$L144,"ET",$B$1:$B144,$B145,$A$1:$A144,$A145))-(COUNTIFS($L$1:$L144,"Tor",$B$1:$B144,"&lt;&gt;"&amp;$B145,$A$1:$A144,$A145)+COUNTIFS($L$1:$L144,"ET",$B$1:$B144,"&lt;&gt;"&amp;$B145,$A$1:$A144,$A145)),(COUNTIFS($L$1:$L144,"Tor",$B$1:$B144,$B145,$A$1:$A144,$A145)+COUNTIFS($L$1:$L144,"ET",$B$1:$B144,$B145,$A$1:$A144,$A145))-(COUNTIFS($L$1:$L144,"Tor",$B$1:$B144,"&lt;&gt;"&amp;$B145,$A$1:$A144,$A145)+COUNTIFS($L$1:$L144,"ET",$B$1:$B144,"&lt;&gt;"&amp;$B145,$A$1:$A144,$A145))),"")</f>
        <v>1</v>
      </c>
      <c r="K145" s="3">
        <v>20</v>
      </c>
      <c r="L145" s="17" t="s">
        <v>20</v>
      </c>
      <c r="M145" s="2" t="s">
        <v>163</v>
      </c>
      <c r="N145" s="2" t="s">
        <v>3</v>
      </c>
      <c r="X145" s="2" t="s">
        <v>142</v>
      </c>
      <c r="Y145" s="17" t="s">
        <v>143</v>
      </c>
      <c r="Z145" s="14" t="s">
        <v>150</v>
      </c>
      <c r="AA145" s="14" t="s">
        <v>145</v>
      </c>
      <c r="AB145" s="18"/>
      <c r="AC145" s="13">
        <v>4.5</v>
      </c>
      <c r="AD145" s="13">
        <v>9</v>
      </c>
      <c r="AE145" s="19">
        <f t="shared" si="8"/>
        <v>9.0391150009279126</v>
      </c>
      <c r="AF145" s="19">
        <f t="shared" si="9"/>
        <v>36.865389598473662</v>
      </c>
      <c r="AG145" s="2" t="s">
        <v>146</v>
      </c>
      <c r="AH145" s="13">
        <v>0.5</v>
      </c>
      <c r="AI145" s="13">
        <v>0.5</v>
      </c>
      <c r="AJ145" s="19">
        <f>IF(Abschlüsse[[#This Row],[Ergeb]]="ET","",SQRT(($AC145-$AH145)^2+($AD145-$AI145)^2))</f>
        <v>9.3941471140279678</v>
      </c>
      <c r="AK145" s="3">
        <v>0</v>
      </c>
      <c r="AL145" s="13"/>
      <c r="AM145" s="13"/>
      <c r="AN145" s="19" t="str">
        <f t="shared" si="10"/>
        <v/>
      </c>
      <c r="AO145" s="3">
        <v>2</v>
      </c>
      <c r="AP145" s="13">
        <v>2.5</v>
      </c>
      <c r="AQ145" s="13">
        <v>7</v>
      </c>
      <c r="AR145" s="19">
        <f t="shared" si="11"/>
        <v>2.8284271247461903</v>
      </c>
    </row>
    <row r="146" spans="1:44" ht="25.05" customHeight="1">
      <c r="A146" s="3">
        <v>6</v>
      </c>
      <c r="B146" s="2" t="s">
        <v>8</v>
      </c>
      <c r="C146" s="17" t="str">
        <f>IF($A146="","",IF(VLOOKUP($A146,Spiele!$A$2:$D$15,3,FALSE)=$B146,"H","G"))</f>
        <v>G</v>
      </c>
      <c r="D146" s="17" t="str">
        <f>IF($B146="","",IF(VLOOKUP($A146,Spiele!$A$2:$F$15,3,FALSE)=$B146,VLOOKUP($A146,Spiele!$A$2:$F$15,4,FALSE),VLOOKUP($A146,Spiele!$A$2:$F$15,3,FALSE)))</f>
        <v>FWK</v>
      </c>
      <c r="E146" s="18">
        <f>IF(Abschlüsse[[#This Row],[Ergeb]]="ET",0,COUNTIFS($A$2:$A146,$A146,$B$2:$B146,$B146,$L$2:$L146,"&lt;&gt;ET"))</f>
        <v>9</v>
      </c>
      <c r="F146" s="11">
        <v>76</v>
      </c>
      <c r="G146" s="12">
        <v>2</v>
      </c>
      <c r="H146" s="18">
        <f>COUNTIFS('Rote Karten'!$A$2:$A$4,$A146,'Rote Karten'!$D$2:$D$4,"&lt;&gt;"&amp;$B146,'Rote Karten'!$B$2:$B$4,"&lt;"&amp;$F146,'Rote Karten'!$C$2:$C$4,"&lt;="&amp;$G146)-COUNTIFS('Rote Karten'!$A$2:$A$4,$A146,'Rote Karten'!$D$2:$D$4,$B146,'Rote Karten'!$B$2:$B$4,"&lt;"&amp;$F146,'Rote Karten'!$C$2:$C$4,"&lt;="&amp;$G146)</f>
        <v>0</v>
      </c>
      <c r="I146" s="17" t="str">
        <f>IF(OR($L146="Tor",$L146="ET"),_xlfn.IFNA(IF(VLOOKUP($A146,Spiele!$A$2:$C$15,3,FALSE)=$B146,COUNTIFS($L$2:$L146,"Tor",$B$2:$B146,$B146,$A$2:$A146,$A146)+COUNTIFS($L$2:$L146,"ET",$B$2:$B146,$B146,$A$2:$A146,$A146)&amp;":"&amp;COUNTIFS($L$2:$L146,"Tor",$B$2:$B146,"&lt;&gt;"&amp;$B146,$A$2:$A146,$A146)+COUNTIFS($L$2:$L146,"ET",$B$2:$B146,"&lt;&gt;"&amp;$B146,$A$2:$A146,$A146),COUNTIFS($L$2:$L146,"Tor",$B$2:$B146,"&lt;&gt;"&amp;$B146,$A$2:$A146,$A146)+COUNTIFS($L$2:$L146,"ET",$B$2:$B146,"&lt;&gt;"&amp;$B146,$A$2:$A146,$A146)&amp;":"&amp;COUNTIFS($L$2:$L146,"Tor",$B$2:$B146,$B146,$A$2:$A146,$A146)+COUNTIFS($L$2:$L146,"ET",$B$2:$B146,$B146,$A$2:$A146,$A146)),""),"")</f>
        <v/>
      </c>
      <c r="J146" s="18">
        <f>_xlfn.IFNA(IF(VLOOKUP($A146,Spiele!$A$2:$D$15,3,FALSE)=$B146,(COUNTIFS($L$1:$L145,"Tor",$B$1:$B145,$B146,$A$1:$A145,$A146)+COUNTIFS($L$1:$L145,"ET",$B$1:$B145,$B146,$A$1:$A145,$A146))-(COUNTIFS($L$1:$L145,"Tor",$B$1:$B145,"&lt;&gt;"&amp;$B146,$A$1:$A145,$A146)+COUNTIFS($L$1:$L145,"ET",$B$1:$B145,"&lt;&gt;"&amp;$B146,$A$1:$A145,$A146)),(COUNTIFS($L$1:$L145,"Tor",$B$1:$B145,$B146,$A$1:$A145,$A146)+COUNTIFS($L$1:$L145,"ET",$B$1:$B145,$B146,$A$1:$A145,$A146))-(COUNTIFS($L$1:$L145,"Tor",$B$1:$B145,"&lt;&gt;"&amp;$B146,$A$1:$A145,$A146)+COUNTIFS($L$1:$L145,"ET",$B$1:$B145,"&lt;&gt;"&amp;$B146,$A$1:$A145,$A146))),"")</f>
        <v>-1</v>
      </c>
      <c r="K146" s="3">
        <v>21</v>
      </c>
      <c r="L146" s="17" t="s">
        <v>19</v>
      </c>
      <c r="M146" s="2" t="s">
        <v>163</v>
      </c>
      <c r="N146" s="2" t="s">
        <v>164</v>
      </c>
      <c r="O146" s="2">
        <v>8</v>
      </c>
      <c r="P146" s="2">
        <v>16</v>
      </c>
      <c r="X146" s="2" t="s">
        <v>151</v>
      </c>
      <c r="Y146" s="17" t="s">
        <v>143</v>
      </c>
      <c r="Z146" s="14" t="s">
        <v>150</v>
      </c>
      <c r="AA146" s="14" t="s">
        <v>156</v>
      </c>
      <c r="AB146" s="18">
        <v>7</v>
      </c>
      <c r="AC146" s="13">
        <v>-11</v>
      </c>
      <c r="AD146" s="13">
        <v>16.5</v>
      </c>
      <c r="AE146" s="19">
        <f t="shared" si="8"/>
        <v>18.058947920629265</v>
      </c>
      <c r="AF146" s="19">
        <f t="shared" si="9"/>
        <v>17.638787418942787</v>
      </c>
      <c r="AG146" s="2" t="s">
        <v>146</v>
      </c>
      <c r="AH146" s="13">
        <v>-1.5</v>
      </c>
      <c r="AI146" s="13">
        <v>1</v>
      </c>
      <c r="AJ146" s="19">
        <f>IF(Abschlüsse[[#This Row],[Ergeb]]="ET","",SQRT(($AC146-$AH146)^2+($AD146-$AI146)^2))</f>
        <v>18.179658962697843</v>
      </c>
      <c r="AK146" s="3">
        <v>1</v>
      </c>
      <c r="AL146" s="13">
        <v>-13</v>
      </c>
      <c r="AM146" s="13">
        <v>14.5</v>
      </c>
      <c r="AN146" s="19">
        <f t="shared" si="10"/>
        <v>2.8284271247461903</v>
      </c>
      <c r="AO146" s="3">
        <v>1</v>
      </c>
      <c r="AP146" s="13">
        <v>-6</v>
      </c>
      <c r="AQ146" s="13">
        <v>10.5</v>
      </c>
      <c r="AR146" s="19">
        <f t="shared" si="11"/>
        <v>7.810249675906654</v>
      </c>
    </row>
    <row r="147" spans="1:44" ht="25.05" customHeight="1">
      <c r="A147" s="3">
        <v>6</v>
      </c>
      <c r="B147" s="2" t="s">
        <v>64</v>
      </c>
      <c r="C147" s="17" t="str">
        <f>IF($A147="","",IF(VLOOKUP($A147,Spiele!$A$2:$D$15,3,FALSE)=$B147,"H","G"))</f>
        <v>H</v>
      </c>
      <c r="D147" s="17" t="str">
        <f>IF($B147="","",IF(VLOOKUP($A147,Spiele!$A$2:$F$15,3,FALSE)=$B147,VLOOKUP($A147,Spiele!$A$2:$F$15,4,FALSE),VLOOKUP($A147,Spiele!$A$2:$F$15,3,FALSE)))</f>
        <v>FCN</v>
      </c>
      <c r="E147" s="18">
        <f>IF(Abschlüsse[[#This Row],[Ergeb]]="ET",0,COUNTIFS($A$2:$A147,$A147,$B$2:$B147,$B147,$L$2:$L147,"&lt;&gt;ET"))</f>
        <v>14</v>
      </c>
      <c r="F147" s="11">
        <v>79</v>
      </c>
      <c r="G147" s="12">
        <v>2</v>
      </c>
      <c r="H147" s="18">
        <f>COUNTIFS('Rote Karten'!$A$2:$A$4,$A147,'Rote Karten'!$D$2:$D$4,"&lt;&gt;"&amp;$B147,'Rote Karten'!$B$2:$B$4,"&lt;"&amp;$F147,'Rote Karten'!$C$2:$C$4,"&lt;="&amp;$G147)-COUNTIFS('Rote Karten'!$A$2:$A$4,$A147,'Rote Karten'!$D$2:$D$4,$B147,'Rote Karten'!$B$2:$B$4,"&lt;"&amp;$F147,'Rote Karten'!$C$2:$C$4,"&lt;="&amp;$G147)</f>
        <v>0</v>
      </c>
      <c r="I147" s="17" t="str">
        <f>IF(OR($L147="Tor",$L147="ET"),_xlfn.IFNA(IF(VLOOKUP($A147,Spiele!$A$2:$C$15,3,FALSE)=$B147,COUNTIFS($L$2:$L147,"Tor",$B$2:$B147,$B147,$A$2:$A147,$A147)+COUNTIFS($L$2:$L147,"ET",$B$2:$B147,$B147,$A$2:$A147,$A147)&amp;":"&amp;COUNTIFS($L$2:$L147,"Tor",$B$2:$B147,"&lt;&gt;"&amp;$B147,$A$2:$A147,$A147)+COUNTIFS($L$2:$L147,"ET",$B$2:$B147,"&lt;&gt;"&amp;$B147,$A$2:$A147,$A147),COUNTIFS($L$2:$L147,"Tor",$B$2:$B147,"&lt;&gt;"&amp;$B147,$A$2:$A147,$A147)+COUNTIFS($L$2:$L147,"ET",$B$2:$B147,"&lt;&gt;"&amp;$B147,$A$2:$A147,$A147)&amp;":"&amp;COUNTIFS($L$2:$L147,"Tor",$B$2:$B147,$B147,$A$2:$A147,$A147)+COUNTIFS($L$2:$L147,"ET",$B$2:$B147,$B147,$A$2:$A147,$A147)),""),"")</f>
        <v/>
      </c>
      <c r="J147" s="18">
        <f>_xlfn.IFNA(IF(VLOOKUP($A147,Spiele!$A$2:$D$15,3,FALSE)=$B147,(COUNTIFS($L$1:$L146,"Tor",$B$1:$B146,$B147,$A$1:$A146,$A147)+COUNTIFS($L$1:$L146,"ET",$B$1:$B146,$B147,$A$1:$A146,$A147))-(COUNTIFS($L$1:$L146,"Tor",$B$1:$B146,"&lt;&gt;"&amp;$B147,$A$1:$A146,$A147)+COUNTIFS($L$1:$L146,"ET",$B$1:$B146,"&lt;&gt;"&amp;$B147,$A$1:$A146,$A147)),(COUNTIFS($L$1:$L146,"Tor",$B$1:$B146,$B147,$A$1:$A146,$A147)+COUNTIFS($L$1:$L146,"ET",$B$1:$B146,$B147,$A$1:$A146,$A147))-(COUNTIFS($L$1:$L146,"Tor",$B$1:$B146,"&lt;&gt;"&amp;$B147,$A$1:$A146,$A147)+COUNTIFS($L$1:$L146,"ET",$B$1:$B146,"&lt;&gt;"&amp;$B147,$A$1:$A146,$A147))),"")</f>
        <v>1</v>
      </c>
      <c r="K147" s="3">
        <v>22</v>
      </c>
      <c r="L147" s="17" t="s">
        <v>18</v>
      </c>
      <c r="M147" s="2" t="s">
        <v>147</v>
      </c>
      <c r="N147" s="2" t="s">
        <v>164</v>
      </c>
      <c r="X147" s="2" t="s">
        <v>151</v>
      </c>
      <c r="Y147" s="17" t="s">
        <v>149</v>
      </c>
      <c r="Z147" s="14" t="s">
        <v>150</v>
      </c>
      <c r="AA147" s="14" t="s">
        <v>156</v>
      </c>
      <c r="AB147" s="18"/>
      <c r="AC147" s="13">
        <v>-15</v>
      </c>
      <c r="AD147" s="13">
        <v>7</v>
      </c>
      <c r="AE147" s="19">
        <f t="shared" si="8"/>
        <v>13.326499915581735</v>
      </c>
      <c r="AF147" s="19">
        <f t="shared" si="9"/>
        <v>11.123592872401678</v>
      </c>
      <c r="AG147" s="2" t="s">
        <v>146</v>
      </c>
      <c r="AH147" s="13">
        <v>-4</v>
      </c>
      <c r="AI147" s="13">
        <v>1</v>
      </c>
      <c r="AJ147" s="19">
        <f>IF(Abschlüsse[[#This Row],[Ergeb]]="ET","",SQRT(($AC147-$AH147)^2+($AD147-$AI147)^2))</f>
        <v>12.529964086141668</v>
      </c>
      <c r="AK147" s="3">
        <v>1</v>
      </c>
      <c r="AL147" s="13">
        <v>-14.5</v>
      </c>
      <c r="AM147" s="13">
        <v>7.5</v>
      </c>
      <c r="AN147" s="19">
        <f t="shared" si="10"/>
        <v>0.70710678118654757</v>
      </c>
      <c r="AO147" s="3">
        <v>0</v>
      </c>
      <c r="AR147" s="19" t="str">
        <f t="shared" si="11"/>
        <v/>
      </c>
    </row>
    <row r="148" spans="1:44" ht="25.05" customHeight="1">
      <c r="A148" s="3">
        <v>6</v>
      </c>
      <c r="B148" s="2" t="s">
        <v>8</v>
      </c>
      <c r="C148" s="17" t="str">
        <f>IF($A148="","",IF(VLOOKUP($A148,Spiele!$A$2:$D$15,3,FALSE)=$B148,"H","G"))</f>
        <v>G</v>
      </c>
      <c r="D148" s="17" t="str">
        <f>IF($B148="","",IF(VLOOKUP($A148,Spiele!$A$2:$F$15,3,FALSE)=$B148,VLOOKUP($A148,Spiele!$A$2:$F$15,4,FALSE),VLOOKUP($A148,Spiele!$A$2:$F$15,3,FALSE)))</f>
        <v>FWK</v>
      </c>
      <c r="E148" s="18">
        <f>IF(Abschlüsse[[#This Row],[Ergeb]]="ET",0,COUNTIFS($A$2:$A148,$A148,$B$2:$B148,$B148,$L$2:$L148,"&lt;&gt;ET"))</f>
        <v>10</v>
      </c>
      <c r="F148" s="11">
        <v>80</v>
      </c>
      <c r="G148" s="12">
        <v>2</v>
      </c>
      <c r="H148" s="18">
        <f>COUNTIFS('Rote Karten'!$A$2:$A$4,$A148,'Rote Karten'!$D$2:$D$4,"&lt;&gt;"&amp;$B148,'Rote Karten'!$B$2:$B$4,"&lt;"&amp;$F148,'Rote Karten'!$C$2:$C$4,"&lt;="&amp;$G148)-COUNTIFS('Rote Karten'!$A$2:$A$4,$A148,'Rote Karten'!$D$2:$D$4,$B148,'Rote Karten'!$B$2:$B$4,"&lt;"&amp;$F148,'Rote Karten'!$C$2:$C$4,"&lt;="&amp;$G148)</f>
        <v>0</v>
      </c>
      <c r="I148" s="17" t="str">
        <f>IF(OR($L148="Tor",$L148="ET"),_xlfn.IFNA(IF(VLOOKUP($A148,Spiele!$A$2:$C$15,3,FALSE)=$B148,COUNTIFS($L$2:$L148,"Tor",$B$2:$B148,$B148,$A$2:$A148,$A148)+COUNTIFS($L$2:$L148,"ET",$B$2:$B148,$B148,$A$2:$A148,$A148)&amp;":"&amp;COUNTIFS($L$2:$L148,"Tor",$B$2:$B148,"&lt;&gt;"&amp;$B148,$A$2:$A148,$A148)+COUNTIFS($L$2:$L148,"ET",$B$2:$B148,"&lt;&gt;"&amp;$B148,$A$2:$A148,$A148),COUNTIFS($L$2:$L148,"Tor",$B$2:$B148,"&lt;&gt;"&amp;$B148,$A$2:$A148,$A148)+COUNTIFS($L$2:$L148,"ET",$B$2:$B148,"&lt;&gt;"&amp;$B148,$A$2:$A148,$A148)&amp;":"&amp;COUNTIFS($L$2:$L148,"Tor",$B$2:$B148,$B148,$A$2:$A148,$A148)+COUNTIFS($L$2:$L148,"ET",$B$2:$B148,$B148,$A$2:$A148,$A148)),""),"")</f>
        <v/>
      </c>
      <c r="J148" s="18">
        <f>_xlfn.IFNA(IF(VLOOKUP($A148,Spiele!$A$2:$D$15,3,FALSE)=$B148,(COUNTIFS($L$1:$L147,"Tor",$B$1:$B147,$B148,$A$1:$A147,$A148)+COUNTIFS($L$1:$L147,"ET",$B$1:$B147,$B148,$A$1:$A147,$A148))-(COUNTIFS($L$1:$L147,"Tor",$B$1:$B147,"&lt;&gt;"&amp;$B148,$A$1:$A147,$A148)+COUNTIFS($L$1:$L147,"ET",$B$1:$B147,"&lt;&gt;"&amp;$B148,$A$1:$A147,$A148)),(COUNTIFS($L$1:$L147,"Tor",$B$1:$B147,$B148,$A$1:$A147,$A148)+COUNTIFS($L$1:$L147,"ET",$B$1:$B147,$B148,$A$1:$A147,$A148))-(COUNTIFS($L$1:$L147,"Tor",$B$1:$B147,"&lt;&gt;"&amp;$B148,$A$1:$A147,$A148)+COUNTIFS($L$1:$L147,"ET",$B$1:$B147,"&lt;&gt;"&amp;$B148,$A$1:$A147,$A148))),"")</f>
        <v>-1</v>
      </c>
      <c r="K148" s="3">
        <v>23</v>
      </c>
      <c r="L148" s="17" t="s">
        <v>19</v>
      </c>
      <c r="M148" s="2" t="s">
        <v>163</v>
      </c>
      <c r="N148" s="2" t="s">
        <v>3</v>
      </c>
      <c r="X148" s="2" t="s">
        <v>151</v>
      </c>
      <c r="Y148" s="17" t="s">
        <v>143</v>
      </c>
      <c r="Z148" s="14" t="s">
        <v>150</v>
      </c>
      <c r="AA148" s="14" t="s">
        <v>145</v>
      </c>
      <c r="AB148" s="18">
        <v>16</v>
      </c>
      <c r="AC148" s="13">
        <v>11</v>
      </c>
      <c r="AD148" s="13">
        <v>34</v>
      </c>
      <c r="AE148" s="19">
        <f t="shared" si="8"/>
        <v>34.783266091613655</v>
      </c>
      <c r="AF148" s="19">
        <f t="shared" si="9"/>
        <v>11.142375849705104</v>
      </c>
      <c r="AG148" s="2" t="s">
        <v>146</v>
      </c>
      <c r="AH148" s="13">
        <v>1.5</v>
      </c>
      <c r="AI148" s="13">
        <v>3.5</v>
      </c>
      <c r="AJ148" s="19">
        <f>IF(Abschlüsse[[#This Row],[Ergeb]]="ET","",SQRT(($AC148-$AH148)^2+($AD148-$AI148)^2))</f>
        <v>31.945265689926575</v>
      </c>
      <c r="AK148" s="3">
        <v>0</v>
      </c>
      <c r="AL148" s="13"/>
      <c r="AM148" s="13"/>
      <c r="AN148" s="19" t="str">
        <f t="shared" si="10"/>
        <v/>
      </c>
      <c r="AO148" s="3">
        <v>4</v>
      </c>
      <c r="AP148" s="13">
        <v>10</v>
      </c>
      <c r="AQ148" s="13">
        <v>32</v>
      </c>
      <c r="AR148" s="19">
        <f t="shared" si="11"/>
        <v>2.2360679774997898</v>
      </c>
    </row>
    <row r="149" spans="1:44" ht="25.05" customHeight="1">
      <c r="A149" s="3">
        <v>6</v>
      </c>
      <c r="B149" s="2" t="s">
        <v>8</v>
      </c>
      <c r="C149" s="17" t="str">
        <f>IF($A149="","",IF(VLOOKUP($A149,Spiele!$A$2:$D$15,3,FALSE)=$B149,"H","G"))</f>
        <v>G</v>
      </c>
      <c r="D149" s="17" t="str">
        <f>IF($B149="","",IF(VLOOKUP($A149,Spiele!$A$2:$F$15,3,FALSE)=$B149,VLOOKUP($A149,Spiele!$A$2:$F$15,4,FALSE),VLOOKUP($A149,Spiele!$A$2:$F$15,3,FALSE)))</f>
        <v>FWK</v>
      </c>
      <c r="E149" s="18">
        <f>IF(Abschlüsse[[#This Row],[Ergeb]]="ET",0,COUNTIFS($A$2:$A149,$A149,$B$2:$B149,$B149,$L$2:$L149,"&lt;&gt;ET"))</f>
        <v>11</v>
      </c>
      <c r="F149" s="11">
        <v>81</v>
      </c>
      <c r="G149" s="12">
        <v>2</v>
      </c>
      <c r="H149" s="18">
        <f>COUNTIFS('Rote Karten'!$A$2:$A$4,$A149,'Rote Karten'!$D$2:$D$4,"&lt;&gt;"&amp;$B149,'Rote Karten'!$B$2:$B$4,"&lt;"&amp;$F149,'Rote Karten'!$C$2:$C$4,"&lt;="&amp;$G149)-COUNTIFS('Rote Karten'!$A$2:$A$4,$A149,'Rote Karten'!$D$2:$D$4,$B149,'Rote Karten'!$B$2:$B$4,"&lt;"&amp;$F149,'Rote Karten'!$C$2:$C$4,"&lt;="&amp;$G149)</f>
        <v>0</v>
      </c>
      <c r="I149" s="17" t="str">
        <f>IF(OR($L149="Tor",$L149="ET"),_xlfn.IFNA(IF(VLOOKUP($A149,Spiele!$A$2:$C$15,3,FALSE)=$B149,COUNTIFS($L$2:$L149,"Tor",$B$2:$B149,$B149,$A$2:$A149,$A149)+COUNTIFS($L$2:$L149,"ET",$B$2:$B149,$B149,$A$2:$A149,$A149)&amp;":"&amp;COUNTIFS($L$2:$L149,"Tor",$B$2:$B149,"&lt;&gt;"&amp;$B149,$A$2:$A149,$A149)+COUNTIFS($L$2:$L149,"ET",$B$2:$B149,"&lt;&gt;"&amp;$B149,$A$2:$A149,$A149),COUNTIFS($L$2:$L149,"Tor",$B$2:$B149,"&lt;&gt;"&amp;$B149,$A$2:$A149,$A149)+COUNTIFS($L$2:$L149,"ET",$B$2:$B149,"&lt;&gt;"&amp;$B149,$A$2:$A149,$A149)&amp;":"&amp;COUNTIFS($L$2:$L149,"Tor",$B$2:$B149,$B149,$A$2:$A149,$A149)+COUNTIFS($L$2:$L149,"ET",$B$2:$B149,$B149,$A$2:$A149,$A149)),""),"")</f>
        <v>4:4</v>
      </c>
      <c r="J149" s="18">
        <f>_xlfn.IFNA(IF(VLOOKUP($A149,Spiele!$A$2:$D$15,3,FALSE)=$B149,(COUNTIFS($L$1:$L148,"Tor",$B$1:$B148,$B149,$A$1:$A148,$A149)+COUNTIFS($L$1:$L148,"ET",$B$1:$B148,$B149,$A$1:$A148,$A149))-(COUNTIFS($L$1:$L148,"Tor",$B$1:$B148,"&lt;&gt;"&amp;$B149,$A$1:$A148,$A149)+COUNTIFS($L$1:$L148,"ET",$B$1:$B148,"&lt;&gt;"&amp;$B149,$A$1:$A148,$A149)),(COUNTIFS($L$1:$L148,"Tor",$B$1:$B148,$B149,$A$1:$A148,$A149)+COUNTIFS($L$1:$L148,"ET",$B$1:$B148,$B149,$A$1:$A148,$A149))-(COUNTIFS($L$1:$L148,"Tor",$B$1:$B148,"&lt;&gt;"&amp;$B149,$A$1:$A148,$A149)+COUNTIFS($L$1:$L148,"ET",$B$1:$B148,"&lt;&gt;"&amp;$B149,$A$1:$A148,$A149))),"")</f>
        <v>-1</v>
      </c>
      <c r="K149" s="3">
        <v>24</v>
      </c>
      <c r="L149" s="17" t="s">
        <v>0</v>
      </c>
      <c r="M149" s="2" t="s">
        <v>147</v>
      </c>
      <c r="N149" s="2" t="s">
        <v>158</v>
      </c>
      <c r="O149" s="2">
        <v>18</v>
      </c>
      <c r="P149" s="2">
        <v>7</v>
      </c>
      <c r="Q149" s="2">
        <v>16</v>
      </c>
      <c r="R149" s="2">
        <v>4</v>
      </c>
      <c r="S149" s="2">
        <v>10</v>
      </c>
      <c r="T149" s="2">
        <v>19</v>
      </c>
      <c r="U149" s="2">
        <v>8</v>
      </c>
      <c r="V149" s="2">
        <v>23</v>
      </c>
      <c r="X149" s="2" t="s">
        <v>151</v>
      </c>
      <c r="Y149" s="17" t="s">
        <v>143</v>
      </c>
      <c r="Z149" s="14" t="s">
        <v>150</v>
      </c>
      <c r="AA149" s="14" t="s">
        <v>156</v>
      </c>
      <c r="AB149" s="18">
        <v>19</v>
      </c>
      <c r="AC149" s="13">
        <v>3.5</v>
      </c>
      <c r="AD149" s="13">
        <v>4</v>
      </c>
      <c r="AE149" s="19">
        <f t="shared" si="8"/>
        <v>4</v>
      </c>
      <c r="AF149" s="19">
        <f t="shared" si="9"/>
        <v>63.100298524399463</v>
      </c>
      <c r="AG149" s="2" t="s">
        <v>146</v>
      </c>
      <c r="AH149" s="13">
        <v>3</v>
      </c>
      <c r="AI149" s="13">
        <v>2</v>
      </c>
      <c r="AJ149" s="19">
        <f>IF(Abschlüsse[[#This Row],[Ergeb]]="ET","",SQRT(($AC149-$AH149)^2+($AD149-$AI149)^2))</f>
        <v>2.0615528128088303</v>
      </c>
      <c r="AK149" s="3">
        <v>1</v>
      </c>
      <c r="AL149" s="13">
        <v>4</v>
      </c>
      <c r="AM149" s="13">
        <v>6</v>
      </c>
      <c r="AN149" s="19">
        <f t="shared" si="10"/>
        <v>2.0615528128088303</v>
      </c>
      <c r="AO149" s="3">
        <v>1</v>
      </c>
      <c r="AP149" s="13">
        <v>0</v>
      </c>
      <c r="AQ149" s="13">
        <v>0</v>
      </c>
      <c r="AR149" s="19">
        <f t="shared" si="11"/>
        <v>5.315072906367325</v>
      </c>
    </row>
    <row r="150" spans="1:44" ht="25.05" customHeight="1">
      <c r="A150" s="3">
        <v>6</v>
      </c>
      <c r="B150" s="2" t="s">
        <v>64</v>
      </c>
      <c r="C150" s="17" t="str">
        <f>IF($A150="","",IF(VLOOKUP($A150,Spiele!$A$2:$D$15,3,FALSE)=$B150,"H","G"))</f>
        <v>H</v>
      </c>
      <c r="D150" s="17" t="str">
        <f>IF($B150="","",IF(VLOOKUP($A150,Spiele!$A$2:$F$15,3,FALSE)=$B150,VLOOKUP($A150,Spiele!$A$2:$F$15,4,FALSE),VLOOKUP($A150,Spiele!$A$2:$F$15,3,FALSE)))</f>
        <v>FCN</v>
      </c>
      <c r="E150" s="18">
        <f>IF(Abschlüsse[[#This Row],[Ergeb]]="ET",0,COUNTIFS($A$2:$A150,$A150,$B$2:$B150,$B150,$L$2:$L150,"&lt;&gt;ET"))</f>
        <v>15</v>
      </c>
      <c r="F150" s="11">
        <v>83</v>
      </c>
      <c r="G150" s="12">
        <v>2</v>
      </c>
      <c r="H150" s="18">
        <f>COUNTIFS('Rote Karten'!$A$2:$A$4,$A150,'Rote Karten'!$D$2:$D$4,"&lt;&gt;"&amp;$B150,'Rote Karten'!$B$2:$B$4,"&lt;"&amp;$F150,'Rote Karten'!$C$2:$C$4,"&lt;="&amp;$G150)-COUNTIFS('Rote Karten'!$A$2:$A$4,$A150,'Rote Karten'!$D$2:$D$4,$B150,'Rote Karten'!$B$2:$B$4,"&lt;"&amp;$F150,'Rote Karten'!$C$2:$C$4,"&lt;="&amp;$G150)</f>
        <v>0</v>
      </c>
      <c r="I150" s="17" t="str">
        <f>IF(OR($L150="Tor",$L150="ET"),_xlfn.IFNA(IF(VLOOKUP($A150,Spiele!$A$2:$C$15,3,FALSE)=$B150,COUNTIFS($L$2:$L150,"Tor",$B$2:$B150,$B150,$A$2:$A150,$A150)+COUNTIFS($L$2:$L150,"ET",$B$2:$B150,$B150,$A$2:$A150,$A150)&amp;":"&amp;COUNTIFS($L$2:$L150,"Tor",$B$2:$B150,"&lt;&gt;"&amp;$B150,$A$2:$A150,$A150)+COUNTIFS($L$2:$L150,"ET",$B$2:$B150,"&lt;&gt;"&amp;$B150,$A$2:$A150,$A150),COUNTIFS($L$2:$L150,"Tor",$B$2:$B150,"&lt;&gt;"&amp;$B150,$A$2:$A150,$A150)+COUNTIFS($L$2:$L150,"ET",$B$2:$B150,"&lt;&gt;"&amp;$B150,$A$2:$A150,$A150)&amp;":"&amp;COUNTIFS($L$2:$L150,"Tor",$B$2:$B150,$B150,$A$2:$A150,$A150)+COUNTIFS($L$2:$L150,"ET",$B$2:$B150,$B150,$A$2:$A150,$A150)),""),"")</f>
        <v/>
      </c>
      <c r="J150" s="18">
        <f>_xlfn.IFNA(IF(VLOOKUP($A150,Spiele!$A$2:$D$15,3,FALSE)=$B150,(COUNTIFS($L$1:$L149,"Tor",$B$1:$B149,$B150,$A$1:$A149,$A150)+COUNTIFS($L$1:$L149,"ET",$B$1:$B149,$B150,$A$1:$A149,$A150))-(COUNTIFS($L$1:$L149,"Tor",$B$1:$B149,"&lt;&gt;"&amp;$B150,$A$1:$A149,$A150)+COUNTIFS($L$1:$L149,"ET",$B$1:$B149,"&lt;&gt;"&amp;$B150,$A$1:$A149,$A150)),(COUNTIFS($L$1:$L149,"Tor",$B$1:$B149,$B150,$A$1:$A149,$A150)+COUNTIFS($L$1:$L149,"ET",$B$1:$B149,$B150,$A$1:$A149,$A150))-(COUNTIFS($L$1:$L149,"Tor",$B$1:$B149,"&lt;&gt;"&amp;$B150,$A$1:$A149,$A150)+COUNTIFS($L$1:$L149,"ET",$B$1:$B149,"&lt;&gt;"&amp;$B150,$A$1:$A149,$A150))),"")</f>
        <v>0</v>
      </c>
      <c r="K150" s="3">
        <v>25</v>
      </c>
      <c r="L150" s="17" t="s">
        <v>19</v>
      </c>
      <c r="M150" s="2" t="s">
        <v>173</v>
      </c>
      <c r="N150" s="2" t="s">
        <v>173</v>
      </c>
      <c r="X150" s="2" t="s">
        <v>154</v>
      </c>
      <c r="Y150" s="17" t="s">
        <v>160</v>
      </c>
      <c r="Z150" s="14" t="s">
        <v>161</v>
      </c>
      <c r="AA150" s="14" t="s">
        <v>145</v>
      </c>
      <c r="AB150" s="18"/>
      <c r="AC150" s="13">
        <v>5</v>
      </c>
      <c r="AD150" s="13">
        <v>4.5</v>
      </c>
      <c r="AE150" s="19">
        <f t="shared" si="8"/>
        <v>4.6952742198938715</v>
      </c>
      <c r="AF150" s="19">
        <f t="shared" si="9"/>
        <v>45.959874295400844</v>
      </c>
      <c r="AG150" s="2" t="s">
        <v>146</v>
      </c>
      <c r="AH150" s="13">
        <v>1.5</v>
      </c>
      <c r="AI150" s="13">
        <v>0.5</v>
      </c>
      <c r="AJ150" s="19">
        <f>IF(Abschlüsse[[#This Row],[Ergeb]]="ET","",SQRT(($AC150-$AH150)^2+($AD150-$AI150)^2))</f>
        <v>5.315072906367325</v>
      </c>
      <c r="AK150" s="3">
        <v>0</v>
      </c>
      <c r="AL150" s="13"/>
      <c r="AM150" s="13"/>
      <c r="AN150" s="19" t="str">
        <f t="shared" si="10"/>
        <v/>
      </c>
      <c r="AO150" s="3">
        <v>2</v>
      </c>
      <c r="AP150" s="13">
        <v>4.5</v>
      </c>
      <c r="AQ150" s="13">
        <v>3.5</v>
      </c>
      <c r="AR150" s="19">
        <f t="shared" si="11"/>
        <v>1.1180339887498949</v>
      </c>
    </row>
    <row r="151" spans="1:44" ht="25.05" customHeight="1">
      <c r="A151" s="3">
        <v>6</v>
      </c>
      <c r="B151" s="2" t="s">
        <v>8</v>
      </c>
      <c r="C151" s="17" t="str">
        <f>IF($A151="","",IF(VLOOKUP($A151,Spiele!$A$2:$D$15,3,FALSE)=$B151,"H","G"))</f>
        <v>G</v>
      </c>
      <c r="D151" s="17" t="str">
        <f>IF($B151="","",IF(VLOOKUP($A151,Spiele!$A$2:$F$15,3,FALSE)=$B151,VLOOKUP($A151,Spiele!$A$2:$F$15,4,FALSE),VLOOKUP($A151,Spiele!$A$2:$F$15,3,FALSE)))</f>
        <v>FWK</v>
      </c>
      <c r="E151" s="18">
        <f>IF(Abschlüsse[[#This Row],[Ergeb]]="ET",0,COUNTIFS($A$2:$A151,$A151,$B$2:$B151,$B151,$L$2:$L151,"&lt;&gt;ET"))</f>
        <v>12</v>
      </c>
      <c r="F151" s="11">
        <v>84</v>
      </c>
      <c r="G151" s="12">
        <v>2</v>
      </c>
      <c r="H151" s="18">
        <f>COUNTIFS('Rote Karten'!$A$2:$A$4,$A151,'Rote Karten'!$D$2:$D$4,"&lt;&gt;"&amp;$B151,'Rote Karten'!$B$2:$B$4,"&lt;"&amp;$F151,'Rote Karten'!$C$2:$C$4,"&lt;="&amp;$G151)-COUNTIFS('Rote Karten'!$A$2:$A$4,$A151,'Rote Karten'!$D$2:$D$4,$B151,'Rote Karten'!$B$2:$B$4,"&lt;"&amp;$F151,'Rote Karten'!$C$2:$C$4,"&lt;="&amp;$G151)</f>
        <v>0</v>
      </c>
      <c r="I151" s="17" t="str">
        <f>IF(OR($L151="Tor",$L151="ET"),_xlfn.IFNA(IF(VLOOKUP($A151,Spiele!$A$2:$C$15,3,FALSE)=$B151,COUNTIFS($L$2:$L151,"Tor",$B$2:$B151,$B151,$A$2:$A151,$A151)+COUNTIFS($L$2:$L151,"ET",$B$2:$B151,$B151,$A$2:$A151,$A151)&amp;":"&amp;COUNTIFS($L$2:$L151,"Tor",$B$2:$B151,"&lt;&gt;"&amp;$B151,$A$2:$A151,$A151)+COUNTIFS($L$2:$L151,"ET",$B$2:$B151,"&lt;&gt;"&amp;$B151,$A$2:$A151,$A151),COUNTIFS($L$2:$L151,"Tor",$B$2:$B151,"&lt;&gt;"&amp;$B151,$A$2:$A151,$A151)+COUNTIFS($L$2:$L151,"ET",$B$2:$B151,"&lt;&gt;"&amp;$B151,$A$2:$A151,$A151)&amp;":"&amp;COUNTIFS($L$2:$L151,"Tor",$B$2:$B151,$B151,$A$2:$A151,$A151)+COUNTIFS($L$2:$L151,"ET",$B$2:$B151,$B151,$A$2:$A151,$A151)),""),"")</f>
        <v/>
      </c>
      <c r="J151" s="18">
        <f>_xlfn.IFNA(IF(VLOOKUP($A151,Spiele!$A$2:$D$15,3,FALSE)=$B151,(COUNTIFS($L$1:$L150,"Tor",$B$1:$B150,$B151,$A$1:$A150,$A151)+COUNTIFS($L$1:$L150,"ET",$B$1:$B150,$B151,$A$1:$A150,$A151))-(COUNTIFS($L$1:$L150,"Tor",$B$1:$B150,"&lt;&gt;"&amp;$B151,$A$1:$A150,$A151)+COUNTIFS($L$1:$L150,"ET",$B$1:$B150,"&lt;&gt;"&amp;$B151,$A$1:$A150,$A151)),(COUNTIFS($L$1:$L150,"Tor",$B$1:$B150,$B151,$A$1:$A150,$A151)+COUNTIFS($L$1:$L150,"ET",$B$1:$B150,$B151,$A$1:$A150,$A151))-(COUNTIFS($L$1:$L150,"Tor",$B$1:$B150,"&lt;&gt;"&amp;$B151,$A$1:$A150,$A151)+COUNTIFS($L$1:$L150,"ET",$B$1:$B150,"&lt;&gt;"&amp;$B151,$A$1:$A150,$A151))),"")</f>
        <v>0</v>
      </c>
      <c r="K151" s="3">
        <v>26</v>
      </c>
      <c r="L151" s="17" t="s">
        <v>19</v>
      </c>
      <c r="M151" s="2" t="s">
        <v>163</v>
      </c>
      <c r="N151" s="2" t="s">
        <v>153</v>
      </c>
      <c r="O151" s="2">
        <v>19</v>
      </c>
      <c r="P151" s="2">
        <v>18</v>
      </c>
      <c r="Q151" s="2">
        <v>7</v>
      </c>
      <c r="X151" s="2" t="s">
        <v>154</v>
      </c>
      <c r="Y151" s="17" t="s">
        <v>160</v>
      </c>
      <c r="Z151" s="14" t="s">
        <v>161</v>
      </c>
      <c r="AA151" s="14" t="s">
        <v>156</v>
      </c>
      <c r="AB151" s="18">
        <v>10</v>
      </c>
      <c r="AC151" s="13">
        <v>4.5</v>
      </c>
      <c r="AD151" s="13">
        <v>7</v>
      </c>
      <c r="AE151" s="19">
        <f t="shared" si="8"/>
        <v>7.0502198547279358</v>
      </c>
      <c r="AF151" s="19">
        <f t="shared" si="9"/>
        <v>42.532810160119716</v>
      </c>
      <c r="AG151" s="2" t="s">
        <v>146</v>
      </c>
      <c r="AH151" s="13">
        <v>0.5</v>
      </c>
      <c r="AI151" s="13">
        <v>0.5</v>
      </c>
      <c r="AJ151" s="19">
        <f>IF(Abschlüsse[[#This Row],[Ergeb]]="ET","",SQRT(($AC151-$AH151)^2+($AD151-$AI151)^2))</f>
        <v>7.6321687612368736</v>
      </c>
      <c r="AK151" s="3">
        <v>2</v>
      </c>
      <c r="AL151" s="13">
        <v>5</v>
      </c>
      <c r="AM151" s="13">
        <v>6</v>
      </c>
      <c r="AN151" s="19">
        <f t="shared" si="10"/>
        <v>1.1180339887498949</v>
      </c>
      <c r="AO151" s="3">
        <v>0</v>
      </c>
      <c r="AR151" s="19" t="str">
        <f t="shared" si="11"/>
        <v/>
      </c>
    </row>
    <row r="152" spans="1:44" ht="25.05" customHeight="1">
      <c r="A152" s="3">
        <v>6</v>
      </c>
      <c r="B152" s="2" t="s">
        <v>8</v>
      </c>
      <c r="C152" s="17" t="str">
        <f>IF($A152="","",IF(VLOOKUP($A152,Spiele!$A$2:$D$15,3,FALSE)=$B152,"H","G"))</f>
        <v>G</v>
      </c>
      <c r="D152" s="17" t="str">
        <f>IF($B152="","",IF(VLOOKUP($A152,Spiele!$A$2:$F$15,3,FALSE)=$B152,VLOOKUP($A152,Spiele!$A$2:$F$15,4,FALSE),VLOOKUP($A152,Spiele!$A$2:$F$15,3,FALSE)))</f>
        <v>FWK</v>
      </c>
      <c r="E152" s="18">
        <f>IF(Abschlüsse[[#This Row],[Ergeb]]="ET",0,COUNTIFS($A$2:$A152,$A152,$B$2:$B152,$B152,$L$2:$L152,"&lt;&gt;ET"))</f>
        <v>13</v>
      </c>
      <c r="F152" s="11">
        <v>85</v>
      </c>
      <c r="G152" s="12">
        <v>2</v>
      </c>
      <c r="H152" s="18">
        <f>COUNTIFS('Rote Karten'!$A$2:$A$4,$A152,'Rote Karten'!$D$2:$D$4,"&lt;&gt;"&amp;$B152,'Rote Karten'!$B$2:$B$4,"&lt;"&amp;$F152,'Rote Karten'!$C$2:$C$4,"&lt;="&amp;$G152)-COUNTIFS('Rote Karten'!$A$2:$A$4,$A152,'Rote Karten'!$D$2:$D$4,$B152,'Rote Karten'!$B$2:$B$4,"&lt;"&amp;$F152,'Rote Karten'!$C$2:$C$4,"&lt;="&amp;$G152)</f>
        <v>0</v>
      </c>
      <c r="I152" s="17" t="str">
        <f>IF(OR($L152="Tor",$L152="ET"),_xlfn.IFNA(IF(VLOOKUP($A152,Spiele!$A$2:$C$15,3,FALSE)=$B152,COUNTIFS($L$2:$L152,"Tor",$B$2:$B152,$B152,$A$2:$A152,$A152)+COUNTIFS($L$2:$L152,"ET",$B$2:$B152,$B152,$A$2:$A152,$A152)&amp;":"&amp;COUNTIFS($L$2:$L152,"Tor",$B$2:$B152,"&lt;&gt;"&amp;$B152,$A$2:$A152,$A152)+COUNTIFS($L$2:$L152,"ET",$B$2:$B152,"&lt;&gt;"&amp;$B152,$A$2:$A152,$A152),COUNTIFS($L$2:$L152,"Tor",$B$2:$B152,"&lt;&gt;"&amp;$B152,$A$2:$A152,$A152)+COUNTIFS($L$2:$L152,"ET",$B$2:$B152,"&lt;&gt;"&amp;$B152,$A$2:$A152,$A152)&amp;":"&amp;COUNTIFS($L$2:$L152,"Tor",$B$2:$B152,$B152,$A$2:$A152,$A152)+COUNTIFS($L$2:$L152,"ET",$B$2:$B152,$B152,$A$2:$A152,$A152)),""),"")</f>
        <v/>
      </c>
      <c r="J152" s="18">
        <f>_xlfn.IFNA(IF(VLOOKUP($A152,Spiele!$A$2:$D$15,3,FALSE)=$B152,(COUNTIFS($L$1:$L151,"Tor",$B$1:$B151,$B152,$A$1:$A151,$A152)+COUNTIFS($L$1:$L151,"ET",$B$1:$B151,$B152,$A$1:$A151,$A152))-(COUNTIFS($L$1:$L151,"Tor",$B$1:$B151,"&lt;&gt;"&amp;$B152,$A$1:$A151,$A152)+COUNTIFS($L$1:$L151,"ET",$B$1:$B151,"&lt;&gt;"&amp;$B152,$A$1:$A151,$A152)),(COUNTIFS($L$1:$L151,"Tor",$B$1:$B151,$B152,$A$1:$A151,$A152)+COUNTIFS($L$1:$L151,"ET",$B$1:$B151,$B152,$A$1:$A151,$A152))-(COUNTIFS($L$1:$L151,"Tor",$B$1:$B151,"&lt;&gt;"&amp;$B152,$A$1:$A151,$A152)+COUNTIFS($L$1:$L151,"ET",$B$1:$B151,"&lt;&gt;"&amp;$B152,$A$1:$A151,$A152))),"")</f>
        <v>0</v>
      </c>
      <c r="K152" s="3">
        <v>27</v>
      </c>
      <c r="L152" s="17" t="s">
        <v>19</v>
      </c>
      <c r="M152" s="2" t="s">
        <v>173</v>
      </c>
      <c r="N152" s="2" t="s">
        <v>173</v>
      </c>
      <c r="O152" s="2">
        <v>10</v>
      </c>
      <c r="X152" s="2" t="s">
        <v>154</v>
      </c>
      <c r="Y152" s="17" t="s">
        <v>143</v>
      </c>
      <c r="Z152" s="14" t="s">
        <v>161</v>
      </c>
      <c r="AA152" s="14" t="s">
        <v>162</v>
      </c>
      <c r="AB152" s="18">
        <v>16</v>
      </c>
      <c r="AC152" s="13">
        <v>1.5</v>
      </c>
      <c r="AD152" s="13">
        <v>7</v>
      </c>
      <c r="AE152" s="19">
        <f t="shared" si="8"/>
        <v>7</v>
      </c>
      <c r="AF152" s="19">
        <f t="shared" si="9"/>
        <v>53.544249597719258</v>
      </c>
      <c r="AG152" s="2" t="s">
        <v>146</v>
      </c>
      <c r="AH152" s="13">
        <v>0</v>
      </c>
      <c r="AI152" s="13">
        <v>0.5</v>
      </c>
      <c r="AJ152" s="19">
        <f>IF(Abschlüsse[[#This Row],[Ergeb]]="ET","",SQRT(($AC152-$AH152)^2+($AD152-$AI152)^2))</f>
        <v>6.6708320320631671</v>
      </c>
      <c r="AK152" s="3">
        <v>0</v>
      </c>
      <c r="AL152" s="13">
        <v>0</v>
      </c>
      <c r="AM152" s="13">
        <v>0</v>
      </c>
      <c r="AN152" s="19" t="str">
        <f t="shared" si="10"/>
        <v/>
      </c>
      <c r="AO152" s="3">
        <v>5</v>
      </c>
      <c r="AP152" s="13">
        <v>1.5</v>
      </c>
      <c r="AQ152" s="13">
        <v>6.5</v>
      </c>
      <c r="AR152" s="19">
        <f t="shared" si="11"/>
        <v>0.5</v>
      </c>
    </row>
    <row r="153" spans="1:44" ht="25.05" customHeight="1">
      <c r="A153" s="3">
        <v>7</v>
      </c>
      <c r="B153" s="2" t="s">
        <v>8</v>
      </c>
      <c r="C153" s="17" t="str">
        <f>IF($A153="","",IF(VLOOKUP($A153,Spiele!$A$2:$D$15,3,FALSE)=$B153,"H","G"))</f>
        <v>H</v>
      </c>
      <c r="D153" s="17" t="str">
        <f>IF($B153="","",IF(VLOOKUP($A153,Spiele!$A$2:$F$15,3,FALSE)=$B153,VLOOKUP($A153,Spiele!$A$2:$F$15,4,FALSE),VLOOKUP($A153,Spiele!$A$2:$F$15,3,FALSE)))</f>
        <v>FCA</v>
      </c>
      <c r="E153" s="18">
        <f>IF(Abschlüsse[[#This Row],[Ergeb]]="ET",0,COUNTIFS($A$2:$A153,$A153,$B$2:$B153,$B153,$L$2:$L153,"&lt;&gt;ET"))</f>
        <v>1</v>
      </c>
      <c r="F153" s="11">
        <v>5</v>
      </c>
      <c r="G153" s="12">
        <v>1</v>
      </c>
      <c r="H153" s="18">
        <f>COUNTIFS('Rote Karten'!$A$2:$A$4,$A153,'Rote Karten'!$D$2:$D$4,"&lt;&gt;"&amp;$B153,'Rote Karten'!$B$2:$B$4,"&lt;"&amp;$F153,'Rote Karten'!$C$2:$C$4,"&lt;="&amp;$G153)-COUNTIFS('Rote Karten'!$A$2:$A$4,$A153,'Rote Karten'!$D$2:$D$4,$B153,'Rote Karten'!$B$2:$B$4,"&lt;"&amp;$F153,'Rote Karten'!$C$2:$C$4,"&lt;="&amp;$G153)</f>
        <v>0</v>
      </c>
      <c r="I153" s="17" t="str">
        <f>IF(OR($L153="Tor",$L153="ET"),_xlfn.IFNA(IF(VLOOKUP($A153,Spiele!$A$2:$C$15,3,FALSE)=$B153,COUNTIFS($L$2:$L153,"Tor",$B$2:$B153,$B153,$A$2:$A153,$A153)+COUNTIFS($L$2:$L153,"ET",$B$2:$B153,$B153,$A$2:$A153,$A153)&amp;":"&amp;COUNTIFS($L$2:$L153,"Tor",$B$2:$B153,"&lt;&gt;"&amp;$B153,$A$2:$A153,$A153)+COUNTIFS($L$2:$L153,"ET",$B$2:$B153,"&lt;&gt;"&amp;$B153,$A$2:$A153,$A153),COUNTIFS($L$2:$L153,"Tor",$B$2:$B153,"&lt;&gt;"&amp;$B153,$A$2:$A153,$A153)+COUNTIFS($L$2:$L153,"ET",$B$2:$B153,"&lt;&gt;"&amp;$B153,$A$2:$A153,$A153)&amp;":"&amp;COUNTIFS($L$2:$L153,"Tor",$B$2:$B153,$B153,$A$2:$A153,$A153)+COUNTIFS($L$2:$L153,"ET",$B$2:$B153,$B153,$A$2:$A153,$A153)),""),"")</f>
        <v/>
      </c>
      <c r="J153" s="18">
        <f>_xlfn.IFNA(IF(VLOOKUP($A153,Spiele!$A$2:$D$15,3,FALSE)=$B153,(COUNTIFS($L$1:$L152,"Tor",$B$1:$B152,$B153,$A$1:$A152,$A153)+COUNTIFS($L$1:$L152,"ET",$B$1:$B152,$B153,$A$1:$A152,$A153))-(COUNTIFS($L$1:$L152,"Tor",$B$1:$B152,"&lt;&gt;"&amp;$B153,$A$1:$A152,$A153)+COUNTIFS($L$1:$L152,"ET",$B$1:$B152,"&lt;&gt;"&amp;$B153,$A$1:$A152,$A153)),(COUNTIFS($L$1:$L152,"Tor",$B$1:$B152,$B153,$A$1:$A152,$A153)+COUNTIFS($L$1:$L152,"ET",$B$1:$B152,$B153,$A$1:$A152,$A153))-(COUNTIFS($L$1:$L152,"Tor",$B$1:$B152,"&lt;&gt;"&amp;$B153,$A$1:$A152,$A153)+COUNTIFS($L$1:$L152,"ET",$B$1:$B152,"&lt;&gt;"&amp;$B153,$A$1:$A152,$A153))),"")</f>
        <v>0</v>
      </c>
      <c r="K153" s="3">
        <v>1</v>
      </c>
      <c r="L153" s="17" t="s">
        <v>18</v>
      </c>
      <c r="M153" s="2" t="s">
        <v>163</v>
      </c>
      <c r="N153" s="2" t="s">
        <v>164</v>
      </c>
      <c r="O153" s="2">
        <v>8</v>
      </c>
      <c r="X153" s="2" t="s">
        <v>151</v>
      </c>
      <c r="Y153" s="17" t="s">
        <v>149</v>
      </c>
      <c r="Z153" s="14" t="s">
        <v>150</v>
      </c>
      <c r="AA153" s="14" t="s">
        <v>156</v>
      </c>
      <c r="AB153" s="18">
        <v>10</v>
      </c>
      <c r="AC153" s="13">
        <v>10</v>
      </c>
      <c r="AD153" s="13">
        <v>14</v>
      </c>
      <c r="AE153" s="19">
        <f t="shared" si="8"/>
        <v>15.368656414924502</v>
      </c>
      <c r="AF153" s="19">
        <f t="shared" si="9"/>
        <v>19.932014381656135</v>
      </c>
      <c r="AG153" s="2" t="s">
        <v>146</v>
      </c>
      <c r="AH153" s="13">
        <v>3</v>
      </c>
      <c r="AI153" s="13">
        <v>2</v>
      </c>
      <c r="AJ153" s="19">
        <f>IF(Abschlüsse[[#This Row],[Ergeb]]="ET","",SQRT(($AC153-$AH153)^2+($AD153-$AI153)^2))</f>
        <v>13.892443989449804</v>
      </c>
      <c r="AK153" s="3">
        <v>0</v>
      </c>
      <c r="AL153" s="13"/>
      <c r="AM153" s="13"/>
      <c r="AN153" s="19" t="str">
        <f t="shared" si="10"/>
        <v/>
      </c>
      <c r="AO153" s="3">
        <v>2</v>
      </c>
      <c r="AP153" s="13">
        <v>9</v>
      </c>
      <c r="AQ153" s="13">
        <v>12</v>
      </c>
      <c r="AR153" s="19">
        <f t="shared" si="11"/>
        <v>2.2360679774997898</v>
      </c>
    </row>
    <row r="154" spans="1:44" ht="25.05" customHeight="1">
      <c r="A154" s="3">
        <v>7</v>
      </c>
      <c r="B154" s="2" t="s">
        <v>8</v>
      </c>
      <c r="C154" s="17" t="str">
        <f>IF($A154="","",IF(VLOOKUP($A154,Spiele!$A$2:$D$15,3,FALSE)=$B154,"H","G"))</f>
        <v>H</v>
      </c>
      <c r="D154" s="17" t="str">
        <f>IF($B154="","",IF(VLOOKUP($A154,Spiele!$A$2:$F$15,3,FALSE)=$B154,VLOOKUP($A154,Spiele!$A$2:$F$15,4,FALSE),VLOOKUP($A154,Spiele!$A$2:$F$15,3,FALSE)))</f>
        <v>FCA</v>
      </c>
      <c r="E154" s="18">
        <f>IF(Abschlüsse[[#This Row],[Ergeb]]="ET",0,COUNTIFS($A$2:$A154,$A154,$B$2:$B154,$B154,$L$2:$L154,"&lt;&gt;ET"))</f>
        <v>2</v>
      </c>
      <c r="F154" s="11">
        <v>5</v>
      </c>
      <c r="G154" s="12">
        <v>1</v>
      </c>
      <c r="H154" s="18">
        <f>COUNTIFS('Rote Karten'!$A$2:$A$4,$A154,'Rote Karten'!$D$2:$D$4,"&lt;&gt;"&amp;$B154,'Rote Karten'!$B$2:$B$4,"&lt;"&amp;$F154,'Rote Karten'!$C$2:$C$4,"&lt;="&amp;$G154)-COUNTIFS('Rote Karten'!$A$2:$A$4,$A154,'Rote Karten'!$D$2:$D$4,$B154,'Rote Karten'!$B$2:$B$4,"&lt;"&amp;$F154,'Rote Karten'!$C$2:$C$4,"&lt;="&amp;$G154)</f>
        <v>0</v>
      </c>
      <c r="I154" s="17" t="str">
        <f>IF(OR($L154="Tor",$L154="ET"),_xlfn.IFNA(IF(VLOOKUP($A154,Spiele!$A$2:$C$15,3,FALSE)=$B154,COUNTIFS($L$2:$L154,"Tor",$B$2:$B154,$B154,$A$2:$A154,$A154)+COUNTIFS($L$2:$L154,"ET",$B$2:$B154,$B154,$A$2:$A154,$A154)&amp;":"&amp;COUNTIFS($L$2:$L154,"Tor",$B$2:$B154,"&lt;&gt;"&amp;$B154,$A$2:$A154,$A154)+COUNTIFS($L$2:$L154,"ET",$B$2:$B154,"&lt;&gt;"&amp;$B154,$A$2:$A154,$A154),COUNTIFS($L$2:$L154,"Tor",$B$2:$B154,"&lt;&gt;"&amp;$B154,$A$2:$A154,$A154)+COUNTIFS($L$2:$L154,"ET",$B$2:$B154,"&lt;&gt;"&amp;$B154,$A$2:$A154,$A154)&amp;":"&amp;COUNTIFS($L$2:$L154,"Tor",$B$2:$B154,$B154,$A$2:$A154,$A154)+COUNTIFS($L$2:$L154,"ET",$B$2:$B154,$B154,$A$2:$A154,$A154)),""),"")</f>
        <v/>
      </c>
      <c r="J154" s="18">
        <f>_xlfn.IFNA(IF(VLOOKUP($A154,Spiele!$A$2:$D$15,3,FALSE)=$B154,(COUNTIFS($L$1:$L153,"Tor",$B$1:$B153,$B154,$A$1:$A153,$A154)+COUNTIFS($L$1:$L153,"ET",$B$1:$B153,$B154,$A$1:$A153,$A154))-(COUNTIFS($L$1:$L153,"Tor",$B$1:$B153,"&lt;&gt;"&amp;$B154,$A$1:$A153,$A154)+COUNTIFS($L$1:$L153,"ET",$B$1:$B153,"&lt;&gt;"&amp;$B154,$A$1:$A153,$A154)),(COUNTIFS($L$1:$L153,"Tor",$B$1:$B153,$B154,$A$1:$A153,$A154)+COUNTIFS($L$1:$L153,"ET",$B$1:$B153,$B154,$A$1:$A153,$A154))-(COUNTIFS($L$1:$L153,"Tor",$B$1:$B153,"&lt;&gt;"&amp;$B154,$A$1:$A153,$A154)+COUNTIFS($L$1:$L153,"ET",$B$1:$B153,"&lt;&gt;"&amp;$B154,$A$1:$A153,$A154))),"")</f>
        <v>0</v>
      </c>
      <c r="K154" s="3">
        <v>2</v>
      </c>
      <c r="L154" s="18" t="s">
        <v>20</v>
      </c>
      <c r="M154" s="3" t="s">
        <v>173</v>
      </c>
      <c r="N154" s="2" t="s">
        <v>173</v>
      </c>
      <c r="O154" s="2">
        <v>8</v>
      </c>
      <c r="X154" s="22" t="s">
        <v>154</v>
      </c>
      <c r="Y154" s="18" t="s">
        <v>149</v>
      </c>
      <c r="Z154" s="14" t="s">
        <v>144</v>
      </c>
      <c r="AA154" s="14" t="s">
        <v>156</v>
      </c>
      <c r="AB154" s="18">
        <v>10</v>
      </c>
      <c r="AC154" s="13">
        <v>-7.5</v>
      </c>
      <c r="AD154" s="13">
        <v>15.5</v>
      </c>
      <c r="AE154" s="19">
        <f t="shared" si="8"/>
        <v>15.968581652732968</v>
      </c>
      <c r="AF154" s="19">
        <f t="shared" si="9"/>
        <v>21.839475454833995</v>
      </c>
      <c r="AG154" s="3" t="s">
        <v>146</v>
      </c>
      <c r="AH154" s="13">
        <v>-0.5</v>
      </c>
      <c r="AI154" s="13">
        <v>1</v>
      </c>
      <c r="AJ154" s="19">
        <f>IF(Abschlüsse[[#This Row],[Ergeb]]="ET","",SQRT(($AC154-$AH154)^2+($AD154-$AI154)^2))</f>
        <v>16.101242188104617</v>
      </c>
      <c r="AK154" s="3">
        <v>0</v>
      </c>
      <c r="AL154" s="13"/>
      <c r="AM154" s="13"/>
      <c r="AN154" s="19" t="str">
        <f t="shared" si="10"/>
        <v/>
      </c>
      <c r="AO154" s="3">
        <v>3</v>
      </c>
      <c r="AP154" s="13">
        <v>-6</v>
      </c>
      <c r="AQ154" s="13">
        <v>7.5</v>
      </c>
      <c r="AR154" s="19">
        <f t="shared" si="11"/>
        <v>8.1394102980498531</v>
      </c>
    </row>
    <row r="155" spans="1:44" ht="25.05" customHeight="1">
      <c r="A155" s="3">
        <v>7</v>
      </c>
      <c r="B155" s="2" t="s">
        <v>8</v>
      </c>
      <c r="C155" s="17" t="str">
        <f>IF($A155="","",IF(VLOOKUP($A155,Spiele!$A$2:$D$15,3,FALSE)=$B155,"H","G"))</f>
        <v>H</v>
      </c>
      <c r="D155" s="17" t="str">
        <f>IF($B155="","",IF(VLOOKUP($A155,Spiele!$A$2:$F$15,3,FALSE)=$B155,VLOOKUP($A155,Spiele!$A$2:$F$15,4,FALSE),VLOOKUP($A155,Spiele!$A$2:$F$15,3,FALSE)))</f>
        <v>FCA</v>
      </c>
      <c r="E155" s="18">
        <f>IF(Abschlüsse[[#This Row],[Ergeb]]="ET",0,COUNTIFS($A$2:$A155,$A155,$B$2:$B155,$B155,$L$2:$L155,"&lt;&gt;ET"))</f>
        <v>3</v>
      </c>
      <c r="F155" s="11">
        <v>5</v>
      </c>
      <c r="G155" s="12">
        <v>1</v>
      </c>
      <c r="H155" s="18">
        <f>COUNTIFS('Rote Karten'!$A$2:$A$4,$A155,'Rote Karten'!$D$2:$D$4,"&lt;&gt;"&amp;$B155,'Rote Karten'!$B$2:$B$4,"&lt;"&amp;$F155,'Rote Karten'!$C$2:$C$4,"&lt;="&amp;$G155)-COUNTIFS('Rote Karten'!$A$2:$A$4,$A155,'Rote Karten'!$D$2:$D$4,$B155,'Rote Karten'!$B$2:$B$4,"&lt;"&amp;$F155,'Rote Karten'!$C$2:$C$4,"&lt;="&amp;$G155)</f>
        <v>0</v>
      </c>
      <c r="I155" s="17" t="str">
        <f>IF(OR($L155="Tor",$L155="ET"),_xlfn.IFNA(IF(VLOOKUP($A155,Spiele!$A$2:$C$15,3,FALSE)=$B155,COUNTIFS($L$2:$L155,"Tor",$B$2:$B155,$B155,$A$2:$A155,$A155)+COUNTIFS($L$2:$L155,"ET",$B$2:$B155,$B155,$A$2:$A155,$A155)&amp;":"&amp;COUNTIFS($L$2:$L155,"Tor",$B$2:$B155,"&lt;&gt;"&amp;$B155,$A$2:$A155,$A155)+COUNTIFS($L$2:$L155,"ET",$B$2:$B155,"&lt;&gt;"&amp;$B155,$A$2:$A155,$A155),COUNTIFS($L$2:$L155,"Tor",$B$2:$B155,"&lt;&gt;"&amp;$B155,$A$2:$A155,$A155)+COUNTIFS($L$2:$L155,"ET",$B$2:$B155,"&lt;&gt;"&amp;$B155,$A$2:$A155,$A155)&amp;":"&amp;COUNTIFS($L$2:$L155,"Tor",$B$2:$B155,$B155,$A$2:$A155,$A155)+COUNTIFS($L$2:$L155,"ET",$B$2:$B155,$B155,$A$2:$A155,$A155)),""),"")</f>
        <v/>
      </c>
      <c r="J155" s="18">
        <f>_xlfn.IFNA(IF(VLOOKUP($A155,Spiele!$A$2:$D$15,3,FALSE)=$B155,(COUNTIFS($L$1:$L154,"Tor",$B$1:$B154,$B155,$A$1:$A154,$A155)+COUNTIFS($L$1:$L154,"ET",$B$1:$B154,$B155,$A$1:$A154,$A155))-(COUNTIFS($L$1:$L154,"Tor",$B$1:$B154,"&lt;&gt;"&amp;$B155,$A$1:$A154,$A155)+COUNTIFS($L$1:$L154,"ET",$B$1:$B154,"&lt;&gt;"&amp;$B155,$A$1:$A154,$A155)),(COUNTIFS($L$1:$L154,"Tor",$B$1:$B154,$B155,$A$1:$A154,$A155)+COUNTIFS($L$1:$L154,"ET",$B$1:$B154,$B155,$A$1:$A154,$A155))-(COUNTIFS($L$1:$L154,"Tor",$B$1:$B154,"&lt;&gt;"&amp;$B155,$A$1:$A154,$A155)+COUNTIFS($L$1:$L154,"ET",$B$1:$B154,"&lt;&gt;"&amp;$B155,$A$1:$A154,$A155))),"")</f>
        <v>0</v>
      </c>
      <c r="K155" s="3">
        <v>2</v>
      </c>
      <c r="L155" s="17" t="s">
        <v>18</v>
      </c>
      <c r="M155" s="2" t="s">
        <v>168</v>
      </c>
      <c r="N155" s="2" t="s">
        <v>165</v>
      </c>
      <c r="X155" s="2" t="s">
        <v>151</v>
      </c>
      <c r="Y155" s="17" t="s">
        <v>149</v>
      </c>
      <c r="Z155" s="14" t="s">
        <v>150</v>
      </c>
      <c r="AA155" s="14" t="s">
        <v>156</v>
      </c>
      <c r="AB155" s="18">
        <v>27</v>
      </c>
      <c r="AC155" s="13">
        <v>-2</v>
      </c>
      <c r="AD155" s="13">
        <v>7.5</v>
      </c>
      <c r="AE155" s="19">
        <f t="shared" si="8"/>
        <v>7.5</v>
      </c>
      <c r="AF155" s="19">
        <f t="shared" si="9"/>
        <v>49.52090376340567</v>
      </c>
      <c r="AG155" s="2" t="s">
        <v>146</v>
      </c>
      <c r="AH155" s="13">
        <v>-1</v>
      </c>
      <c r="AI155" s="13">
        <v>1</v>
      </c>
      <c r="AJ155" s="19">
        <f>IF(Abschlüsse[[#This Row],[Ergeb]]="ET","",SQRT(($AC155-$AH155)^2+($AD155-$AI155)^2))</f>
        <v>6.5764732189829527</v>
      </c>
      <c r="AK155" s="3">
        <v>1</v>
      </c>
      <c r="AL155" s="13">
        <v>0</v>
      </c>
      <c r="AM155" s="13">
        <v>9</v>
      </c>
      <c r="AN155" s="19">
        <f t="shared" si="10"/>
        <v>2.5</v>
      </c>
      <c r="AO155" s="3">
        <v>3</v>
      </c>
      <c r="AP155" s="13">
        <v>-1</v>
      </c>
      <c r="AQ155" s="13">
        <v>6</v>
      </c>
      <c r="AR155" s="19">
        <f t="shared" si="11"/>
        <v>1.8027756377319946</v>
      </c>
    </row>
    <row r="156" spans="1:44" ht="25.05" customHeight="1">
      <c r="A156" s="3">
        <v>7</v>
      </c>
      <c r="B156" s="2" t="s">
        <v>8</v>
      </c>
      <c r="C156" s="17" t="str">
        <f>IF($A156="","",IF(VLOOKUP($A156,Spiele!$A$2:$D$15,3,FALSE)=$B156,"H","G"))</f>
        <v>H</v>
      </c>
      <c r="D156" s="17" t="str">
        <f>IF($B156="","",IF(VLOOKUP($A156,Spiele!$A$2:$F$15,3,FALSE)=$B156,VLOOKUP($A156,Spiele!$A$2:$F$15,4,FALSE),VLOOKUP($A156,Spiele!$A$2:$F$15,3,FALSE)))</f>
        <v>FCA</v>
      </c>
      <c r="E156" s="18">
        <f>IF(Abschlüsse[[#This Row],[Ergeb]]="ET",0,COUNTIFS($A$2:$A156,$A156,$B$2:$B156,$B156,$L$2:$L156,"&lt;&gt;ET"))</f>
        <v>4</v>
      </c>
      <c r="F156" s="11">
        <v>9</v>
      </c>
      <c r="G156" s="12">
        <v>1</v>
      </c>
      <c r="H156" s="18">
        <f>COUNTIFS('Rote Karten'!$A$2:$A$4,$A156,'Rote Karten'!$D$2:$D$4,"&lt;&gt;"&amp;$B156,'Rote Karten'!$B$2:$B$4,"&lt;"&amp;$F156,'Rote Karten'!$C$2:$C$4,"&lt;="&amp;$G156)-COUNTIFS('Rote Karten'!$A$2:$A$4,$A156,'Rote Karten'!$D$2:$D$4,$B156,'Rote Karten'!$B$2:$B$4,"&lt;"&amp;$F156,'Rote Karten'!$C$2:$C$4,"&lt;="&amp;$G156)</f>
        <v>0</v>
      </c>
      <c r="I156" s="17" t="str">
        <f>IF(OR($L156="Tor",$L156="ET"),_xlfn.IFNA(IF(VLOOKUP($A156,Spiele!$A$2:$C$15,3,FALSE)=$B156,COUNTIFS($L$2:$L156,"Tor",$B$2:$B156,$B156,$A$2:$A156,$A156)+COUNTIFS($L$2:$L156,"ET",$B$2:$B156,$B156,$A$2:$A156,$A156)&amp;":"&amp;COUNTIFS($L$2:$L156,"Tor",$B$2:$B156,"&lt;&gt;"&amp;$B156,$A$2:$A156,$A156)+COUNTIFS($L$2:$L156,"ET",$B$2:$B156,"&lt;&gt;"&amp;$B156,$A$2:$A156,$A156),COUNTIFS($L$2:$L156,"Tor",$B$2:$B156,"&lt;&gt;"&amp;$B156,$A$2:$A156,$A156)+COUNTIFS($L$2:$L156,"ET",$B$2:$B156,"&lt;&gt;"&amp;$B156,$A$2:$A156,$A156)&amp;":"&amp;COUNTIFS($L$2:$L156,"Tor",$B$2:$B156,$B156,$A$2:$A156,$A156)+COUNTIFS($L$2:$L156,"ET",$B$2:$B156,$B156,$A$2:$A156,$A156)),""),"")</f>
        <v/>
      </c>
      <c r="J156" s="18">
        <f>_xlfn.IFNA(IF(VLOOKUP($A156,Spiele!$A$2:$D$15,3,FALSE)=$B156,(COUNTIFS($L$1:$L155,"Tor",$B$1:$B155,$B156,$A$1:$A155,$A156)+COUNTIFS($L$1:$L155,"ET",$B$1:$B155,$B156,$A$1:$A155,$A156))-(COUNTIFS($L$1:$L155,"Tor",$B$1:$B155,"&lt;&gt;"&amp;$B156,$A$1:$A155,$A156)+COUNTIFS($L$1:$L155,"ET",$B$1:$B155,"&lt;&gt;"&amp;$B156,$A$1:$A155,$A156)),(COUNTIFS($L$1:$L155,"Tor",$B$1:$B155,$B156,$A$1:$A155,$A156)+COUNTIFS($L$1:$L155,"ET",$B$1:$B155,$B156,$A$1:$A155,$A156))-(COUNTIFS($L$1:$L155,"Tor",$B$1:$B155,"&lt;&gt;"&amp;$B156,$A$1:$A155,$A156)+COUNTIFS($L$1:$L155,"ET",$B$1:$B155,"&lt;&gt;"&amp;$B156,$A$1:$A155,$A156))),"")</f>
        <v>0</v>
      </c>
      <c r="K156" s="3">
        <v>3</v>
      </c>
      <c r="L156" s="17" t="s">
        <v>20</v>
      </c>
      <c r="M156" s="2" t="s">
        <v>147</v>
      </c>
      <c r="N156" s="2" t="s">
        <v>164</v>
      </c>
      <c r="O156" s="2">
        <v>19</v>
      </c>
      <c r="P156" s="2">
        <v>7</v>
      </c>
      <c r="Q156" s="2">
        <v>8</v>
      </c>
      <c r="R156" s="2">
        <v>20</v>
      </c>
      <c r="S156" s="2">
        <v>26</v>
      </c>
      <c r="X156" s="2" t="s">
        <v>151</v>
      </c>
      <c r="Y156" s="17" t="s">
        <v>149</v>
      </c>
      <c r="Z156" s="14" t="s">
        <v>150</v>
      </c>
      <c r="AA156" s="14" t="s">
        <v>156</v>
      </c>
      <c r="AB156" s="18">
        <v>10</v>
      </c>
      <c r="AC156" s="13">
        <v>8.5</v>
      </c>
      <c r="AD156" s="13">
        <v>8</v>
      </c>
      <c r="AE156" s="19">
        <f t="shared" si="8"/>
        <v>9.3501657739314972</v>
      </c>
      <c r="AF156" s="19">
        <f t="shared" si="9"/>
        <v>25.485354454151746</v>
      </c>
      <c r="AG156" s="2" t="s">
        <v>146</v>
      </c>
      <c r="AH156" s="13">
        <v>3.5</v>
      </c>
      <c r="AI156" s="13">
        <v>2</v>
      </c>
      <c r="AJ156" s="19">
        <f>IF(Abschlüsse[[#This Row],[Ergeb]]="ET","",SQRT(($AC156-$AH156)^2+($AD156-$AI156)^2))</f>
        <v>7.810249675906654</v>
      </c>
      <c r="AK156" s="3">
        <v>0</v>
      </c>
      <c r="AL156" s="13"/>
      <c r="AM156" s="13"/>
      <c r="AN156" s="19" t="str">
        <f t="shared" si="10"/>
        <v/>
      </c>
      <c r="AO156" s="3">
        <v>3</v>
      </c>
      <c r="AP156" s="13">
        <v>8</v>
      </c>
      <c r="AQ156" s="13">
        <v>7</v>
      </c>
      <c r="AR156" s="19">
        <f t="shared" si="11"/>
        <v>1.1180339887498949</v>
      </c>
    </row>
    <row r="157" spans="1:44" ht="25.05" customHeight="1">
      <c r="A157" s="3">
        <v>7</v>
      </c>
      <c r="B157" s="2" t="s">
        <v>8</v>
      </c>
      <c r="C157" s="17" t="str">
        <f>IF($A157="","",IF(VLOOKUP($A157,Spiele!$A$2:$D$15,3,FALSE)=$B157,"H","G"))</f>
        <v>H</v>
      </c>
      <c r="D157" s="17" t="str">
        <f>IF($B157="","",IF(VLOOKUP($A157,Spiele!$A$2:$F$15,3,FALSE)=$B157,VLOOKUP($A157,Spiele!$A$2:$F$15,4,FALSE),VLOOKUP($A157,Spiele!$A$2:$F$15,3,FALSE)))</f>
        <v>FCA</v>
      </c>
      <c r="E157" s="18">
        <f>IF(Abschlüsse[[#This Row],[Ergeb]]="ET",0,COUNTIFS($A$2:$A157,$A157,$B$2:$B157,$B157,$L$2:$L157,"&lt;&gt;ET"))</f>
        <v>5</v>
      </c>
      <c r="F157" s="11">
        <v>9</v>
      </c>
      <c r="G157" s="12">
        <v>1</v>
      </c>
      <c r="H157" s="18">
        <f>COUNTIFS('Rote Karten'!$A$2:$A$4,$A157,'Rote Karten'!$D$2:$D$4,"&lt;&gt;"&amp;$B157,'Rote Karten'!$B$2:$B$4,"&lt;"&amp;$F157,'Rote Karten'!$C$2:$C$4,"&lt;="&amp;$G157)-COUNTIFS('Rote Karten'!$A$2:$A$4,$A157,'Rote Karten'!$D$2:$D$4,$B157,'Rote Karten'!$B$2:$B$4,"&lt;"&amp;$F157,'Rote Karten'!$C$2:$C$4,"&lt;="&amp;$G157)</f>
        <v>0</v>
      </c>
      <c r="I157" s="17" t="str">
        <f>IF(OR($L157="Tor",$L157="ET"),_xlfn.IFNA(IF(VLOOKUP($A157,Spiele!$A$2:$C$15,3,FALSE)=$B157,COUNTIFS($L$2:$L157,"Tor",$B$2:$B157,$B157,$A$2:$A157,$A157)+COUNTIFS($L$2:$L157,"ET",$B$2:$B157,$B157,$A$2:$A157,$A157)&amp;":"&amp;COUNTIFS($L$2:$L157,"Tor",$B$2:$B157,"&lt;&gt;"&amp;$B157,$A$2:$A157,$A157)+COUNTIFS($L$2:$L157,"ET",$B$2:$B157,"&lt;&gt;"&amp;$B157,$A$2:$A157,$A157),COUNTIFS($L$2:$L157,"Tor",$B$2:$B157,"&lt;&gt;"&amp;$B157,$A$2:$A157,$A157)+COUNTIFS($L$2:$L157,"ET",$B$2:$B157,"&lt;&gt;"&amp;$B157,$A$2:$A157,$A157)&amp;":"&amp;COUNTIFS($L$2:$L157,"Tor",$B$2:$B157,$B157,$A$2:$A157,$A157)+COUNTIFS($L$2:$L157,"ET",$B$2:$B157,$B157,$A$2:$A157,$A157)),""),"")</f>
        <v/>
      </c>
      <c r="J157" s="18">
        <f>_xlfn.IFNA(IF(VLOOKUP($A157,Spiele!$A$2:$D$15,3,FALSE)=$B157,(COUNTIFS($L$1:$L156,"Tor",$B$1:$B156,$B157,$A$1:$A156,$A157)+COUNTIFS($L$1:$L156,"ET",$B$1:$B156,$B157,$A$1:$A156,$A157))-(COUNTIFS($L$1:$L156,"Tor",$B$1:$B156,"&lt;&gt;"&amp;$B157,$A$1:$A156,$A157)+COUNTIFS($L$1:$L156,"ET",$B$1:$B156,"&lt;&gt;"&amp;$B157,$A$1:$A156,$A157)),(COUNTIFS($L$1:$L156,"Tor",$B$1:$B156,$B157,$A$1:$A156,$A157)+COUNTIFS($L$1:$L156,"ET",$B$1:$B156,$B157,$A$1:$A156,$A157))-(COUNTIFS($L$1:$L156,"Tor",$B$1:$B156,"&lt;&gt;"&amp;$B157,$A$1:$A156,$A157)+COUNTIFS($L$1:$L156,"ET",$B$1:$B156,"&lt;&gt;"&amp;$B157,$A$1:$A156,$A157))),"")</f>
        <v>0</v>
      </c>
      <c r="K157" s="3">
        <v>3</v>
      </c>
      <c r="L157" s="17" t="s">
        <v>20</v>
      </c>
      <c r="M157" s="2" t="s">
        <v>147</v>
      </c>
      <c r="N157" s="2" t="s">
        <v>158</v>
      </c>
      <c r="O157" s="2">
        <v>8</v>
      </c>
      <c r="X157" s="2" t="s">
        <v>141</v>
      </c>
      <c r="Y157" s="17" t="s">
        <v>149</v>
      </c>
      <c r="Z157" s="14" t="s">
        <v>144</v>
      </c>
      <c r="AA157" s="14" t="s">
        <v>156</v>
      </c>
      <c r="AB157" s="18">
        <v>7</v>
      </c>
      <c r="AC157" s="13">
        <v>-5</v>
      </c>
      <c r="AD157" s="13">
        <v>9.5</v>
      </c>
      <c r="AE157" s="19">
        <f t="shared" si="8"/>
        <v>9.5940398164693885</v>
      </c>
      <c r="AF157" s="19">
        <f t="shared" si="9"/>
        <v>34.322888606241513</v>
      </c>
      <c r="AG157" s="2" t="s">
        <v>146</v>
      </c>
      <c r="AH157" s="13">
        <v>-2.5</v>
      </c>
      <c r="AI157" s="13">
        <v>2</v>
      </c>
      <c r="AJ157" s="19">
        <f>IF(Abschlüsse[[#This Row],[Ergeb]]="ET","",SQRT(($AC157-$AH157)^2+($AD157-$AI157)^2))</f>
        <v>7.9056941504209481</v>
      </c>
      <c r="AK157" s="3">
        <v>0</v>
      </c>
      <c r="AL157" s="13"/>
      <c r="AM157" s="13"/>
      <c r="AN157" s="19" t="str">
        <f t="shared" si="10"/>
        <v/>
      </c>
      <c r="AO157" s="3">
        <v>1</v>
      </c>
      <c r="AP157" s="13">
        <v>-3</v>
      </c>
      <c r="AQ157" s="13">
        <v>4.5</v>
      </c>
      <c r="AR157" s="19">
        <f t="shared" si="11"/>
        <v>5.3851648071345037</v>
      </c>
    </row>
    <row r="158" spans="1:44" ht="25.05" customHeight="1">
      <c r="A158" s="3">
        <v>7</v>
      </c>
      <c r="B158" s="2" t="s">
        <v>8</v>
      </c>
      <c r="C158" s="17" t="str">
        <f>IF($A158="","",IF(VLOOKUP($A158,Spiele!$A$2:$D$15,3,FALSE)=$B158,"H","G"))</f>
        <v>H</v>
      </c>
      <c r="D158" s="17" t="str">
        <f>IF($B158="","",IF(VLOOKUP($A158,Spiele!$A$2:$F$15,3,FALSE)=$B158,VLOOKUP($A158,Spiele!$A$2:$F$15,4,FALSE),VLOOKUP($A158,Spiele!$A$2:$F$15,3,FALSE)))</f>
        <v>FCA</v>
      </c>
      <c r="E158" s="18">
        <f>IF(Abschlüsse[[#This Row],[Ergeb]]="ET",0,COUNTIFS($A$2:$A158,$A158,$B$2:$B158,$B158,$L$2:$L158,"&lt;&gt;ET"))</f>
        <v>6</v>
      </c>
      <c r="F158" s="11">
        <v>9</v>
      </c>
      <c r="G158" s="12">
        <v>1</v>
      </c>
      <c r="H158" s="18">
        <f>COUNTIFS('Rote Karten'!$A$2:$A$4,$A158,'Rote Karten'!$D$2:$D$4,"&lt;&gt;"&amp;$B158,'Rote Karten'!$B$2:$B$4,"&lt;"&amp;$F158,'Rote Karten'!$C$2:$C$4,"&lt;="&amp;$G158)-COUNTIFS('Rote Karten'!$A$2:$A$4,$A158,'Rote Karten'!$D$2:$D$4,$B158,'Rote Karten'!$B$2:$B$4,"&lt;"&amp;$F158,'Rote Karten'!$C$2:$C$4,"&lt;="&amp;$G158)</f>
        <v>0</v>
      </c>
      <c r="I158" s="17" t="str">
        <f>IF(OR($L158="Tor",$L158="ET"),_xlfn.IFNA(IF(VLOOKUP($A158,Spiele!$A$2:$C$15,3,FALSE)=$B158,COUNTIFS($L$2:$L158,"Tor",$B$2:$B158,$B158,$A$2:$A158,$A158)+COUNTIFS($L$2:$L158,"ET",$B$2:$B158,$B158,$A$2:$A158,$A158)&amp;":"&amp;COUNTIFS($L$2:$L158,"Tor",$B$2:$B158,"&lt;&gt;"&amp;$B158,$A$2:$A158,$A158)+COUNTIFS($L$2:$L158,"ET",$B$2:$B158,"&lt;&gt;"&amp;$B158,$A$2:$A158,$A158),COUNTIFS($L$2:$L158,"Tor",$B$2:$B158,"&lt;&gt;"&amp;$B158,$A$2:$A158,$A158)+COUNTIFS($L$2:$L158,"ET",$B$2:$B158,"&lt;&gt;"&amp;$B158,$A$2:$A158,$A158)&amp;":"&amp;COUNTIFS($L$2:$L158,"Tor",$B$2:$B158,$B158,$A$2:$A158,$A158)+COUNTIFS($L$2:$L158,"ET",$B$2:$B158,$B158,$A$2:$A158,$A158)),""),"")</f>
        <v/>
      </c>
      <c r="J158" s="18">
        <f>_xlfn.IFNA(IF(VLOOKUP($A158,Spiele!$A$2:$D$15,3,FALSE)=$B158,(COUNTIFS($L$1:$L157,"Tor",$B$1:$B157,$B158,$A$1:$A157,$A158)+COUNTIFS($L$1:$L157,"ET",$B$1:$B157,$B158,$A$1:$A157,$A158))-(COUNTIFS($L$1:$L157,"Tor",$B$1:$B157,"&lt;&gt;"&amp;$B158,$A$1:$A157,$A158)+COUNTIFS($L$1:$L157,"ET",$B$1:$B157,"&lt;&gt;"&amp;$B158,$A$1:$A157,$A158)),(COUNTIFS($L$1:$L157,"Tor",$B$1:$B157,$B158,$A$1:$A157,$A158)+COUNTIFS($L$1:$L157,"ET",$B$1:$B157,$B158,$A$1:$A157,$A158))-(COUNTIFS($L$1:$L157,"Tor",$B$1:$B157,"&lt;&gt;"&amp;$B158,$A$1:$A157,$A158)+COUNTIFS($L$1:$L157,"ET",$B$1:$B157,"&lt;&gt;"&amp;$B158,$A$1:$A157,$A158))),"")</f>
        <v>0</v>
      </c>
      <c r="K158" s="3">
        <v>3</v>
      </c>
      <c r="L158" s="17" t="s">
        <v>20</v>
      </c>
      <c r="M158" s="2" t="s">
        <v>147</v>
      </c>
      <c r="N158" s="2" t="s">
        <v>176</v>
      </c>
      <c r="O158" s="2">
        <v>7</v>
      </c>
      <c r="X158" s="2" t="s">
        <v>141</v>
      </c>
      <c r="Y158" s="17" t="s">
        <v>149</v>
      </c>
      <c r="Z158" s="14" t="s">
        <v>144</v>
      </c>
      <c r="AA158" s="14" t="s">
        <v>156</v>
      </c>
      <c r="AB158" s="18">
        <v>10</v>
      </c>
      <c r="AC158" s="13">
        <v>5.5</v>
      </c>
      <c r="AD158" s="13">
        <v>9</v>
      </c>
      <c r="AE158" s="19">
        <f t="shared" si="8"/>
        <v>9.1861635082334558</v>
      </c>
      <c r="AF158" s="19">
        <f t="shared" si="9"/>
        <v>33.950219920676389</v>
      </c>
      <c r="AG158" s="2" t="s">
        <v>146</v>
      </c>
      <c r="AH158" s="13">
        <v>2</v>
      </c>
      <c r="AI158" s="13">
        <v>1.5</v>
      </c>
      <c r="AJ158" s="19">
        <f>IF(Abschlüsse[[#This Row],[Ergeb]]="ET","",SQRT(($AC158-$AH158)^2+($AD158-$AI158)^2))</f>
        <v>8.2764726786234242</v>
      </c>
      <c r="AK158" s="3">
        <v>0</v>
      </c>
      <c r="AL158" s="13"/>
      <c r="AM158" s="13"/>
      <c r="AN158" s="19" t="str">
        <f t="shared" si="10"/>
        <v/>
      </c>
      <c r="AO158" s="3">
        <v>3</v>
      </c>
      <c r="AP158" s="13">
        <v>4</v>
      </c>
      <c r="AQ158" s="13">
        <v>5</v>
      </c>
      <c r="AR158" s="19">
        <f t="shared" si="11"/>
        <v>4.2720018726587652</v>
      </c>
    </row>
    <row r="159" spans="1:44" ht="25.05" customHeight="1">
      <c r="A159" s="3">
        <v>7</v>
      </c>
      <c r="B159" s="2" t="s">
        <v>8</v>
      </c>
      <c r="C159" s="17" t="str">
        <f>IF($A159="","",IF(VLOOKUP($A159,Spiele!$A$2:$D$15,3,FALSE)=$B159,"H","G"))</f>
        <v>H</v>
      </c>
      <c r="D159" s="17" t="str">
        <f>IF($B159="","",IF(VLOOKUP($A159,Spiele!$A$2:$F$15,3,FALSE)=$B159,VLOOKUP($A159,Spiele!$A$2:$F$15,4,FALSE),VLOOKUP($A159,Spiele!$A$2:$F$15,3,FALSE)))</f>
        <v>FCA</v>
      </c>
      <c r="E159" s="18">
        <f>IF(Abschlüsse[[#This Row],[Ergeb]]="ET",0,COUNTIFS($A$2:$A159,$A159,$B$2:$B159,$B159,$L$2:$L159,"&lt;&gt;ET"))</f>
        <v>7</v>
      </c>
      <c r="F159" s="11">
        <v>10</v>
      </c>
      <c r="G159" s="12">
        <v>1</v>
      </c>
      <c r="H159" s="18">
        <f>COUNTIFS('Rote Karten'!$A$2:$A$4,$A159,'Rote Karten'!$D$2:$D$4,"&lt;&gt;"&amp;$B159,'Rote Karten'!$B$2:$B$4,"&lt;"&amp;$F159,'Rote Karten'!$C$2:$C$4,"&lt;="&amp;$G159)-COUNTIFS('Rote Karten'!$A$2:$A$4,$A159,'Rote Karten'!$D$2:$D$4,$B159,'Rote Karten'!$B$2:$B$4,"&lt;"&amp;$F159,'Rote Karten'!$C$2:$C$4,"&lt;="&amp;$G159)</f>
        <v>0</v>
      </c>
      <c r="I159" s="17" t="str">
        <f>IF(OR($L159="Tor",$L159="ET"),_xlfn.IFNA(IF(VLOOKUP($A159,Spiele!$A$2:$C$15,3,FALSE)=$B159,COUNTIFS($L$2:$L159,"Tor",$B$2:$B159,$B159,$A$2:$A159,$A159)+COUNTIFS($L$2:$L159,"ET",$B$2:$B159,$B159,$A$2:$A159,$A159)&amp;":"&amp;COUNTIFS($L$2:$L159,"Tor",$B$2:$B159,"&lt;&gt;"&amp;$B159,$A$2:$A159,$A159)+COUNTIFS($L$2:$L159,"ET",$B$2:$B159,"&lt;&gt;"&amp;$B159,$A$2:$A159,$A159),COUNTIFS($L$2:$L159,"Tor",$B$2:$B159,"&lt;&gt;"&amp;$B159,$A$2:$A159,$A159)+COUNTIFS($L$2:$L159,"ET",$B$2:$B159,"&lt;&gt;"&amp;$B159,$A$2:$A159,$A159)&amp;":"&amp;COUNTIFS($L$2:$L159,"Tor",$B$2:$B159,$B159,$A$2:$A159,$A159)+COUNTIFS($L$2:$L159,"ET",$B$2:$B159,$B159,$A$2:$A159,$A159)),""),"")</f>
        <v/>
      </c>
      <c r="J159" s="18">
        <f>_xlfn.IFNA(IF(VLOOKUP($A159,Spiele!$A$2:$D$15,3,FALSE)=$B159,(COUNTIFS($L$1:$L158,"Tor",$B$1:$B158,$B159,$A$1:$A158,$A159)+COUNTIFS($L$1:$L158,"ET",$B$1:$B158,$B159,$A$1:$A158,$A159))-(COUNTIFS($L$1:$L158,"Tor",$B$1:$B158,"&lt;&gt;"&amp;$B159,$A$1:$A158,$A159)+COUNTIFS($L$1:$L158,"ET",$B$1:$B158,"&lt;&gt;"&amp;$B159,$A$1:$A158,$A159)),(COUNTIFS($L$1:$L158,"Tor",$B$1:$B158,$B159,$A$1:$A158,$A159)+COUNTIFS($L$1:$L158,"ET",$B$1:$B158,$B159,$A$1:$A158,$A159))-(COUNTIFS($L$1:$L158,"Tor",$B$1:$B158,"&lt;&gt;"&amp;$B159,$A$1:$A158,$A159)+COUNTIFS($L$1:$L158,"ET",$B$1:$B158,"&lt;&gt;"&amp;$B159,$A$1:$A158,$A159))),"")</f>
        <v>0</v>
      </c>
      <c r="K159" s="3">
        <v>3</v>
      </c>
      <c r="L159" s="17" t="s">
        <v>20</v>
      </c>
      <c r="M159" s="3" t="s">
        <v>147</v>
      </c>
      <c r="N159" s="2" t="s">
        <v>3</v>
      </c>
      <c r="O159" s="2">
        <v>27</v>
      </c>
      <c r="X159" s="2" t="s">
        <v>142</v>
      </c>
      <c r="Y159" s="18" t="s">
        <v>143</v>
      </c>
      <c r="Z159" s="14" t="s">
        <v>150</v>
      </c>
      <c r="AA159" s="14" t="s">
        <v>156</v>
      </c>
      <c r="AB159" s="18">
        <v>4</v>
      </c>
      <c r="AC159" s="13">
        <v>4.5</v>
      </c>
      <c r="AD159" s="13">
        <v>9.5</v>
      </c>
      <c r="AE159" s="19">
        <f t="shared" si="8"/>
        <v>9.5370645378963435</v>
      </c>
      <c r="AF159" s="19">
        <f t="shared" si="9"/>
        <v>35.607831474935765</v>
      </c>
      <c r="AG159" s="3" t="s">
        <v>146</v>
      </c>
      <c r="AH159" s="13">
        <v>3</v>
      </c>
      <c r="AI159" s="13">
        <v>1.5</v>
      </c>
      <c r="AJ159" s="19">
        <f>IF(Abschlüsse[[#This Row],[Ergeb]]="ET","",SQRT(($AC159-$AH159)^2+($AD159-$AI159)^2))</f>
        <v>8.1394102980498531</v>
      </c>
      <c r="AK159" s="3">
        <v>1</v>
      </c>
      <c r="AL159" s="13">
        <v>5.5</v>
      </c>
      <c r="AM159" s="13">
        <v>9.5</v>
      </c>
      <c r="AN159" s="19">
        <f t="shared" si="10"/>
        <v>1</v>
      </c>
      <c r="AO159" s="3">
        <v>2</v>
      </c>
      <c r="AP159" s="13">
        <v>4</v>
      </c>
      <c r="AQ159" s="13">
        <v>4</v>
      </c>
      <c r="AR159" s="19">
        <f t="shared" si="11"/>
        <v>5.5226805085936306</v>
      </c>
    </row>
    <row r="160" spans="1:44" ht="25.05" customHeight="1">
      <c r="A160" s="3">
        <v>7</v>
      </c>
      <c r="B160" s="2" t="s">
        <v>8</v>
      </c>
      <c r="C160" s="17" t="str">
        <f>IF($A160="","",IF(VLOOKUP($A160,Spiele!$A$2:$D$15,3,FALSE)=$B160,"H","G"))</f>
        <v>H</v>
      </c>
      <c r="D160" s="17" t="str">
        <f>IF($B160="","",IF(VLOOKUP($A160,Spiele!$A$2:$F$15,3,FALSE)=$B160,VLOOKUP($A160,Spiele!$A$2:$F$15,4,FALSE),VLOOKUP($A160,Spiele!$A$2:$F$15,3,FALSE)))</f>
        <v>FCA</v>
      </c>
      <c r="E160" s="18">
        <f>IF(Abschlüsse[[#This Row],[Ergeb]]="ET",0,COUNTIFS($A$2:$A160,$A160,$B$2:$B160,$B160,$L$2:$L160,"&lt;&gt;ET"))</f>
        <v>8</v>
      </c>
      <c r="F160" s="11">
        <v>12</v>
      </c>
      <c r="G160" s="12">
        <v>1</v>
      </c>
      <c r="H160" s="18">
        <f>COUNTIFS('Rote Karten'!$A$2:$A$4,$A160,'Rote Karten'!$D$2:$D$4,"&lt;&gt;"&amp;$B160,'Rote Karten'!$B$2:$B$4,"&lt;"&amp;$F160,'Rote Karten'!$C$2:$C$4,"&lt;="&amp;$G160)-COUNTIFS('Rote Karten'!$A$2:$A$4,$A160,'Rote Karten'!$D$2:$D$4,$B160,'Rote Karten'!$B$2:$B$4,"&lt;"&amp;$F160,'Rote Karten'!$C$2:$C$4,"&lt;="&amp;$G160)</f>
        <v>0</v>
      </c>
      <c r="I160" s="17" t="str">
        <f>IF(OR($L160="Tor",$L160="ET"),_xlfn.IFNA(IF(VLOOKUP($A160,Spiele!$A$2:$C$15,3,FALSE)=$B160,COUNTIFS($L$2:$L160,"Tor",$B$2:$B160,$B160,$A$2:$A160,$A160)+COUNTIFS($L$2:$L160,"ET",$B$2:$B160,$B160,$A$2:$A160,$A160)&amp;":"&amp;COUNTIFS($L$2:$L160,"Tor",$B$2:$B160,"&lt;&gt;"&amp;$B160,$A$2:$A160,$A160)+COUNTIFS($L$2:$L160,"ET",$B$2:$B160,"&lt;&gt;"&amp;$B160,$A$2:$A160,$A160),COUNTIFS($L$2:$L160,"Tor",$B$2:$B160,"&lt;&gt;"&amp;$B160,$A$2:$A160,$A160)+COUNTIFS($L$2:$L160,"ET",$B$2:$B160,"&lt;&gt;"&amp;$B160,$A$2:$A160,$A160)&amp;":"&amp;COUNTIFS($L$2:$L160,"Tor",$B$2:$B160,$B160,$A$2:$A160,$A160)+COUNTIFS($L$2:$L160,"ET",$B$2:$B160,$B160,$A$2:$A160,$A160)),""),"")</f>
        <v/>
      </c>
      <c r="J160" s="18">
        <f>_xlfn.IFNA(IF(VLOOKUP($A160,Spiele!$A$2:$D$15,3,FALSE)=$B160,(COUNTIFS($L$1:$L159,"Tor",$B$1:$B159,$B160,$A$1:$A159,$A160)+COUNTIFS($L$1:$L159,"ET",$B$1:$B159,$B160,$A$1:$A159,$A160))-(COUNTIFS($L$1:$L159,"Tor",$B$1:$B159,"&lt;&gt;"&amp;$B160,$A$1:$A159,$A160)+COUNTIFS($L$1:$L159,"ET",$B$1:$B159,"&lt;&gt;"&amp;$B160,$A$1:$A159,$A160)),(COUNTIFS($L$1:$L159,"Tor",$B$1:$B159,$B160,$A$1:$A159,$A160)+COUNTIFS($L$1:$L159,"ET",$B$1:$B159,$B160,$A$1:$A159,$A160))-(COUNTIFS($L$1:$L159,"Tor",$B$1:$B159,"&lt;&gt;"&amp;$B160,$A$1:$A159,$A160)+COUNTIFS($L$1:$L159,"ET",$B$1:$B159,"&lt;&gt;"&amp;$B160,$A$1:$A159,$A160))),"")</f>
        <v>0</v>
      </c>
      <c r="K160" s="3">
        <v>4</v>
      </c>
      <c r="L160" s="17" t="s">
        <v>18</v>
      </c>
      <c r="M160" s="2" t="s">
        <v>163</v>
      </c>
      <c r="N160" s="2" t="s">
        <v>164</v>
      </c>
      <c r="O160" s="2">
        <v>7</v>
      </c>
      <c r="P160" s="2">
        <v>27</v>
      </c>
      <c r="X160" s="2" t="s">
        <v>151</v>
      </c>
      <c r="Y160" s="17" t="s">
        <v>149</v>
      </c>
      <c r="Z160" s="14" t="s">
        <v>150</v>
      </c>
      <c r="AA160" s="14" t="s">
        <v>145</v>
      </c>
      <c r="AB160" s="18">
        <v>10</v>
      </c>
      <c r="AC160" s="13">
        <v>8</v>
      </c>
      <c r="AD160" s="13">
        <v>18.5</v>
      </c>
      <c r="AE160" s="19">
        <f t="shared" si="8"/>
        <v>19.002252498059278</v>
      </c>
      <c r="AF160" s="19">
        <f t="shared" si="9"/>
        <v>19.01947505927642</v>
      </c>
      <c r="AG160" s="2" t="s">
        <v>146</v>
      </c>
      <c r="AH160" s="13">
        <v>1.5</v>
      </c>
      <c r="AI160" s="13">
        <v>2.5</v>
      </c>
      <c r="AJ160" s="19">
        <f>IF(Abschlüsse[[#This Row],[Ergeb]]="ET","",SQRT(($AC160-$AH160)^2+($AD160-$AI160)^2))</f>
        <v>17.269916039170543</v>
      </c>
      <c r="AK160" s="3">
        <v>1</v>
      </c>
      <c r="AL160" s="13">
        <v>9.5</v>
      </c>
      <c r="AM160" s="13">
        <v>19.5</v>
      </c>
      <c r="AN160" s="19">
        <f t="shared" si="10"/>
        <v>1.8027756377319946</v>
      </c>
      <c r="AO160" s="3">
        <v>2</v>
      </c>
      <c r="AP160" s="13">
        <v>7.5</v>
      </c>
      <c r="AQ160" s="13">
        <v>16.5</v>
      </c>
      <c r="AR160" s="19">
        <f t="shared" si="11"/>
        <v>2.0615528128088303</v>
      </c>
    </row>
    <row r="161" spans="1:44" ht="25.05" customHeight="1">
      <c r="A161" s="3">
        <v>7</v>
      </c>
      <c r="B161" s="2" t="s">
        <v>8</v>
      </c>
      <c r="C161" s="17" t="str">
        <f>IF($A161="","",IF(VLOOKUP($A161,Spiele!$A$2:$D$15,3,FALSE)=$B161,"H","G"))</f>
        <v>H</v>
      </c>
      <c r="D161" s="17" t="str">
        <f>IF($B161="","",IF(VLOOKUP($A161,Spiele!$A$2:$F$15,3,FALSE)=$B161,VLOOKUP($A161,Spiele!$A$2:$F$15,4,FALSE),VLOOKUP($A161,Spiele!$A$2:$F$15,3,FALSE)))</f>
        <v>FCA</v>
      </c>
      <c r="E161" s="18">
        <f>IF(Abschlüsse[[#This Row],[Ergeb]]="ET",0,COUNTIFS($A$2:$A161,$A161,$B$2:$B161,$B161,$L$2:$L161,"&lt;&gt;ET"))</f>
        <v>9</v>
      </c>
      <c r="F161" s="11">
        <v>17</v>
      </c>
      <c r="G161" s="12">
        <v>1</v>
      </c>
      <c r="H161" s="18">
        <f>COUNTIFS('Rote Karten'!$A$2:$A$4,$A161,'Rote Karten'!$D$2:$D$4,"&lt;&gt;"&amp;$B161,'Rote Karten'!$B$2:$B$4,"&lt;"&amp;$F161,'Rote Karten'!$C$2:$C$4,"&lt;="&amp;$G161)-COUNTIFS('Rote Karten'!$A$2:$A$4,$A161,'Rote Karten'!$D$2:$D$4,$B161,'Rote Karten'!$B$2:$B$4,"&lt;"&amp;$F161,'Rote Karten'!$C$2:$C$4,"&lt;="&amp;$G161)</f>
        <v>0</v>
      </c>
      <c r="I161" s="17" t="str">
        <f>IF(OR($L161="Tor",$L161="ET"),_xlfn.IFNA(IF(VLOOKUP($A161,Spiele!$A$2:$C$15,3,FALSE)=$B161,COUNTIFS($L$2:$L161,"Tor",$B$2:$B161,$B161,$A$2:$A161,$A161)+COUNTIFS($L$2:$L161,"ET",$B$2:$B161,$B161,$A$2:$A161,$A161)&amp;":"&amp;COUNTIFS($L$2:$L161,"Tor",$B$2:$B161,"&lt;&gt;"&amp;$B161,$A$2:$A161,$A161)+COUNTIFS($L$2:$L161,"ET",$B$2:$B161,"&lt;&gt;"&amp;$B161,$A$2:$A161,$A161),COUNTIFS($L$2:$L161,"Tor",$B$2:$B161,"&lt;&gt;"&amp;$B161,$A$2:$A161,$A161)+COUNTIFS($L$2:$L161,"ET",$B$2:$B161,"&lt;&gt;"&amp;$B161,$A$2:$A161,$A161)&amp;":"&amp;COUNTIFS($L$2:$L161,"Tor",$B$2:$B161,$B161,$A$2:$A161,$A161)+COUNTIFS($L$2:$L161,"ET",$B$2:$B161,$B161,$A$2:$A161,$A161)),""),"")</f>
        <v>1:0</v>
      </c>
      <c r="J161" s="18">
        <f>_xlfn.IFNA(IF(VLOOKUP($A161,Spiele!$A$2:$D$15,3,FALSE)=$B161,(COUNTIFS($L$1:$L160,"Tor",$B$1:$B160,$B161,$A$1:$A160,$A161)+COUNTIFS($L$1:$L160,"ET",$B$1:$B160,$B161,$A$1:$A160,$A161))-(COUNTIFS($L$1:$L160,"Tor",$B$1:$B160,"&lt;&gt;"&amp;$B161,$A$1:$A160,$A161)+COUNTIFS($L$1:$L160,"ET",$B$1:$B160,"&lt;&gt;"&amp;$B161,$A$1:$A160,$A161)),(COUNTIFS($L$1:$L160,"Tor",$B$1:$B160,$B161,$A$1:$A160,$A161)+COUNTIFS($L$1:$L160,"ET",$B$1:$B160,$B161,$A$1:$A160,$A161))-(COUNTIFS($L$1:$L160,"Tor",$B$1:$B160,"&lt;&gt;"&amp;$B161,$A$1:$A160,$A161)+COUNTIFS($L$1:$L160,"ET",$B$1:$B160,"&lt;&gt;"&amp;$B161,$A$1:$A160,$A161))),"")</f>
        <v>0</v>
      </c>
      <c r="K161" s="3">
        <v>5</v>
      </c>
      <c r="L161" s="17" t="s">
        <v>0</v>
      </c>
      <c r="M161" s="2" t="s">
        <v>163</v>
      </c>
      <c r="N161" s="2" t="s">
        <v>164</v>
      </c>
      <c r="O161" s="2">
        <v>26</v>
      </c>
      <c r="P161" s="2">
        <v>4</v>
      </c>
      <c r="Q161" s="2">
        <v>27</v>
      </c>
      <c r="X161" s="2" t="s">
        <v>151</v>
      </c>
      <c r="Y161" s="17" t="s">
        <v>143</v>
      </c>
      <c r="Z161" s="14" t="s">
        <v>150</v>
      </c>
      <c r="AA161" s="14" t="s">
        <v>145</v>
      </c>
      <c r="AB161" s="18">
        <v>7</v>
      </c>
      <c r="AC161" s="13">
        <v>-6</v>
      </c>
      <c r="AD161" s="13">
        <v>11</v>
      </c>
      <c r="AE161" s="19">
        <f t="shared" si="8"/>
        <v>11.246137114582945</v>
      </c>
      <c r="AF161" s="19">
        <f t="shared" si="9"/>
        <v>29.279656857805321</v>
      </c>
      <c r="AG161" s="2" t="s">
        <v>146</v>
      </c>
      <c r="AH161" s="13">
        <v>-1.5</v>
      </c>
      <c r="AI161" s="13">
        <v>4.5</v>
      </c>
      <c r="AJ161" s="19">
        <f>IF(Abschlüsse[[#This Row],[Ergeb]]="ET","",SQRT(($AC161-$AH161)^2+($AD161-$AI161)^2))</f>
        <v>7.9056941504209481</v>
      </c>
      <c r="AK161" s="3">
        <v>3</v>
      </c>
      <c r="AL161" s="13">
        <v>-7.5</v>
      </c>
      <c r="AM161" s="13">
        <v>11.5</v>
      </c>
      <c r="AN161" s="19">
        <f t="shared" si="10"/>
        <v>1.5811388300841898</v>
      </c>
      <c r="AO161" s="3">
        <v>0</v>
      </c>
      <c r="AR161" s="19" t="str">
        <f t="shared" si="11"/>
        <v/>
      </c>
    </row>
    <row r="162" spans="1:44" ht="25.05" customHeight="1">
      <c r="A162" s="3">
        <v>7</v>
      </c>
      <c r="B162" s="2" t="s">
        <v>8</v>
      </c>
      <c r="C162" s="17" t="str">
        <f>IF($A162="","",IF(VLOOKUP($A162,Spiele!$A$2:$D$15,3,FALSE)=$B162,"H","G"))</f>
        <v>H</v>
      </c>
      <c r="D162" s="17" t="str">
        <f>IF($B162="","",IF(VLOOKUP($A162,Spiele!$A$2:$F$15,3,FALSE)=$B162,VLOOKUP($A162,Spiele!$A$2:$F$15,4,FALSE),VLOOKUP($A162,Spiele!$A$2:$F$15,3,FALSE)))</f>
        <v>FCA</v>
      </c>
      <c r="E162" s="18">
        <f>IF(Abschlüsse[[#This Row],[Ergeb]]="ET",0,COUNTIFS($A$2:$A162,$A162,$B$2:$B162,$B162,$L$2:$L162,"&lt;&gt;ET"))</f>
        <v>10</v>
      </c>
      <c r="F162" s="11">
        <v>18</v>
      </c>
      <c r="G162" s="12">
        <v>1</v>
      </c>
      <c r="H162" s="18">
        <f>COUNTIFS('Rote Karten'!$A$2:$A$4,$A162,'Rote Karten'!$D$2:$D$4,"&lt;&gt;"&amp;$B162,'Rote Karten'!$B$2:$B$4,"&lt;"&amp;$F162,'Rote Karten'!$C$2:$C$4,"&lt;="&amp;$G162)-COUNTIFS('Rote Karten'!$A$2:$A$4,$A162,'Rote Karten'!$D$2:$D$4,$B162,'Rote Karten'!$B$2:$B$4,"&lt;"&amp;$F162,'Rote Karten'!$C$2:$C$4,"&lt;="&amp;$G162)</f>
        <v>0</v>
      </c>
      <c r="I162" s="17" t="str">
        <f>IF(OR($L162="Tor",$L162="ET"),_xlfn.IFNA(IF(VLOOKUP($A162,Spiele!$A$2:$C$15,3,FALSE)=$B162,COUNTIFS($L$2:$L162,"Tor",$B$2:$B162,$B162,$A$2:$A162,$A162)+COUNTIFS($L$2:$L162,"ET",$B$2:$B162,$B162,$A$2:$A162,$A162)&amp;":"&amp;COUNTIFS($L$2:$L162,"Tor",$B$2:$B162,"&lt;&gt;"&amp;$B162,$A$2:$A162,$A162)+COUNTIFS($L$2:$L162,"ET",$B$2:$B162,"&lt;&gt;"&amp;$B162,$A$2:$A162,$A162),COUNTIFS($L$2:$L162,"Tor",$B$2:$B162,"&lt;&gt;"&amp;$B162,$A$2:$A162,$A162)+COUNTIFS($L$2:$L162,"ET",$B$2:$B162,"&lt;&gt;"&amp;$B162,$A$2:$A162,$A162)&amp;":"&amp;COUNTIFS($L$2:$L162,"Tor",$B$2:$B162,$B162,$A$2:$A162,$A162)+COUNTIFS($L$2:$L162,"ET",$B$2:$B162,$B162,$A$2:$A162,$A162)),""),"")</f>
        <v/>
      </c>
      <c r="J162" s="18">
        <f>_xlfn.IFNA(IF(VLOOKUP($A162,Spiele!$A$2:$D$15,3,FALSE)=$B162,(COUNTIFS($L$1:$L161,"Tor",$B$1:$B161,$B162,$A$1:$A161,$A162)+COUNTIFS($L$1:$L161,"ET",$B$1:$B161,$B162,$A$1:$A161,$A162))-(COUNTIFS($L$1:$L161,"Tor",$B$1:$B161,"&lt;&gt;"&amp;$B162,$A$1:$A161,$A162)+COUNTIFS($L$1:$L161,"ET",$B$1:$B161,"&lt;&gt;"&amp;$B162,$A$1:$A161,$A162)),(COUNTIFS($L$1:$L161,"Tor",$B$1:$B161,$B162,$A$1:$A161,$A162)+COUNTIFS($L$1:$L161,"ET",$B$1:$B161,$B162,$A$1:$A161,$A162))-(COUNTIFS($L$1:$L161,"Tor",$B$1:$B161,"&lt;&gt;"&amp;$B162,$A$1:$A161,$A162)+COUNTIFS($L$1:$L161,"ET",$B$1:$B161,"&lt;&gt;"&amp;$B162,$A$1:$A161,$A162))),"")</f>
        <v>1</v>
      </c>
      <c r="K162" s="3">
        <v>6</v>
      </c>
      <c r="L162" s="17" t="s">
        <v>20</v>
      </c>
      <c r="M162" s="2" t="s">
        <v>163</v>
      </c>
      <c r="N162" s="2" t="s">
        <v>178</v>
      </c>
      <c r="O162" s="2">
        <v>7</v>
      </c>
      <c r="P162" s="2">
        <v>8</v>
      </c>
      <c r="Q162" s="2">
        <v>26</v>
      </c>
      <c r="X162" s="2" t="s">
        <v>142</v>
      </c>
      <c r="Y162" s="17" t="s">
        <v>143</v>
      </c>
      <c r="Z162" s="14" t="s">
        <v>150</v>
      </c>
      <c r="AA162" s="14" t="s">
        <v>156</v>
      </c>
      <c r="AB162" s="18">
        <v>10</v>
      </c>
      <c r="AC162" s="13">
        <v>8</v>
      </c>
      <c r="AD162" s="13">
        <v>9</v>
      </c>
      <c r="AE162" s="19">
        <f t="shared" si="8"/>
        <v>9.9917766188000812</v>
      </c>
      <c r="AF162" s="19">
        <f t="shared" si="9"/>
        <v>26.592141806196555</v>
      </c>
      <c r="AG162" s="2" t="s">
        <v>146</v>
      </c>
      <c r="AH162" s="13">
        <v>5</v>
      </c>
      <c r="AI162" s="13">
        <v>1.5</v>
      </c>
      <c r="AJ162" s="19">
        <f>IF(Abschlüsse[[#This Row],[Ergeb]]="ET","",SQRT(($AC162-$AH162)^2+($AD162-$AI162)^2))</f>
        <v>8.0777472107017552</v>
      </c>
      <c r="AK162" s="3">
        <v>1</v>
      </c>
      <c r="AL162" s="13">
        <v>5.5</v>
      </c>
      <c r="AM162" s="13">
        <v>9</v>
      </c>
      <c r="AN162" s="19">
        <f t="shared" si="10"/>
        <v>2.5</v>
      </c>
      <c r="AO162" s="3">
        <v>3</v>
      </c>
      <c r="AP162" s="13">
        <v>6</v>
      </c>
      <c r="AQ162" s="13">
        <v>4.5</v>
      </c>
      <c r="AR162" s="19">
        <f t="shared" si="11"/>
        <v>4.924428900898052</v>
      </c>
    </row>
    <row r="163" spans="1:44" ht="25.05" customHeight="1">
      <c r="A163" s="3">
        <v>7</v>
      </c>
      <c r="B163" s="2" t="s">
        <v>8</v>
      </c>
      <c r="C163" s="17" t="str">
        <f>IF($A163="","",IF(VLOOKUP($A163,Spiele!$A$2:$D$15,3,FALSE)=$B163,"H","G"))</f>
        <v>H</v>
      </c>
      <c r="D163" s="17" t="str">
        <f>IF($B163="","",IF(VLOOKUP($A163,Spiele!$A$2:$F$15,3,FALSE)=$B163,VLOOKUP($A163,Spiele!$A$2:$F$15,4,FALSE),VLOOKUP($A163,Spiele!$A$2:$F$15,3,FALSE)))</f>
        <v>FCA</v>
      </c>
      <c r="E163" s="18">
        <f>IF(Abschlüsse[[#This Row],[Ergeb]]="ET",0,COUNTIFS($A$2:$A163,$A163,$B$2:$B163,$B163,$L$2:$L163,"&lt;&gt;ET"))</f>
        <v>11</v>
      </c>
      <c r="F163" s="11">
        <v>18</v>
      </c>
      <c r="G163" s="12">
        <v>1</v>
      </c>
      <c r="H163" s="18">
        <f>COUNTIFS('Rote Karten'!$A$2:$A$4,$A163,'Rote Karten'!$D$2:$D$4,"&lt;&gt;"&amp;$B163,'Rote Karten'!$B$2:$B$4,"&lt;"&amp;$F163,'Rote Karten'!$C$2:$C$4,"&lt;="&amp;$G163)-COUNTIFS('Rote Karten'!$A$2:$A$4,$A163,'Rote Karten'!$D$2:$D$4,$B163,'Rote Karten'!$B$2:$B$4,"&lt;"&amp;$F163,'Rote Karten'!$C$2:$C$4,"&lt;="&amp;$G163)</f>
        <v>0</v>
      </c>
      <c r="I163" s="17" t="str">
        <f>IF(OR($L163="Tor",$L163="ET"),_xlfn.IFNA(IF(VLOOKUP($A163,Spiele!$A$2:$C$15,3,FALSE)=$B163,COUNTIFS($L$2:$L163,"Tor",$B$2:$B163,$B163,$A$2:$A163,$A163)+COUNTIFS($L$2:$L163,"ET",$B$2:$B163,$B163,$A$2:$A163,$A163)&amp;":"&amp;COUNTIFS($L$2:$L163,"Tor",$B$2:$B163,"&lt;&gt;"&amp;$B163,$A$2:$A163,$A163)+COUNTIFS($L$2:$L163,"ET",$B$2:$B163,"&lt;&gt;"&amp;$B163,$A$2:$A163,$A163),COUNTIFS($L$2:$L163,"Tor",$B$2:$B163,"&lt;&gt;"&amp;$B163,$A$2:$A163,$A163)+COUNTIFS($L$2:$L163,"ET",$B$2:$B163,"&lt;&gt;"&amp;$B163,$A$2:$A163,$A163)&amp;":"&amp;COUNTIFS($L$2:$L163,"Tor",$B$2:$B163,$B163,$A$2:$A163,$A163)+COUNTIFS($L$2:$L163,"ET",$B$2:$B163,$B163,$A$2:$A163,$A163)),""),"")</f>
        <v/>
      </c>
      <c r="J163" s="18">
        <f>_xlfn.IFNA(IF(VLOOKUP($A163,Spiele!$A$2:$D$15,3,FALSE)=$B163,(COUNTIFS($L$1:$L162,"Tor",$B$1:$B162,$B163,$A$1:$A162,$A163)+COUNTIFS($L$1:$L162,"ET",$B$1:$B162,$B163,$A$1:$A162,$A163))-(COUNTIFS($L$1:$L162,"Tor",$B$1:$B162,"&lt;&gt;"&amp;$B163,$A$1:$A162,$A163)+COUNTIFS($L$1:$L162,"ET",$B$1:$B162,"&lt;&gt;"&amp;$B163,$A$1:$A162,$A163)),(COUNTIFS($L$1:$L162,"Tor",$B$1:$B162,$B163,$A$1:$A162,$A163)+COUNTIFS($L$1:$L162,"ET",$B$1:$B162,$B163,$A$1:$A162,$A163))-(COUNTIFS($L$1:$L162,"Tor",$B$1:$B162,"&lt;&gt;"&amp;$B163,$A$1:$A162,$A163)+COUNTIFS($L$1:$L162,"ET",$B$1:$B162,"&lt;&gt;"&amp;$B163,$A$1:$A162,$A163))),"")</f>
        <v>1</v>
      </c>
      <c r="K163" s="3">
        <v>6</v>
      </c>
      <c r="L163" s="18" t="s">
        <v>18</v>
      </c>
      <c r="M163" s="3" t="s">
        <v>163</v>
      </c>
      <c r="N163" s="2" t="s">
        <v>165</v>
      </c>
      <c r="X163" s="22" t="s">
        <v>151</v>
      </c>
      <c r="Y163" s="18" t="s">
        <v>149</v>
      </c>
      <c r="Z163" s="14" t="s">
        <v>150</v>
      </c>
      <c r="AA163" s="14" t="s">
        <v>156</v>
      </c>
      <c r="AB163" s="18">
        <v>8</v>
      </c>
      <c r="AC163" s="13">
        <v>10</v>
      </c>
      <c r="AD163" s="13">
        <v>9.5</v>
      </c>
      <c r="AE163" s="19">
        <f t="shared" si="8"/>
        <v>11.421278387290979</v>
      </c>
      <c r="AF163" s="19">
        <f t="shared" si="9"/>
        <v>21.464990616315546</v>
      </c>
      <c r="AG163" s="3" t="s">
        <v>146</v>
      </c>
      <c r="AH163" s="13">
        <v>4.5</v>
      </c>
      <c r="AI163" s="13">
        <v>1.5</v>
      </c>
      <c r="AJ163" s="19">
        <f>IF(Abschlüsse[[#This Row],[Ergeb]]="ET","",SQRT(($AC163-$AH163)^2+($AD163-$AI163)^2))</f>
        <v>9.7082439194737997</v>
      </c>
      <c r="AK163" s="3">
        <v>2</v>
      </c>
      <c r="AL163" s="13">
        <v>9</v>
      </c>
      <c r="AM163" s="13">
        <v>9.5</v>
      </c>
      <c r="AN163" s="19">
        <f t="shared" si="10"/>
        <v>1</v>
      </c>
      <c r="AO163" s="3">
        <v>3</v>
      </c>
      <c r="AP163" s="13">
        <v>7</v>
      </c>
      <c r="AQ163" s="13">
        <v>6</v>
      </c>
      <c r="AR163" s="19">
        <f t="shared" si="11"/>
        <v>4.6097722286464435</v>
      </c>
    </row>
    <row r="164" spans="1:44" ht="25.05" customHeight="1">
      <c r="A164" s="3">
        <v>7</v>
      </c>
      <c r="B164" s="2" t="s">
        <v>8</v>
      </c>
      <c r="C164" s="17" t="str">
        <f>IF($A164="","",IF(VLOOKUP($A164,Spiele!$A$2:$D$15,3,FALSE)=$B164,"H","G"))</f>
        <v>H</v>
      </c>
      <c r="D164" s="17" t="str">
        <f>IF($B164="","",IF(VLOOKUP($A164,Spiele!$A$2:$F$15,3,FALSE)=$B164,VLOOKUP($A164,Spiele!$A$2:$F$15,4,FALSE),VLOOKUP($A164,Spiele!$A$2:$F$15,3,FALSE)))</f>
        <v>FCA</v>
      </c>
      <c r="E164" s="18">
        <f>IF(Abschlüsse[[#This Row],[Ergeb]]="ET",0,COUNTIFS($A$2:$A164,$A164,$B$2:$B164,$B164,$L$2:$L164,"&lt;&gt;ET"))</f>
        <v>12</v>
      </c>
      <c r="F164" s="11">
        <v>20</v>
      </c>
      <c r="G164" s="12">
        <v>1</v>
      </c>
      <c r="H164" s="18">
        <f>COUNTIFS('Rote Karten'!$A$2:$A$4,$A164,'Rote Karten'!$D$2:$D$4,"&lt;&gt;"&amp;$B164,'Rote Karten'!$B$2:$B$4,"&lt;"&amp;$F164,'Rote Karten'!$C$2:$C$4,"&lt;="&amp;$G164)-COUNTIFS('Rote Karten'!$A$2:$A$4,$A164,'Rote Karten'!$D$2:$D$4,$B164,'Rote Karten'!$B$2:$B$4,"&lt;"&amp;$F164,'Rote Karten'!$C$2:$C$4,"&lt;="&amp;$G164)</f>
        <v>0</v>
      </c>
      <c r="I164" s="17" t="str">
        <f>IF(OR($L164="Tor",$L164="ET"),_xlfn.IFNA(IF(VLOOKUP($A164,Spiele!$A$2:$C$15,3,FALSE)=$B164,COUNTIFS($L$2:$L164,"Tor",$B$2:$B164,$B164,$A$2:$A164,$A164)+COUNTIFS($L$2:$L164,"ET",$B$2:$B164,$B164,$A$2:$A164,$A164)&amp;":"&amp;COUNTIFS($L$2:$L164,"Tor",$B$2:$B164,"&lt;&gt;"&amp;$B164,$A$2:$A164,$A164)+COUNTIFS($L$2:$L164,"ET",$B$2:$B164,"&lt;&gt;"&amp;$B164,$A$2:$A164,$A164),COUNTIFS($L$2:$L164,"Tor",$B$2:$B164,"&lt;&gt;"&amp;$B164,$A$2:$A164,$A164)+COUNTIFS($L$2:$L164,"ET",$B$2:$B164,"&lt;&gt;"&amp;$B164,$A$2:$A164,$A164)&amp;":"&amp;COUNTIFS($L$2:$L164,"Tor",$B$2:$B164,$B164,$A$2:$A164,$A164)+COUNTIFS($L$2:$L164,"ET",$B$2:$B164,$B164,$A$2:$A164,$A164)),""),"")</f>
        <v/>
      </c>
      <c r="J164" s="18">
        <f>_xlfn.IFNA(IF(VLOOKUP($A164,Spiele!$A$2:$D$15,3,FALSE)=$B164,(COUNTIFS($L$1:$L163,"Tor",$B$1:$B163,$B164,$A$1:$A163,$A164)+COUNTIFS($L$1:$L163,"ET",$B$1:$B163,$B164,$A$1:$A163,$A164))-(COUNTIFS($L$1:$L163,"Tor",$B$1:$B163,"&lt;&gt;"&amp;$B164,$A$1:$A163,$A164)+COUNTIFS($L$1:$L163,"ET",$B$1:$B163,"&lt;&gt;"&amp;$B164,$A$1:$A163,$A164)),(COUNTIFS($L$1:$L163,"Tor",$B$1:$B163,$B164,$A$1:$A163,$A164)+COUNTIFS($L$1:$L163,"ET",$B$1:$B163,$B164,$A$1:$A163,$A164))-(COUNTIFS($L$1:$L163,"Tor",$B$1:$B163,"&lt;&gt;"&amp;$B164,$A$1:$A163,$A164)+COUNTIFS($L$1:$L163,"ET",$B$1:$B163,"&lt;&gt;"&amp;$B164,$A$1:$A163,$A164))),"")</f>
        <v>1</v>
      </c>
      <c r="K164" s="3">
        <v>7</v>
      </c>
      <c r="L164" s="17" t="s">
        <v>18</v>
      </c>
      <c r="M164" s="2" t="s">
        <v>163</v>
      </c>
      <c r="N164" s="2" t="s">
        <v>158</v>
      </c>
      <c r="O164" s="2">
        <v>8</v>
      </c>
      <c r="X164" s="2" t="s">
        <v>141</v>
      </c>
      <c r="Y164" s="17" t="s">
        <v>149</v>
      </c>
      <c r="Z164" s="14" t="s">
        <v>150</v>
      </c>
      <c r="AA164" s="14" t="s">
        <v>156</v>
      </c>
      <c r="AB164" s="18">
        <v>10</v>
      </c>
      <c r="AC164" s="13">
        <v>-8</v>
      </c>
      <c r="AD164" s="13">
        <v>15.5</v>
      </c>
      <c r="AE164" s="19">
        <f t="shared" si="8"/>
        <v>16.096136182326489</v>
      </c>
      <c r="AF164" s="19">
        <f t="shared" si="9"/>
        <v>21.310363124701595</v>
      </c>
      <c r="AG164" s="2" t="s">
        <v>146</v>
      </c>
      <c r="AH164" s="13">
        <v>-3</v>
      </c>
      <c r="AI164" s="13">
        <v>1</v>
      </c>
      <c r="AJ164" s="19">
        <f>IF(Abschlüsse[[#This Row],[Ergeb]]="ET","",SQRT(($AC164-$AH164)^2+($AD164-$AI164)^2))</f>
        <v>15.337861650177967</v>
      </c>
      <c r="AK164" s="3">
        <v>0</v>
      </c>
      <c r="AL164" s="13"/>
      <c r="AM164" s="13"/>
      <c r="AN164" s="19" t="str">
        <f t="shared" si="10"/>
        <v/>
      </c>
      <c r="AO164" s="3">
        <v>1</v>
      </c>
      <c r="AP164" s="13">
        <v>-6</v>
      </c>
      <c r="AQ164" s="13">
        <v>10.5</v>
      </c>
      <c r="AR164" s="19">
        <f t="shared" si="11"/>
        <v>5.3851648071345037</v>
      </c>
    </row>
    <row r="165" spans="1:44" ht="25.05" customHeight="1">
      <c r="A165" s="3">
        <v>7</v>
      </c>
      <c r="B165" s="2" t="s">
        <v>8</v>
      </c>
      <c r="C165" s="17" t="str">
        <f>IF($A165="","",IF(VLOOKUP($A165,Spiele!$A$2:$D$15,3,FALSE)=$B165,"H","G"))</f>
        <v>H</v>
      </c>
      <c r="D165" s="17" t="str">
        <f>IF($B165="","",IF(VLOOKUP($A165,Spiele!$A$2:$F$15,3,FALSE)=$B165,VLOOKUP($A165,Spiele!$A$2:$F$15,4,FALSE),VLOOKUP($A165,Spiele!$A$2:$F$15,3,FALSE)))</f>
        <v>FCA</v>
      </c>
      <c r="E165" s="18">
        <f>IF(Abschlüsse[[#This Row],[Ergeb]]="ET",0,COUNTIFS($A$2:$A165,$A165,$B$2:$B165,$B165,$L$2:$L165,"&lt;&gt;ET"))</f>
        <v>13</v>
      </c>
      <c r="F165" s="11">
        <v>24</v>
      </c>
      <c r="G165" s="12">
        <v>1</v>
      </c>
      <c r="H165" s="18">
        <f>COUNTIFS('Rote Karten'!$A$2:$A$4,$A165,'Rote Karten'!$D$2:$D$4,"&lt;&gt;"&amp;$B165,'Rote Karten'!$B$2:$B$4,"&lt;"&amp;$F165,'Rote Karten'!$C$2:$C$4,"&lt;="&amp;$G165)-COUNTIFS('Rote Karten'!$A$2:$A$4,$A165,'Rote Karten'!$D$2:$D$4,$B165,'Rote Karten'!$B$2:$B$4,"&lt;"&amp;$F165,'Rote Karten'!$C$2:$C$4,"&lt;="&amp;$G165)</f>
        <v>0</v>
      </c>
      <c r="I165" s="17" t="str">
        <f>IF(OR($L165="Tor",$L165="ET"),_xlfn.IFNA(IF(VLOOKUP($A165,Spiele!$A$2:$C$15,3,FALSE)=$B165,COUNTIFS($L$2:$L165,"Tor",$B$2:$B165,$B165,$A$2:$A165,$A165)+COUNTIFS($L$2:$L165,"ET",$B$2:$B165,$B165,$A$2:$A165,$A165)&amp;":"&amp;COUNTIFS($L$2:$L165,"Tor",$B$2:$B165,"&lt;&gt;"&amp;$B165,$A$2:$A165,$A165)+COUNTIFS($L$2:$L165,"ET",$B$2:$B165,"&lt;&gt;"&amp;$B165,$A$2:$A165,$A165),COUNTIFS($L$2:$L165,"Tor",$B$2:$B165,"&lt;&gt;"&amp;$B165,$A$2:$A165,$A165)+COUNTIFS($L$2:$L165,"ET",$B$2:$B165,"&lt;&gt;"&amp;$B165,$A$2:$A165,$A165)&amp;":"&amp;COUNTIFS($L$2:$L165,"Tor",$B$2:$B165,$B165,$A$2:$A165,$A165)+COUNTIFS($L$2:$L165,"ET",$B$2:$B165,$B165,$A$2:$A165,$A165)),""),"")</f>
        <v/>
      </c>
      <c r="J165" s="18">
        <f>_xlfn.IFNA(IF(VLOOKUP($A165,Spiele!$A$2:$D$15,3,FALSE)=$B165,(COUNTIFS($L$1:$L164,"Tor",$B$1:$B164,$B165,$A$1:$A164,$A165)+COUNTIFS($L$1:$L164,"ET",$B$1:$B164,$B165,$A$1:$A164,$A165))-(COUNTIFS($L$1:$L164,"Tor",$B$1:$B164,"&lt;&gt;"&amp;$B165,$A$1:$A164,$A165)+COUNTIFS($L$1:$L164,"ET",$B$1:$B164,"&lt;&gt;"&amp;$B165,$A$1:$A164,$A165)),(COUNTIFS($L$1:$L164,"Tor",$B$1:$B164,$B165,$A$1:$A164,$A165)+COUNTIFS($L$1:$L164,"ET",$B$1:$B164,$B165,$A$1:$A164,$A165))-(COUNTIFS($L$1:$L164,"Tor",$B$1:$B164,"&lt;&gt;"&amp;$B165,$A$1:$A164,$A165)+COUNTIFS($L$1:$L164,"ET",$B$1:$B164,"&lt;&gt;"&amp;$B165,$A$1:$A164,$A165))),"")</f>
        <v>1</v>
      </c>
      <c r="K165" s="3">
        <v>8</v>
      </c>
      <c r="L165" s="17" t="s">
        <v>18</v>
      </c>
      <c r="M165" s="2" t="s">
        <v>163</v>
      </c>
      <c r="N165" s="2" t="s">
        <v>3</v>
      </c>
      <c r="X165" s="2" t="s">
        <v>142</v>
      </c>
      <c r="Y165" s="17" t="s">
        <v>143</v>
      </c>
      <c r="Z165" s="14" t="s">
        <v>150</v>
      </c>
      <c r="AA165" s="14" t="s">
        <v>156</v>
      </c>
      <c r="AB165" s="18">
        <v>26</v>
      </c>
      <c r="AC165" s="13">
        <v>7.5</v>
      </c>
      <c r="AD165" s="13">
        <v>20</v>
      </c>
      <c r="AE165" s="19">
        <f t="shared" si="8"/>
        <v>20.365303827834243</v>
      </c>
      <c r="AF165" s="19">
        <f t="shared" si="9"/>
        <v>18.292991879035615</v>
      </c>
      <c r="AG165" s="2" t="s">
        <v>146</v>
      </c>
      <c r="AH165" s="13">
        <v>2</v>
      </c>
      <c r="AI165" s="13">
        <v>0.5</v>
      </c>
      <c r="AJ165" s="19">
        <f>IF(Abschlüsse[[#This Row],[Ergeb]]="ET","",SQRT(($AC165-$AH165)^2+($AD165-$AI165)^2))</f>
        <v>20.260799589354811</v>
      </c>
      <c r="AK165" s="3">
        <v>0</v>
      </c>
      <c r="AL165" s="13"/>
      <c r="AM165" s="13"/>
      <c r="AN165" s="19" t="str">
        <f t="shared" si="10"/>
        <v/>
      </c>
      <c r="AO165" s="3">
        <v>2</v>
      </c>
      <c r="AP165" s="13">
        <v>4</v>
      </c>
      <c r="AQ165" s="13">
        <v>9</v>
      </c>
      <c r="AR165" s="19">
        <f t="shared" si="11"/>
        <v>11.543396380615196</v>
      </c>
    </row>
    <row r="166" spans="1:44" ht="25.05" customHeight="1">
      <c r="A166" s="3">
        <v>7</v>
      </c>
      <c r="B166" s="2" t="s">
        <v>66</v>
      </c>
      <c r="C166" s="17" t="str">
        <f>IF($A166="","",IF(VLOOKUP($A166,Spiele!$A$2:$D$15,3,FALSE)=$B166,"H","G"))</f>
        <v>G</v>
      </c>
      <c r="D166" s="17" t="str">
        <f>IF($B166="","",IF(VLOOKUP($A166,Spiele!$A$2:$F$15,3,FALSE)=$B166,VLOOKUP($A166,Spiele!$A$2:$F$15,4,FALSE),VLOOKUP($A166,Spiele!$A$2:$F$15,3,FALSE)))</f>
        <v>FCN</v>
      </c>
      <c r="E166" s="18">
        <f>IF(Abschlüsse[[#This Row],[Ergeb]]="ET",0,COUNTIFS($A$2:$A166,$A166,$B$2:$B166,$B166,$L$2:$L166,"&lt;&gt;ET"))</f>
        <v>1</v>
      </c>
      <c r="F166" s="11">
        <v>29</v>
      </c>
      <c r="G166" s="12">
        <v>1</v>
      </c>
      <c r="H166" s="18">
        <f>COUNTIFS('Rote Karten'!$A$2:$A$4,$A166,'Rote Karten'!$D$2:$D$4,"&lt;&gt;"&amp;$B166,'Rote Karten'!$B$2:$B$4,"&lt;"&amp;$F166,'Rote Karten'!$C$2:$C$4,"&lt;="&amp;$G166)-COUNTIFS('Rote Karten'!$A$2:$A$4,$A166,'Rote Karten'!$D$2:$D$4,$B166,'Rote Karten'!$B$2:$B$4,"&lt;"&amp;$F166,'Rote Karten'!$C$2:$C$4,"&lt;="&amp;$G166)</f>
        <v>0</v>
      </c>
      <c r="I166" s="17" t="str">
        <f>IF(OR($L166="Tor",$L166="ET"),_xlfn.IFNA(IF(VLOOKUP($A166,Spiele!$A$2:$C$15,3,FALSE)=$B166,COUNTIFS($L$2:$L166,"Tor",$B$2:$B166,$B166,$A$2:$A166,$A166)+COUNTIFS($L$2:$L166,"ET",$B$2:$B166,$B166,$A$2:$A166,$A166)&amp;":"&amp;COUNTIFS($L$2:$L166,"Tor",$B$2:$B166,"&lt;&gt;"&amp;$B166,$A$2:$A166,$A166)+COUNTIFS($L$2:$L166,"ET",$B$2:$B166,"&lt;&gt;"&amp;$B166,$A$2:$A166,$A166),COUNTIFS($L$2:$L166,"Tor",$B$2:$B166,"&lt;&gt;"&amp;$B166,$A$2:$A166,$A166)+COUNTIFS($L$2:$L166,"ET",$B$2:$B166,"&lt;&gt;"&amp;$B166,$A$2:$A166,$A166)&amp;":"&amp;COUNTIFS($L$2:$L166,"Tor",$B$2:$B166,$B166,$A$2:$A166,$A166)+COUNTIFS($L$2:$L166,"ET",$B$2:$B166,$B166,$A$2:$A166,$A166)),""),"")</f>
        <v/>
      </c>
      <c r="J166" s="18">
        <f>_xlfn.IFNA(IF(VLOOKUP($A166,Spiele!$A$2:$D$15,3,FALSE)=$B166,(COUNTIFS($L$1:$L165,"Tor",$B$1:$B165,$B166,$A$1:$A165,$A166)+COUNTIFS($L$1:$L165,"ET",$B$1:$B165,$B166,$A$1:$A165,$A166))-(COUNTIFS($L$1:$L165,"Tor",$B$1:$B165,"&lt;&gt;"&amp;$B166,$A$1:$A165,$A166)+COUNTIFS($L$1:$L165,"ET",$B$1:$B165,"&lt;&gt;"&amp;$B166,$A$1:$A165,$A166)),(COUNTIFS($L$1:$L165,"Tor",$B$1:$B165,$B166,$A$1:$A165,$A166)+COUNTIFS($L$1:$L165,"ET",$B$1:$B165,$B166,$A$1:$A165,$A166))-(COUNTIFS($L$1:$L165,"Tor",$B$1:$B165,"&lt;&gt;"&amp;$B166,$A$1:$A165,$A166)+COUNTIFS($L$1:$L165,"ET",$B$1:$B165,"&lt;&gt;"&amp;$B166,$A$1:$A165,$A166))),"")</f>
        <v>-1</v>
      </c>
      <c r="K166" s="3">
        <v>9</v>
      </c>
      <c r="L166" s="17" t="s">
        <v>19</v>
      </c>
      <c r="M166" s="2" t="s">
        <v>163</v>
      </c>
      <c r="N166" s="2" t="s">
        <v>164</v>
      </c>
      <c r="X166" s="2" t="s">
        <v>151</v>
      </c>
      <c r="Y166" s="17" t="s">
        <v>149</v>
      </c>
      <c r="Z166" s="14" t="s">
        <v>150</v>
      </c>
      <c r="AA166" s="14" t="s">
        <v>145</v>
      </c>
      <c r="AB166" s="18"/>
      <c r="AC166" s="13">
        <v>-2</v>
      </c>
      <c r="AD166" s="13">
        <v>30</v>
      </c>
      <c r="AE166" s="19">
        <f t="shared" si="8"/>
        <v>30</v>
      </c>
      <c r="AF166" s="19">
        <f t="shared" si="9"/>
        <v>13.851353216671258</v>
      </c>
      <c r="AG166" s="2" t="s">
        <v>146</v>
      </c>
      <c r="AH166" s="13">
        <v>0</v>
      </c>
      <c r="AI166" s="13">
        <v>2.5</v>
      </c>
      <c r="AJ166" s="19">
        <f>IF(Abschlüsse[[#This Row],[Ergeb]]="ET","",SQRT(($AC166-$AH166)^2+($AD166-$AI166)^2))</f>
        <v>27.572631357924475</v>
      </c>
      <c r="AK166" s="3">
        <v>0</v>
      </c>
      <c r="AL166" s="13"/>
      <c r="AM166" s="13"/>
      <c r="AN166" s="19" t="str">
        <f t="shared" si="10"/>
        <v/>
      </c>
      <c r="AO166" s="3">
        <v>2</v>
      </c>
      <c r="AP166" s="13">
        <v>-2</v>
      </c>
      <c r="AQ166" s="13">
        <v>25</v>
      </c>
      <c r="AR166" s="19">
        <f t="shared" si="11"/>
        <v>5</v>
      </c>
    </row>
    <row r="167" spans="1:44" ht="25.05" customHeight="1">
      <c r="A167" s="3">
        <v>7</v>
      </c>
      <c r="B167" s="2" t="s">
        <v>8</v>
      </c>
      <c r="C167" s="17" t="str">
        <f>IF($A167="","",IF(VLOOKUP($A167,Spiele!$A$2:$D$15,3,FALSE)=$B167,"H","G"))</f>
        <v>H</v>
      </c>
      <c r="D167" s="17" t="str">
        <f>IF($B167="","",IF(VLOOKUP($A167,Spiele!$A$2:$F$15,3,FALSE)=$B167,VLOOKUP($A167,Spiele!$A$2:$F$15,4,FALSE),VLOOKUP($A167,Spiele!$A$2:$F$15,3,FALSE)))</f>
        <v>FCA</v>
      </c>
      <c r="E167" s="18">
        <f>IF(Abschlüsse[[#This Row],[Ergeb]]="ET",0,COUNTIFS($A$2:$A167,$A167,$B$2:$B167,$B167,$L$2:$L167,"&lt;&gt;ET"))</f>
        <v>14</v>
      </c>
      <c r="F167" s="11">
        <v>31</v>
      </c>
      <c r="G167" s="12">
        <v>1</v>
      </c>
      <c r="H167" s="18">
        <f>COUNTIFS('Rote Karten'!$A$2:$A$4,$A167,'Rote Karten'!$D$2:$D$4,"&lt;&gt;"&amp;$B167,'Rote Karten'!$B$2:$B$4,"&lt;"&amp;$F167,'Rote Karten'!$C$2:$C$4,"&lt;="&amp;$G167)-COUNTIFS('Rote Karten'!$A$2:$A$4,$A167,'Rote Karten'!$D$2:$D$4,$B167,'Rote Karten'!$B$2:$B$4,"&lt;"&amp;$F167,'Rote Karten'!$C$2:$C$4,"&lt;="&amp;$G167)</f>
        <v>0</v>
      </c>
      <c r="I167" s="17" t="str">
        <f>IF(OR($L167="Tor",$L167="ET"),_xlfn.IFNA(IF(VLOOKUP($A167,Spiele!$A$2:$C$15,3,FALSE)=$B167,COUNTIFS($L$2:$L167,"Tor",$B$2:$B167,$B167,$A$2:$A167,$A167)+COUNTIFS($L$2:$L167,"ET",$B$2:$B167,$B167,$A$2:$A167,$A167)&amp;":"&amp;COUNTIFS($L$2:$L167,"Tor",$B$2:$B167,"&lt;&gt;"&amp;$B167,$A$2:$A167,$A167)+COUNTIFS($L$2:$L167,"ET",$B$2:$B167,"&lt;&gt;"&amp;$B167,$A$2:$A167,$A167),COUNTIFS($L$2:$L167,"Tor",$B$2:$B167,"&lt;&gt;"&amp;$B167,$A$2:$A167,$A167)+COUNTIFS($L$2:$L167,"ET",$B$2:$B167,"&lt;&gt;"&amp;$B167,$A$2:$A167,$A167)&amp;":"&amp;COUNTIFS($L$2:$L167,"Tor",$B$2:$B167,$B167,$A$2:$A167,$A167)+COUNTIFS($L$2:$L167,"ET",$B$2:$B167,$B167,$A$2:$A167,$A167)),""),"")</f>
        <v/>
      </c>
      <c r="J167" s="18">
        <f>_xlfn.IFNA(IF(VLOOKUP($A167,Spiele!$A$2:$D$15,3,FALSE)=$B167,(COUNTIFS($L$1:$L166,"Tor",$B$1:$B166,$B167,$A$1:$A166,$A167)+COUNTIFS($L$1:$L166,"ET",$B$1:$B166,$B167,$A$1:$A166,$A167))-(COUNTIFS($L$1:$L166,"Tor",$B$1:$B166,"&lt;&gt;"&amp;$B167,$A$1:$A166,$A167)+COUNTIFS($L$1:$L166,"ET",$B$1:$B166,"&lt;&gt;"&amp;$B167,$A$1:$A166,$A167)),(COUNTIFS($L$1:$L166,"Tor",$B$1:$B166,$B167,$A$1:$A166,$A167)+COUNTIFS($L$1:$L166,"ET",$B$1:$B166,$B167,$A$1:$A166,$A167))-(COUNTIFS($L$1:$L166,"Tor",$B$1:$B166,"&lt;&gt;"&amp;$B167,$A$1:$A166,$A167)+COUNTIFS($L$1:$L166,"ET",$B$1:$B166,"&lt;&gt;"&amp;$B167,$A$1:$A166,$A167))),"")</f>
        <v>1</v>
      </c>
      <c r="K167" s="3">
        <v>10</v>
      </c>
      <c r="L167" s="18" t="s">
        <v>20</v>
      </c>
      <c r="M167" s="3" t="s">
        <v>163</v>
      </c>
      <c r="N167" s="2" t="s">
        <v>164</v>
      </c>
      <c r="O167" s="2">
        <v>19</v>
      </c>
      <c r="P167" s="2">
        <v>4</v>
      </c>
      <c r="X167" s="22" t="s">
        <v>151</v>
      </c>
      <c r="Y167" s="18" t="s">
        <v>149</v>
      </c>
      <c r="Z167" s="14" t="s">
        <v>150</v>
      </c>
      <c r="AA167" s="14" t="s">
        <v>156</v>
      </c>
      <c r="AB167" s="18">
        <v>10</v>
      </c>
      <c r="AC167" s="13">
        <v>12</v>
      </c>
      <c r="AD167" s="13">
        <v>13</v>
      </c>
      <c r="AE167" s="19">
        <f>IF($L167="ET","",IF($AC167&gt;3.66,SQRT($AD167^2+($AC167-(7.32/2))^2),IF($AC167&lt;-3.66,SQRT($AD167^2+($AC167+(7.32/2))^2),$AD167)))</f>
        <v>15.445245223045182</v>
      </c>
      <c r="AF167" s="19">
        <f>IF($L167="ET","",IF(DEGREES(ATAN((7.32*$AD167)/($AD167^2+$AC167^2-(7.32/2)^2)))&lt;=0,180+DEGREES(ATAN((7.32*$AD167)/($AD167^2+$AC167^2-(7.32/2)^2))),DEGREES(ATAN((7.32*$AD167)/($AD167^2+$AC167^2-(7.32/2)^2)))))</f>
        <v>17.62082823680722</v>
      </c>
      <c r="AG167" s="3" t="s">
        <v>146</v>
      </c>
      <c r="AH167" s="13">
        <v>3.5</v>
      </c>
      <c r="AI167" s="13">
        <v>2</v>
      </c>
      <c r="AJ167" s="19">
        <f>IF(Abschlüsse[[#This Row],[Ergeb]]="ET","",SQRT(($AC167-$AH167)^2+($AD167-$AI167)^2))</f>
        <v>13.901438774457844</v>
      </c>
      <c r="AK167" s="3">
        <v>0</v>
      </c>
      <c r="AL167" s="13"/>
      <c r="AM167" s="13"/>
      <c r="AN167" s="19" t="str">
        <f>IF(AK167=0,"",SQRT(($AC167-$AL167)^2+($AD167-$AM167)^2))</f>
        <v/>
      </c>
      <c r="AO167" s="3">
        <v>2</v>
      </c>
      <c r="AP167" s="13">
        <v>11</v>
      </c>
      <c r="AQ167" s="13">
        <v>11</v>
      </c>
      <c r="AR167" s="19">
        <f>IF(AO167=0,"",SQRT(($AC167-$AP167)^2+($AD167-$AQ167)^2))</f>
        <v>2.2360679774997898</v>
      </c>
    </row>
    <row r="168" spans="1:44" ht="25.05" customHeight="1">
      <c r="A168" s="3">
        <v>7</v>
      </c>
      <c r="B168" s="2" t="s">
        <v>8</v>
      </c>
      <c r="C168" s="17" t="str">
        <f>IF($A168="","",IF(VLOOKUP($A168,Spiele!$A$2:$D$15,3,FALSE)=$B168,"H","G"))</f>
        <v>H</v>
      </c>
      <c r="D168" s="17" t="str">
        <f>IF($B168="","",IF(VLOOKUP($A168,Spiele!$A$2:$F$15,3,FALSE)=$B168,VLOOKUP($A168,Spiele!$A$2:$F$15,4,FALSE),VLOOKUP($A168,Spiele!$A$2:$F$15,3,FALSE)))</f>
        <v>FCA</v>
      </c>
      <c r="E168" s="18">
        <f>IF(Abschlüsse[[#This Row],[Ergeb]]="ET",0,COUNTIFS($A$2:$A168,$A168,$B$2:$B168,$B168,$L$2:$L168,"&lt;&gt;ET"))</f>
        <v>15</v>
      </c>
      <c r="F168" s="11">
        <v>34</v>
      </c>
      <c r="G168" s="12">
        <v>1</v>
      </c>
      <c r="H168" s="18">
        <f>COUNTIFS('Rote Karten'!$A$2:$A$4,$A168,'Rote Karten'!$D$2:$D$4,"&lt;&gt;"&amp;$B168,'Rote Karten'!$B$2:$B$4,"&lt;"&amp;$F168,'Rote Karten'!$C$2:$C$4,"&lt;="&amp;$G168)-COUNTIFS('Rote Karten'!$A$2:$A$4,$A168,'Rote Karten'!$D$2:$D$4,$B168,'Rote Karten'!$B$2:$B$4,"&lt;"&amp;$F168,'Rote Karten'!$C$2:$C$4,"&lt;="&amp;$G168)</f>
        <v>0</v>
      </c>
      <c r="I168" s="17" t="str">
        <f>IF(OR($L168="Tor",$L168="ET"),_xlfn.IFNA(IF(VLOOKUP($A168,Spiele!$A$2:$C$15,3,FALSE)=$B168,COUNTIFS($L$2:$L168,"Tor",$B$2:$B168,$B168,$A$2:$A168,$A168)+COUNTIFS($L$2:$L168,"ET",$B$2:$B168,$B168,$A$2:$A168,$A168)&amp;":"&amp;COUNTIFS($L$2:$L168,"Tor",$B$2:$B168,"&lt;&gt;"&amp;$B168,$A$2:$A168,$A168)+COUNTIFS($L$2:$L168,"ET",$B$2:$B168,"&lt;&gt;"&amp;$B168,$A$2:$A168,$A168),COUNTIFS($L$2:$L168,"Tor",$B$2:$B168,"&lt;&gt;"&amp;$B168,$A$2:$A168,$A168)+COUNTIFS($L$2:$L168,"ET",$B$2:$B168,"&lt;&gt;"&amp;$B168,$A$2:$A168,$A168)&amp;":"&amp;COUNTIFS($L$2:$L168,"Tor",$B$2:$B168,$B168,$A$2:$A168,$A168)+COUNTIFS($L$2:$L168,"ET",$B$2:$B168,$B168,$A$2:$A168,$A168)),""),"")</f>
        <v/>
      </c>
      <c r="J168" s="18">
        <f>_xlfn.IFNA(IF(VLOOKUP($A168,Spiele!$A$2:$D$15,3,FALSE)=$B168,(COUNTIFS($L$1:$L167,"Tor",$B$1:$B167,$B168,$A$1:$A167,$A168)+COUNTIFS($L$1:$L167,"ET",$B$1:$B167,$B168,$A$1:$A167,$A168))-(COUNTIFS($L$1:$L167,"Tor",$B$1:$B167,"&lt;&gt;"&amp;$B168,$A$1:$A167,$A168)+COUNTIFS($L$1:$L167,"ET",$B$1:$B167,"&lt;&gt;"&amp;$B168,$A$1:$A167,$A168)),(COUNTIFS($L$1:$L167,"Tor",$B$1:$B167,$B168,$A$1:$A167,$A168)+COUNTIFS($L$1:$L167,"ET",$B$1:$B167,$B168,$A$1:$A167,$A168))-(COUNTIFS($L$1:$L167,"Tor",$B$1:$B167,"&lt;&gt;"&amp;$B168,$A$1:$A167,$A168)+COUNTIFS($L$1:$L167,"ET",$B$1:$B167,"&lt;&gt;"&amp;$B168,$A$1:$A167,$A168))),"")</f>
        <v>1</v>
      </c>
      <c r="K168" s="3">
        <v>11</v>
      </c>
      <c r="L168" s="17" t="s">
        <v>19</v>
      </c>
      <c r="M168" s="2" t="s">
        <v>163</v>
      </c>
      <c r="N168" s="2" t="s">
        <v>164</v>
      </c>
      <c r="O168" s="2">
        <v>27</v>
      </c>
      <c r="P168" s="2">
        <v>1</v>
      </c>
      <c r="X168" s="2" t="s">
        <v>151</v>
      </c>
      <c r="Y168" s="17" t="s">
        <v>149</v>
      </c>
      <c r="Z168" s="14" t="s">
        <v>150</v>
      </c>
      <c r="AA168" s="14" t="s">
        <v>156</v>
      </c>
      <c r="AB168" s="18">
        <v>10</v>
      </c>
      <c r="AC168" s="13">
        <v>10</v>
      </c>
      <c r="AD168" s="13">
        <v>10.5</v>
      </c>
      <c r="AE168" s="19">
        <f t="shared" si="8"/>
        <v>12.265626767515796</v>
      </c>
      <c r="AF168" s="19">
        <f t="shared" si="9"/>
        <v>21.327704708825838</v>
      </c>
      <c r="AG168" s="2" t="s">
        <v>146</v>
      </c>
      <c r="AH168" s="13">
        <v>3.5</v>
      </c>
      <c r="AI168" s="13">
        <v>2</v>
      </c>
      <c r="AJ168" s="19">
        <f>IF(Abschlüsse[[#This Row],[Ergeb]]="ET","",SQRT(($AC168-$AH168)^2+($AD168-$AI168)^2))</f>
        <v>10.700467279516348</v>
      </c>
      <c r="AK168" s="3">
        <v>0</v>
      </c>
      <c r="AL168" s="13"/>
      <c r="AM168" s="13"/>
      <c r="AN168" s="19" t="str">
        <f t="shared" si="10"/>
        <v/>
      </c>
      <c r="AO168" s="3">
        <v>3</v>
      </c>
      <c r="AP168" s="13">
        <v>9</v>
      </c>
      <c r="AQ168" s="13">
        <v>9</v>
      </c>
      <c r="AR168" s="19">
        <f t="shared" si="11"/>
        <v>1.8027756377319946</v>
      </c>
    </row>
    <row r="169" spans="1:44" ht="25.05" customHeight="1">
      <c r="A169" s="3">
        <v>7</v>
      </c>
      <c r="B169" s="2" t="s">
        <v>66</v>
      </c>
      <c r="C169" s="17" t="str">
        <f>IF($A169="","",IF(VLOOKUP($A169,Spiele!$A$2:$D$15,3,FALSE)=$B169,"H","G"))</f>
        <v>G</v>
      </c>
      <c r="D169" s="17" t="str">
        <f>IF($B169="","",IF(VLOOKUP($A169,Spiele!$A$2:$F$15,3,FALSE)=$B169,VLOOKUP($A169,Spiele!$A$2:$F$15,4,FALSE),VLOOKUP($A169,Spiele!$A$2:$F$15,3,FALSE)))</f>
        <v>FCN</v>
      </c>
      <c r="E169" s="18">
        <f>IF(Abschlüsse[[#This Row],[Ergeb]]="ET",0,COUNTIFS($A$2:$A169,$A169,$B$2:$B169,$B169,$L$2:$L169,"&lt;&gt;ET"))</f>
        <v>2</v>
      </c>
      <c r="F169" s="11">
        <v>44</v>
      </c>
      <c r="G169" s="12">
        <v>2</v>
      </c>
      <c r="H169" s="18">
        <f>COUNTIFS('Rote Karten'!$A$2:$A$4,$A169,'Rote Karten'!$D$2:$D$4,"&lt;&gt;"&amp;$B169,'Rote Karten'!$B$2:$B$4,"&lt;"&amp;$F169,'Rote Karten'!$C$2:$C$4,"&lt;="&amp;$G169)-COUNTIFS('Rote Karten'!$A$2:$A$4,$A169,'Rote Karten'!$D$2:$D$4,$B169,'Rote Karten'!$B$2:$B$4,"&lt;"&amp;$F169,'Rote Karten'!$C$2:$C$4,"&lt;="&amp;$G169)</f>
        <v>0</v>
      </c>
      <c r="I169" s="17" t="str">
        <f>IF(OR($L169="Tor",$L169="ET"),_xlfn.IFNA(IF(VLOOKUP($A169,Spiele!$A$2:$C$15,3,FALSE)=$B169,COUNTIFS($L$2:$L169,"Tor",$B$2:$B169,$B169,$A$2:$A169,$A169)+COUNTIFS($L$2:$L169,"ET",$B$2:$B169,$B169,$A$2:$A169,$A169)&amp;":"&amp;COUNTIFS($L$2:$L169,"Tor",$B$2:$B169,"&lt;&gt;"&amp;$B169,$A$2:$A169,$A169)+COUNTIFS($L$2:$L169,"ET",$B$2:$B169,"&lt;&gt;"&amp;$B169,$A$2:$A169,$A169),COUNTIFS($L$2:$L169,"Tor",$B$2:$B169,"&lt;&gt;"&amp;$B169,$A$2:$A169,$A169)+COUNTIFS($L$2:$L169,"ET",$B$2:$B169,"&lt;&gt;"&amp;$B169,$A$2:$A169,$A169)&amp;":"&amp;COUNTIFS($L$2:$L169,"Tor",$B$2:$B169,$B169,$A$2:$A169,$A169)+COUNTIFS($L$2:$L169,"ET",$B$2:$B169,$B169,$A$2:$A169,$A169)),""),"")</f>
        <v/>
      </c>
      <c r="J169" s="18">
        <f>_xlfn.IFNA(IF(VLOOKUP($A169,Spiele!$A$2:$D$15,3,FALSE)=$B169,(COUNTIFS($L$1:$L168,"Tor",$B$1:$B168,$B169,$A$1:$A168,$A169)+COUNTIFS($L$1:$L168,"ET",$B$1:$B168,$B169,$A$1:$A168,$A169))-(COUNTIFS($L$1:$L168,"Tor",$B$1:$B168,"&lt;&gt;"&amp;$B169,$A$1:$A168,$A169)+COUNTIFS($L$1:$L168,"ET",$B$1:$B168,"&lt;&gt;"&amp;$B169,$A$1:$A168,$A169)),(COUNTIFS($L$1:$L168,"Tor",$B$1:$B168,$B169,$A$1:$A168,$A169)+COUNTIFS($L$1:$L168,"ET",$B$1:$B168,$B169,$A$1:$A168,$A169))-(COUNTIFS($L$1:$L168,"Tor",$B$1:$B168,"&lt;&gt;"&amp;$B169,$A$1:$A168,$A169)+COUNTIFS($L$1:$L168,"ET",$B$1:$B168,"&lt;&gt;"&amp;$B169,$A$1:$A168,$A169))),"")</f>
        <v>-1</v>
      </c>
      <c r="K169" s="3">
        <v>12</v>
      </c>
      <c r="L169" s="17" t="s">
        <v>20</v>
      </c>
      <c r="M169" s="2" t="s">
        <v>147</v>
      </c>
      <c r="N169" s="2" t="s">
        <v>164</v>
      </c>
      <c r="X169" s="2" t="s">
        <v>151</v>
      </c>
      <c r="Y169" s="17" t="s">
        <v>143</v>
      </c>
      <c r="Z169" s="14" t="s">
        <v>150</v>
      </c>
      <c r="AA169" s="14" t="s">
        <v>156</v>
      </c>
      <c r="AB169" s="18"/>
      <c r="AC169" s="13">
        <v>-16</v>
      </c>
      <c r="AD169" s="13">
        <v>12.5</v>
      </c>
      <c r="AE169" s="19">
        <f t="shared" si="8"/>
        <v>17.564896811538631</v>
      </c>
      <c r="AF169" s="19">
        <f t="shared" si="9"/>
        <v>12.920492169163744</v>
      </c>
      <c r="AG169" s="2" t="s">
        <v>146</v>
      </c>
      <c r="AH169" s="13">
        <v>-2.5</v>
      </c>
      <c r="AI169" s="13">
        <v>1</v>
      </c>
      <c r="AJ169" s="19">
        <f>IF(Abschlüsse[[#This Row],[Ergeb]]="ET","",SQRT(($AC169-$AH169)^2+($AD169-$AI169)^2))</f>
        <v>17.734147850968199</v>
      </c>
      <c r="AK169" s="3">
        <v>0</v>
      </c>
      <c r="AL169" s="13"/>
      <c r="AM169" s="13"/>
      <c r="AN169" s="19" t="str">
        <f t="shared" si="10"/>
        <v/>
      </c>
      <c r="AO169" s="3">
        <v>2</v>
      </c>
      <c r="AP169" s="13">
        <v>-14.5</v>
      </c>
      <c r="AQ169" s="13">
        <v>11</v>
      </c>
      <c r="AR169" s="19">
        <f t="shared" si="11"/>
        <v>2.1213203435596424</v>
      </c>
    </row>
    <row r="170" spans="1:44" ht="25.05" customHeight="1">
      <c r="A170" s="3">
        <v>7</v>
      </c>
      <c r="B170" s="2" t="s">
        <v>66</v>
      </c>
      <c r="C170" s="17" t="str">
        <f>IF($A170="","",IF(VLOOKUP($A170,Spiele!$A$2:$D$15,3,FALSE)=$B170,"H","G"))</f>
        <v>G</v>
      </c>
      <c r="D170" s="17" t="str">
        <f>IF($B170="","",IF(VLOOKUP($A170,Spiele!$A$2:$F$15,3,FALSE)=$B170,VLOOKUP($A170,Spiele!$A$2:$F$15,4,FALSE),VLOOKUP($A170,Spiele!$A$2:$F$15,3,FALSE)))</f>
        <v>FCN</v>
      </c>
      <c r="E170" s="18">
        <f>IF(Abschlüsse[[#This Row],[Ergeb]]="ET",0,COUNTIFS($A$2:$A170,$A170,$B$2:$B170,$B170,$L$2:$L170,"&lt;&gt;ET"))</f>
        <v>3</v>
      </c>
      <c r="F170" s="11">
        <v>44</v>
      </c>
      <c r="G170" s="12">
        <v>2</v>
      </c>
      <c r="H170" s="18">
        <f>COUNTIFS('Rote Karten'!$A$2:$A$4,$A170,'Rote Karten'!$D$2:$D$4,"&lt;&gt;"&amp;$B170,'Rote Karten'!$B$2:$B$4,"&lt;"&amp;$F170,'Rote Karten'!$C$2:$C$4,"&lt;="&amp;$G170)-COUNTIFS('Rote Karten'!$A$2:$A$4,$A170,'Rote Karten'!$D$2:$D$4,$B170,'Rote Karten'!$B$2:$B$4,"&lt;"&amp;$F170,'Rote Karten'!$C$2:$C$4,"&lt;="&amp;$G170)</f>
        <v>0</v>
      </c>
      <c r="I170" s="17" t="str">
        <f>IF(OR($L170="Tor",$L170="ET"),_xlfn.IFNA(IF(VLOOKUP($A170,Spiele!$A$2:$C$15,3,FALSE)=$B170,COUNTIFS($L$2:$L170,"Tor",$B$2:$B170,$B170,$A$2:$A170,$A170)+COUNTIFS($L$2:$L170,"ET",$B$2:$B170,$B170,$A$2:$A170,$A170)&amp;":"&amp;COUNTIFS($L$2:$L170,"Tor",$B$2:$B170,"&lt;&gt;"&amp;$B170,$A$2:$A170,$A170)+COUNTIFS($L$2:$L170,"ET",$B$2:$B170,"&lt;&gt;"&amp;$B170,$A$2:$A170,$A170),COUNTIFS($L$2:$L170,"Tor",$B$2:$B170,"&lt;&gt;"&amp;$B170,$A$2:$A170,$A170)+COUNTIFS($L$2:$L170,"ET",$B$2:$B170,"&lt;&gt;"&amp;$B170,$A$2:$A170,$A170)&amp;":"&amp;COUNTIFS($L$2:$L170,"Tor",$B$2:$B170,$B170,$A$2:$A170,$A170)+COUNTIFS($L$2:$L170,"ET",$B$2:$B170,$B170,$A$2:$A170,$A170)),""),"")</f>
        <v/>
      </c>
      <c r="J170" s="18">
        <f>_xlfn.IFNA(IF(VLOOKUP($A170,Spiele!$A$2:$D$15,3,FALSE)=$B170,(COUNTIFS($L$1:$L169,"Tor",$B$1:$B169,$B170,$A$1:$A169,$A170)+COUNTIFS($L$1:$L169,"ET",$B$1:$B169,$B170,$A$1:$A169,$A170))-(COUNTIFS($L$1:$L169,"Tor",$B$1:$B169,"&lt;&gt;"&amp;$B170,$A$1:$A169,$A170)+COUNTIFS($L$1:$L169,"ET",$B$1:$B169,"&lt;&gt;"&amp;$B170,$A$1:$A169,$A170)),(COUNTIFS($L$1:$L169,"Tor",$B$1:$B169,$B170,$A$1:$A169,$A170)+COUNTIFS($L$1:$L169,"ET",$B$1:$B169,$B170,$A$1:$A169,$A170))-(COUNTIFS($L$1:$L169,"Tor",$B$1:$B169,"&lt;&gt;"&amp;$B170,$A$1:$A169,$A170)+COUNTIFS($L$1:$L169,"ET",$B$1:$B169,"&lt;&gt;"&amp;$B170,$A$1:$A169,$A170))),"")</f>
        <v>-1</v>
      </c>
      <c r="K170" s="3">
        <v>13</v>
      </c>
      <c r="L170" s="17" t="s">
        <v>20</v>
      </c>
      <c r="M170" s="2" t="s">
        <v>163</v>
      </c>
      <c r="N170" s="2" t="s">
        <v>3</v>
      </c>
      <c r="X170" s="2" t="s">
        <v>142</v>
      </c>
      <c r="Y170" s="17" t="s">
        <v>143</v>
      </c>
      <c r="Z170" s="14" t="s">
        <v>150</v>
      </c>
      <c r="AA170" s="14" t="s">
        <v>156</v>
      </c>
      <c r="AB170" s="18"/>
      <c r="AC170" s="13">
        <v>6.5</v>
      </c>
      <c r="AD170" s="13">
        <v>17</v>
      </c>
      <c r="AE170" s="19">
        <f t="shared" si="8"/>
        <v>17.235591083568906</v>
      </c>
      <c r="AF170" s="19">
        <f t="shared" si="9"/>
        <v>21.380343495987951</v>
      </c>
      <c r="AG170" s="2" t="s">
        <v>146</v>
      </c>
      <c r="AH170" s="13">
        <v>3</v>
      </c>
      <c r="AI170" s="13">
        <v>0.5</v>
      </c>
      <c r="AJ170" s="19">
        <f>IF(Abschlüsse[[#This Row],[Ergeb]]="ET","",SQRT(($AC170-$AH170)^2+($AD170-$AI170)^2))</f>
        <v>16.867127793432999</v>
      </c>
      <c r="AK170" s="3">
        <v>1</v>
      </c>
      <c r="AL170" s="13">
        <v>5.5</v>
      </c>
      <c r="AM170" s="13">
        <v>16.5</v>
      </c>
      <c r="AN170" s="19">
        <f t="shared" si="10"/>
        <v>1.1180339887498949</v>
      </c>
      <c r="AO170" s="3">
        <v>2</v>
      </c>
      <c r="AP170" s="13">
        <v>6</v>
      </c>
      <c r="AQ170" s="13">
        <v>15.5</v>
      </c>
      <c r="AR170" s="19">
        <f t="shared" si="11"/>
        <v>1.5811388300841898</v>
      </c>
    </row>
    <row r="171" spans="1:44" ht="25.05" customHeight="1">
      <c r="A171" s="3">
        <v>7</v>
      </c>
      <c r="B171" s="2" t="s">
        <v>8</v>
      </c>
      <c r="C171" s="17" t="str">
        <f>IF($A171="","",IF(VLOOKUP($A171,Spiele!$A$2:$D$15,3,FALSE)=$B171,"H","G"))</f>
        <v>H</v>
      </c>
      <c r="D171" s="17" t="str">
        <f>IF($B171="","",IF(VLOOKUP($A171,Spiele!$A$2:$F$15,3,FALSE)=$B171,VLOOKUP($A171,Spiele!$A$2:$F$15,4,FALSE),VLOOKUP($A171,Spiele!$A$2:$F$15,3,FALSE)))</f>
        <v>FCA</v>
      </c>
      <c r="E171" s="18">
        <f>IF(Abschlüsse[[#This Row],[Ergeb]]="ET",0,COUNTIFS($A$2:$A171,$A171,$B$2:$B171,$B171,$L$2:$L171,"&lt;&gt;ET"))</f>
        <v>16</v>
      </c>
      <c r="F171" s="11">
        <v>46</v>
      </c>
      <c r="G171" s="12">
        <v>2</v>
      </c>
      <c r="H171" s="18">
        <f>COUNTIFS('Rote Karten'!$A$2:$A$4,$A171,'Rote Karten'!$D$2:$D$4,"&lt;&gt;"&amp;$B171,'Rote Karten'!$B$2:$B$4,"&lt;"&amp;$F171,'Rote Karten'!$C$2:$C$4,"&lt;="&amp;$G171)-COUNTIFS('Rote Karten'!$A$2:$A$4,$A171,'Rote Karten'!$D$2:$D$4,$B171,'Rote Karten'!$B$2:$B$4,"&lt;"&amp;$F171,'Rote Karten'!$C$2:$C$4,"&lt;="&amp;$G171)</f>
        <v>0</v>
      </c>
      <c r="I171" s="17" t="str">
        <f>IF(OR($L171="Tor",$L171="ET"),_xlfn.IFNA(IF(VLOOKUP($A171,Spiele!$A$2:$C$15,3,FALSE)=$B171,COUNTIFS($L$2:$L171,"Tor",$B$2:$B171,$B171,$A$2:$A171,$A171)+COUNTIFS($L$2:$L171,"ET",$B$2:$B171,$B171,$A$2:$A171,$A171)&amp;":"&amp;COUNTIFS($L$2:$L171,"Tor",$B$2:$B171,"&lt;&gt;"&amp;$B171,$A$2:$A171,$A171)+COUNTIFS($L$2:$L171,"ET",$B$2:$B171,"&lt;&gt;"&amp;$B171,$A$2:$A171,$A171),COUNTIFS($L$2:$L171,"Tor",$B$2:$B171,"&lt;&gt;"&amp;$B171,$A$2:$A171,$A171)+COUNTIFS($L$2:$L171,"ET",$B$2:$B171,"&lt;&gt;"&amp;$B171,$A$2:$A171,$A171)&amp;":"&amp;COUNTIFS($L$2:$L171,"Tor",$B$2:$B171,$B171,$A$2:$A171,$A171)+COUNTIFS($L$2:$L171,"ET",$B$2:$B171,$B171,$A$2:$A171,$A171)),""),"")</f>
        <v/>
      </c>
      <c r="J171" s="18">
        <f>_xlfn.IFNA(IF(VLOOKUP($A171,Spiele!$A$2:$D$15,3,FALSE)=$B171,(COUNTIFS($L$1:$L170,"Tor",$B$1:$B170,$B171,$A$1:$A170,$A171)+COUNTIFS($L$1:$L170,"ET",$B$1:$B170,$B171,$A$1:$A170,$A171))-(COUNTIFS($L$1:$L170,"Tor",$B$1:$B170,"&lt;&gt;"&amp;$B171,$A$1:$A170,$A171)+COUNTIFS($L$1:$L170,"ET",$B$1:$B170,"&lt;&gt;"&amp;$B171,$A$1:$A170,$A171)),(COUNTIFS($L$1:$L170,"Tor",$B$1:$B170,$B171,$A$1:$A170,$A171)+COUNTIFS($L$1:$L170,"ET",$B$1:$B170,$B171,$A$1:$A170,$A171))-(COUNTIFS($L$1:$L170,"Tor",$B$1:$B170,"&lt;&gt;"&amp;$B171,$A$1:$A170,$A171)+COUNTIFS($L$1:$L170,"ET",$B$1:$B170,"&lt;&gt;"&amp;$B171,$A$1:$A170,$A171))),"")</f>
        <v>1</v>
      </c>
      <c r="K171" s="3">
        <v>14</v>
      </c>
      <c r="L171" s="17" t="s">
        <v>18</v>
      </c>
      <c r="M171" s="2" t="s">
        <v>163</v>
      </c>
      <c r="N171" s="2" t="s">
        <v>148</v>
      </c>
      <c r="O171" s="2">
        <v>27</v>
      </c>
      <c r="X171" s="2" t="s">
        <v>151</v>
      </c>
      <c r="Y171" s="17" t="s">
        <v>149</v>
      </c>
      <c r="Z171" s="14" t="s">
        <v>150</v>
      </c>
      <c r="AA171" s="14" t="s">
        <v>145</v>
      </c>
      <c r="AB171" s="18">
        <v>8</v>
      </c>
      <c r="AC171" s="13">
        <v>2</v>
      </c>
      <c r="AD171" s="13">
        <v>14.5</v>
      </c>
      <c r="AE171" s="19">
        <f t="shared" si="8"/>
        <v>14.5</v>
      </c>
      <c r="AF171" s="19">
        <f t="shared" si="9"/>
        <v>27.85387619932613</v>
      </c>
      <c r="AG171" s="2" t="s">
        <v>146</v>
      </c>
      <c r="AH171" s="13">
        <v>0</v>
      </c>
      <c r="AI171" s="13">
        <v>7.5</v>
      </c>
      <c r="AJ171" s="19">
        <f>IF(Abschlüsse[[#This Row],[Ergeb]]="ET","",SQRT(($AC171-$AH171)^2+($AD171-$AI171)^2))</f>
        <v>7.2801098892805181</v>
      </c>
      <c r="AK171" s="3">
        <v>2</v>
      </c>
      <c r="AL171" s="13">
        <v>0</v>
      </c>
      <c r="AM171" s="13">
        <v>15.5</v>
      </c>
      <c r="AN171" s="19">
        <f t="shared" si="10"/>
        <v>2.2360679774997898</v>
      </c>
      <c r="AO171" s="3">
        <v>0</v>
      </c>
      <c r="AR171" s="19" t="str">
        <f t="shared" si="11"/>
        <v/>
      </c>
    </row>
    <row r="172" spans="1:44" ht="25.05" customHeight="1">
      <c r="A172" s="3">
        <v>7</v>
      </c>
      <c r="B172" s="2" t="s">
        <v>8</v>
      </c>
      <c r="C172" s="17" t="str">
        <f>IF($A172="","",IF(VLOOKUP($A172,Spiele!$A$2:$D$15,3,FALSE)=$B172,"H","G"))</f>
        <v>H</v>
      </c>
      <c r="D172" s="17" t="str">
        <f>IF($B172="","",IF(VLOOKUP($A172,Spiele!$A$2:$F$15,3,FALSE)=$B172,VLOOKUP($A172,Spiele!$A$2:$F$15,4,FALSE),VLOOKUP($A172,Spiele!$A$2:$F$15,3,FALSE)))</f>
        <v>FCA</v>
      </c>
      <c r="E172" s="18">
        <f>IF(Abschlüsse[[#This Row],[Ergeb]]="ET",0,COUNTIFS($A$2:$A172,$A172,$B$2:$B172,$B172,$L$2:$L172,"&lt;&gt;ET"))</f>
        <v>17</v>
      </c>
      <c r="F172" s="11">
        <v>47</v>
      </c>
      <c r="G172" s="12">
        <v>2</v>
      </c>
      <c r="H172" s="18">
        <f>COUNTIFS('Rote Karten'!$A$2:$A$4,$A172,'Rote Karten'!$D$2:$D$4,"&lt;&gt;"&amp;$B172,'Rote Karten'!$B$2:$B$4,"&lt;"&amp;$F172,'Rote Karten'!$C$2:$C$4,"&lt;="&amp;$G172)-COUNTIFS('Rote Karten'!$A$2:$A$4,$A172,'Rote Karten'!$D$2:$D$4,$B172,'Rote Karten'!$B$2:$B$4,"&lt;"&amp;$F172,'Rote Karten'!$C$2:$C$4,"&lt;="&amp;$G172)</f>
        <v>0</v>
      </c>
      <c r="I172" s="17" t="str">
        <f>IF(OR($L172="Tor",$L172="ET"),_xlfn.IFNA(IF(VLOOKUP($A172,Spiele!$A$2:$C$15,3,FALSE)=$B172,COUNTIFS($L$2:$L172,"Tor",$B$2:$B172,$B172,$A$2:$A172,$A172)+COUNTIFS($L$2:$L172,"ET",$B$2:$B172,$B172,$A$2:$A172,$A172)&amp;":"&amp;COUNTIFS($L$2:$L172,"Tor",$B$2:$B172,"&lt;&gt;"&amp;$B172,$A$2:$A172,$A172)+COUNTIFS($L$2:$L172,"ET",$B$2:$B172,"&lt;&gt;"&amp;$B172,$A$2:$A172,$A172),COUNTIFS($L$2:$L172,"Tor",$B$2:$B172,"&lt;&gt;"&amp;$B172,$A$2:$A172,$A172)+COUNTIFS($L$2:$L172,"ET",$B$2:$B172,"&lt;&gt;"&amp;$B172,$A$2:$A172,$A172)&amp;":"&amp;COUNTIFS($L$2:$L172,"Tor",$B$2:$B172,$B172,$A$2:$A172,$A172)+COUNTIFS($L$2:$L172,"ET",$B$2:$B172,$B172,$A$2:$A172,$A172)),""),"")</f>
        <v/>
      </c>
      <c r="J172" s="18">
        <f>_xlfn.IFNA(IF(VLOOKUP($A172,Spiele!$A$2:$D$15,3,FALSE)=$B172,(COUNTIFS($L$1:$L171,"Tor",$B$1:$B171,$B172,$A$1:$A171,$A172)+COUNTIFS($L$1:$L171,"ET",$B$1:$B171,$B172,$A$1:$A171,$A172))-(COUNTIFS($L$1:$L171,"Tor",$B$1:$B171,"&lt;&gt;"&amp;$B172,$A$1:$A171,$A172)+COUNTIFS($L$1:$L171,"ET",$B$1:$B171,"&lt;&gt;"&amp;$B172,$A$1:$A171,$A172)),(COUNTIFS($L$1:$L171,"Tor",$B$1:$B171,$B172,$A$1:$A171,$A172)+COUNTIFS($L$1:$L171,"ET",$B$1:$B171,$B172,$A$1:$A171,$A172))-(COUNTIFS($L$1:$L171,"Tor",$B$1:$B171,"&lt;&gt;"&amp;$B172,$A$1:$A171,$A172)+COUNTIFS($L$1:$L171,"ET",$B$1:$B171,"&lt;&gt;"&amp;$B172,$A$1:$A171,$A172))),"")</f>
        <v>1</v>
      </c>
      <c r="K172" s="3">
        <v>15</v>
      </c>
      <c r="L172" s="17" t="s">
        <v>170</v>
      </c>
      <c r="M172" s="2" t="s">
        <v>173</v>
      </c>
      <c r="N172" s="2" t="s">
        <v>173</v>
      </c>
      <c r="O172" s="2">
        <v>20</v>
      </c>
      <c r="X172" s="2" t="s">
        <v>141</v>
      </c>
      <c r="Y172" s="17" t="s">
        <v>143</v>
      </c>
      <c r="Z172" s="14" t="s">
        <v>144</v>
      </c>
      <c r="AA172" s="14" t="s">
        <v>156</v>
      </c>
      <c r="AB172" s="18">
        <v>16</v>
      </c>
      <c r="AC172" s="13">
        <v>0</v>
      </c>
      <c r="AD172" s="13">
        <v>5.5</v>
      </c>
      <c r="AE172" s="19">
        <f t="shared" si="8"/>
        <v>5.5</v>
      </c>
      <c r="AF172" s="19">
        <f t="shared" si="9"/>
        <v>67.283920499400438</v>
      </c>
      <c r="AG172" s="2" t="s">
        <v>146</v>
      </c>
      <c r="AH172" s="13">
        <v>1</v>
      </c>
      <c r="AI172" s="13">
        <v>0.5</v>
      </c>
      <c r="AJ172" s="19">
        <f>IF(Abschlüsse[[#This Row],[Ergeb]]="ET","",SQRT(($AC172-$AH172)^2+($AD172-$AI172)^2))</f>
        <v>5.0990195135927845</v>
      </c>
      <c r="AK172" s="3">
        <v>1</v>
      </c>
      <c r="AL172" s="13">
        <v>-1</v>
      </c>
      <c r="AM172" s="13">
        <v>0.5</v>
      </c>
      <c r="AN172" s="19">
        <f t="shared" si="10"/>
        <v>5.0990195135927845</v>
      </c>
      <c r="AO172" s="3">
        <v>3</v>
      </c>
      <c r="AP172" s="13">
        <v>-0.5</v>
      </c>
      <c r="AQ172" s="13">
        <v>5</v>
      </c>
      <c r="AR172" s="19">
        <f t="shared" si="11"/>
        <v>0.70710678118654757</v>
      </c>
    </row>
    <row r="173" spans="1:44" ht="25.05" customHeight="1">
      <c r="A173" s="3">
        <v>7</v>
      </c>
      <c r="B173" s="2" t="s">
        <v>66</v>
      </c>
      <c r="C173" s="17" t="str">
        <f>IF($A173="","",IF(VLOOKUP($A173,Spiele!$A$2:$D$15,3,FALSE)=$B173,"H","G"))</f>
        <v>G</v>
      </c>
      <c r="D173" s="17" t="str">
        <f>IF($B173="","",IF(VLOOKUP($A173,Spiele!$A$2:$F$15,3,FALSE)=$B173,VLOOKUP($A173,Spiele!$A$2:$F$15,4,FALSE),VLOOKUP($A173,Spiele!$A$2:$F$15,3,FALSE)))</f>
        <v>FCN</v>
      </c>
      <c r="E173" s="18">
        <f>IF(Abschlüsse[[#This Row],[Ergeb]]="ET",0,COUNTIFS($A$2:$A173,$A173,$B$2:$B173,$B173,$L$2:$L173,"&lt;&gt;ET"))</f>
        <v>4</v>
      </c>
      <c r="F173" s="11">
        <v>49</v>
      </c>
      <c r="G173" s="12">
        <v>2</v>
      </c>
      <c r="H173" s="18">
        <f>COUNTIFS('Rote Karten'!$A$2:$A$4,$A173,'Rote Karten'!$D$2:$D$4,"&lt;&gt;"&amp;$B173,'Rote Karten'!$B$2:$B$4,"&lt;"&amp;$F173,'Rote Karten'!$C$2:$C$4,"&lt;="&amp;$G173)-COUNTIFS('Rote Karten'!$A$2:$A$4,$A173,'Rote Karten'!$D$2:$D$4,$B173,'Rote Karten'!$B$2:$B$4,"&lt;"&amp;$F173,'Rote Karten'!$C$2:$C$4,"&lt;="&amp;$G173)</f>
        <v>0</v>
      </c>
      <c r="I173" s="17" t="str">
        <f>IF(OR($L173="Tor",$L173="ET"),_xlfn.IFNA(IF(VLOOKUP($A173,Spiele!$A$2:$C$15,3,FALSE)=$B173,COUNTIFS($L$2:$L173,"Tor",$B$2:$B173,$B173,$A$2:$A173,$A173)+COUNTIFS($L$2:$L173,"ET",$B$2:$B173,$B173,$A$2:$A173,$A173)&amp;":"&amp;COUNTIFS($L$2:$L173,"Tor",$B$2:$B173,"&lt;&gt;"&amp;$B173,$A$2:$A173,$A173)+COUNTIFS($L$2:$L173,"ET",$B$2:$B173,"&lt;&gt;"&amp;$B173,$A$2:$A173,$A173),COUNTIFS($L$2:$L173,"Tor",$B$2:$B173,"&lt;&gt;"&amp;$B173,$A$2:$A173,$A173)+COUNTIFS($L$2:$L173,"ET",$B$2:$B173,"&lt;&gt;"&amp;$B173,$A$2:$A173,$A173)&amp;":"&amp;COUNTIFS($L$2:$L173,"Tor",$B$2:$B173,$B173,$A$2:$A173,$A173)+COUNTIFS($L$2:$L173,"ET",$B$2:$B173,$B173,$A$2:$A173,$A173)),""),"")</f>
        <v/>
      </c>
      <c r="J173" s="18">
        <f>_xlfn.IFNA(IF(VLOOKUP($A173,Spiele!$A$2:$D$15,3,FALSE)=$B173,(COUNTIFS($L$1:$L172,"Tor",$B$1:$B172,$B173,$A$1:$A172,$A173)+COUNTIFS($L$1:$L172,"ET",$B$1:$B172,$B173,$A$1:$A172,$A173))-(COUNTIFS($L$1:$L172,"Tor",$B$1:$B172,"&lt;&gt;"&amp;$B173,$A$1:$A172,$A173)+COUNTIFS($L$1:$L172,"ET",$B$1:$B172,"&lt;&gt;"&amp;$B173,$A$1:$A172,$A173)),(COUNTIFS($L$1:$L172,"Tor",$B$1:$B172,$B173,$A$1:$A172,$A173)+COUNTIFS($L$1:$L172,"ET",$B$1:$B172,$B173,$A$1:$A172,$A173))-(COUNTIFS($L$1:$L172,"Tor",$B$1:$B172,"&lt;&gt;"&amp;$B173,$A$1:$A172,$A173)+COUNTIFS($L$1:$L172,"ET",$B$1:$B172,"&lt;&gt;"&amp;$B173,$A$1:$A172,$A173))),"")</f>
        <v>-1</v>
      </c>
      <c r="K173" s="3">
        <v>16</v>
      </c>
      <c r="L173" s="18" t="s">
        <v>19</v>
      </c>
      <c r="M173" s="3" t="s">
        <v>157</v>
      </c>
      <c r="N173" s="2" t="s">
        <v>164</v>
      </c>
      <c r="X173" s="22" t="s">
        <v>151</v>
      </c>
      <c r="Y173" s="18" t="s">
        <v>143</v>
      </c>
      <c r="Z173" s="14" t="s">
        <v>150</v>
      </c>
      <c r="AA173" s="14" t="s">
        <v>156</v>
      </c>
      <c r="AB173" s="18"/>
      <c r="AC173" s="13">
        <v>-11.5</v>
      </c>
      <c r="AD173" s="13">
        <v>19</v>
      </c>
      <c r="AE173" s="19">
        <f t="shared" si="8"/>
        <v>20.553967986741636</v>
      </c>
      <c r="AF173" s="19">
        <f t="shared" si="9"/>
        <v>16.163592420742219</v>
      </c>
      <c r="AG173" s="3" t="s">
        <v>146</v>
      </c>
      <c r="AH173" s="13">
        <v>0.5</v>
      </c>
      <c r="AI173" s="13">
        <v>0.5</v>
      </c>
      <c r="AJ173" s="19">
        <f>IF(Abschlüsse[[#This Row],[Ergeb]]="ET","",SQRT(($AC173-$AH173)^2+($AD173-$AI173)^2))</f>
        <v>22.051077071199945</v>
      </c>
      <c r="AK173" s="3">
        <v>1</v>
      </c>
      <c r="AL173" s="13">
        <v>-11.5</v>
      </c>
      <c r="AM173" s="13">
        <v>17.5</v>
      </c>
      <c r="AN173" s="19">
        <f>IF(AK173=0,"",SQRT(($AC173-$AL173)^2+($AD173-$AM173)^2))</f>
        <v>1.5</v>
      </c>
      <c r="AO173" s="3">
        <v>0</v>
      </c>
      <c r="AR173" s="19" t="str">
        <f>IF(AO173=0,"",SQRT(($AC173-$AP173)^2+($AD173-$AQ173)^2))</f>
        <v/>
      </c>
    </row>
    <row r="174" spans="1:44" ht="25.05" customHeight="1">
      <c r="A174" s="3">
        <v>7</v>
      </c>
      <c r="B174" s="2" t="s">
        <v>66</v>
      </c>
      <c r="C174" s="17" t="str">
        <f>IF($A174="","",IF(VLOOKUP($A174,Spiele!$A$2:$D$15,3,FALSE)=$B174,"H","G"))</f>
        <v>G</v>
      </c>
      <c r="D174" s="17" t="str">
        <f>IF($B174="","",IF(VLOOKUP($A174,Spiele!$A$2:$F$15,3,FALSE)=$B174,VLOOKUP($A174,Spiele!$A$2:$F$15,4,FALSE),VLOOKUP($A174,Spiele!$A$2:$F$15,3,FALSE)))</f>
        <v>FCN</v>
      </c>
      <c r="E174" s="18">
        <f>IF(Abschlüsse[[#This Row],[Ergeb]]="ET",0,COUNTIFS($A$2:$A174,$A174,$B$2:$B174,$B174,$L$2:$L174,"&lt;&gt;ET"))</f>
        <v>5</v>
      </c>
      <c r="F174" s="11">
        <v>50</v>
      </c>
      <c r="G174" s="12">
        <v>2</v>
      </c>
      <c r="H174" s="18">
        <f>COUNTIFS('Rote Karten'!$A$2:$A$4,$A174,'Rote Karten'!$D$2:$D$4,"&lt;&gt;"&amp;$B174,'Rote Karten'!$B$2:$B$4,"&lt;"&amp;$F174,'Rote Karten'!$C$2:$C$4,"&lt;="&amp;$G174)-COUNTIFS('Rote Karten'!$A$2:$A$4,$A174,'Rote Karten'!$D$2:$D$4,$B174,'Rote Karten'!$B$2:$B$4,"&lt;"&amp;$F174,'Rote Karten'!$C$2:$C$4,"&lt;="&amp;$G174)</f>
        <v>0</v>
      </c>
      <c r="I174" s="17" t="str">
        <f>IF(OR($L174="Tor",$L174="ET"),_xlfn.IFNA(IF(VLOOKUP($A174,Spiele!$A$2:$C$15,3,FALSE)=$B174,COUNTIFS($L$2:$L174,"Tor",$B$2:$B174,$B174,$A$2:$A174,$A174)+COUNTIFS($L$2:$L174,"ET",$B$2:$B174,$B174,$A$2:$A174,$A174)&amp;":"&amp;COUNTIFS($L$2:$L174,"Tor",$B$2:$B174,"&lt;&gt;"&amp;$B174,$A$2:$A174,$A174)+COUNTIFS($L$2:$L174,"ET",$B$2:$B174,"&lt;&gt;"&amp;$B174,$A$2:$A174,$A174),COUNTIFS($L$2:$L174,"Tor",$B$2:$B174,"&lt;&gt;"&amp;$B174,$A$2:$A174,$A174)+COUNTIFS($L$2:$L174,"ET",$B$2:$B174,"&lt;&gt;"&amp;$B174,$A$2:$A174,$A174)&amp;":"&amp;COUNTIFS($L$2:$L174,"Tor",$B$2:$B174,$B174,$A$2:$A174,$A174)+COUNTIFS($L$2:$L174,"ET",$B$2:$B174,$B174,$A$2:$A174,$A174)),""),"")</f>
        <v/>
      </c>
      <c r="J174" s="18">
        <f>_xlfn.IFNA(IF(VLOOKUP($A174,Spiele!$A$2:$D$15,3,FALSE)=$B174,(COUNTIFS($L$1:$L173,"Tor",$B$1:$B173,$B174,$A$1:$A173,$A174)+COUNTIFS($L$1:$L173,"ET",$B$1:$B173,$B174,$A$1:$A173,$A174))-(COUNTIFS($L$1:$L173,"Tor",$B$1:$B173,"&lt;&gt;"&amp;$B174,$A$1:$A173,$A174)+COUNTIFS($L$1:$L173,"ET",$B$1:$B173,"&lt;&gt;"&amp;$B174,$A$1:$A173,$A174)),(COUNTIFS($L$1:$L173,"Tor",$B$1:$B173,$B174,$A$1:$A173,$A174)+COUNTIFS($L$1:$L173,"ET",$B$1:$B173,$B174,$A$1:$A173,$A174))-(COUNTIFS($L$1:$L173,"Tor",$B$1:$B173,"&lt;&gt;"&amp;$B174,$A$1:$A173,$A174)+COUNTIFS($L$1:$L173,"ET",$B$1:$B173,"&lt;&gt;"&amp;$B174,$A$1:$A173,$A174))),"")</f>
        <v>-1</v>
      </c>
      <c r="K174" s="3">
        <v>17</v>
      </c>
      <c r="L174" s="17" t="s">
        <v>19</v>
      </c>
      <c r="M174" s="2" t="s">
        <v>163</v>
      </c>
      <c r="N174" s="2" t="s">
        <v>164</v>
      </c>
      <c r="X174" s="2" t="s">
        <v>151</v>
      </c>
      <c r="Y174" s="17" t="s">
        <v>149</v>
      </c>
      <c r="Z174" s="14" t="s">
        <v>150</v>
      </c>
      <c r="AA174" s="14" t="s">
        <v>145</v>
      </c>
      <c r="AB174" s="18"/>
      <c r="AC174" s="13">
        <v>9</v>
      </c>
      <c r="AD174" s="13">
        <v>6</v>
      </c>
      <c r="AE174" s="19">
        <f t="shared" si="8"/>
        <v>8.0321603569649938</v>
      </c>
      <c r="AF174" s="19">
        <f t="shared" si="9"/>
        <v>22.973069860031057</v>
      </c>
      <c r="AG174" s="2" t="s">
        <v>146</v>
      </c>
      <c r="AH174" s="13">
        <v>3.5</v>
      </c>
      <c r="AI174" s="13">
        <v>1</v>
      </c>
      <c r="AJ174" s="19">
        <f>IF(Abschlüsse[[#This Row],[Ergeb]]="ET","",SQRT(($AC174-$AH174)^2+($AD174-$AI174)^2))</f>
        <v>7.433034373659253</v>
      </c>
      <c r="AK174" s="3">
        <v>2</v>
      </c>
      <c r="AL174" s="13">
        <v>8</v>
      </c>
      <c r="AM174" s="13">
        <v>6.5</v>
      </c>
      <c r="AN174" s="19">
        <f t="shared" si="10"/>
        <v>1.1180339887498949</v>
      </c>
      <c r="AO174" s="3">
        <v>0</v>
      </c>
      <c r="AR174" s="19" t="str">
        <f t="shared" si="11"/>
        <v/>
      </c>
    </row>
    <row r="175" spans="1:44" ht="25.05" customHeight="1">
      <c r="A175" s="3">
        <v>7</v>
      </c>
      <c r="B175" s="2" t="s">
        <v>66</v>
      </c>
      <c r="C175" s="17" t="str">
        <f>IF($A175="","",IF(VLOOKUP($A175,Spiele!$A$2:$D$15,3,FALSE)=$B175,"H","G"))</f>
        <v>G</v>
      </c>
      <c r="D175" s="17" t="str">
        <f>IF($B175="","",IF(VLOOKUP($A175,Spiele!$A$2:$F$15,3,FALSE)=$B175,VLOOKUP($A175,Spiele!$A$2:$F$15,4,FALSE),VLOOKUP($A175,Spiele!$A$2:$F$15,3,FALSE)))</f>
        <v>FCN</v>
      </c>
      <c r="E175" s="18">
        <f>IF(Abschlüsse[[#This Row],[Ergeb]]="ET",0,COUNTIFS($A$2:$A175,$A175,$B$2:$B175,$B175,$L$2:$L175,"&lt;&gt;ET"))</f>
        <v>6</v>
      </c>
      <c r="F175" s="11">
        <v>53</v>
      </c>
      <c r="G175" s="12">
        <v>2</v>
      </c>
      <c r="H175" s="18">
        <f>COUNTIFS('Rote Karten'!$A$2:$A$4,$A175,'Rote Karten'!$D$2:$D$4,"&lt;&gt;"&amp;$B175,'Rote Karten'!$B$2:$B$4,"&lt;"&amp;$F175,'Rote Karten'!$C$2:$C$4,"&lt;="&amp;$G175)-COUNTIFS('Rote Karten'!$A$2:$A$4,$A175,'Rote Karten'!$D$2:$D$4,$B175,'Rote Karten'!$B$2:$B$4,"&lt;"&amp;$F175,'Rote Karten'!$C$2:$C$4,"&lt;="&amp;$G175)</f>
        <v>0</v>
      </c>
      <c r="I175" s="17" t="str">
        <f>IF(OR($L175="Tor",$L175="ET"),_xlfn.IFNA(IF(VLOOKUP($A175,Spiele!$A$2:$C$15,3,FALSE)=$B175,COUNTIFS($L$2:$L175,"Tor",$B$2:$B175,$B175,$A$2:$A175,$A175)+COUNTIFS($L$2:$L175,"ET",$B$2:$B175,$B175,$A$2:$A175,$A175)&amp;":"&amp;COUNTIFS($L$2:$L175,"Tor",$B$2:$B175,"&lt;&gt;"&amp;$B175,$A$2:$A175,$A175)+COUNTIFS($L$2:$L175,"ET",$B$2:$B175,"&lt;&gt;"&amp;$B175,$A$2:$A175,$A175),COUNTIFS($L$2:$L175,"Tor",$B$2:$B175,"&lt;&gt;"&amp;$B175,$A$2:$A175,$A175)+COUNTIFS($L$2:$L175,"ET",$B$2:$B175,"&lt;&gt;"&amp;$B175,$A$2:$A175,$A175)&amp;":"&amp;COUNTIFS($L$2:$L175,"Tor",$B$2:$B175,$B175,$A$2:$A175,$A175)+COUNTIFS($L$2:$L175,"ET",$B$2:$B175,$B175,$A$2:$A175,$A175)),""),"")</f>
        <v/>
      </c>
      <c r="J175" s="18">
        <f>_xlfn.IFNA(IF(VLOOKUP($A175,Spiele!$A$2:$D$15,3,FALSE)=$B175,(COUNTIFS($L$1:$L174,"Tor",$B$1:$B174,$B175,$A$1:$A174,$A175)+COUNTIFS($L$1:$L174,"ET",$B$1:$B174,$B175,$A$1:$A174,$A175))-(COUNTIFS($L$1:$L174,"Tor",$B$1:$B174,"&lt;&gt;"&amp;$B175,$A$1:$A174,$A175)+COUNTIFS($L$1:$L174,"ET",$B$1:$B174,"&lt;&gt;"&amp;$B175,$A$1:$A174,$A175)),(COUNTIFS($L$1:$L174,"Tor",$B$1:$B174,$B175,$A$1:$A174,$A175)+COUNTIFS($L$1:$L174,"ET",$B$1:$B174,$B175,$A$1:$A174,$A175))-(COUNTIFS($L$1:$L174,"Tor",$B$1:$B174,"&lt;&gt;"&amp;$B175,$A$1:$A174,$A175)+COUNTIFS($L$1:$L174,"ET",$B$1:$B174,"&lt;&gt;"&amp;$B175,$A$1:$A174,$A175))),"")</f>
        <v>-1</v>
      </c>
      <c r="K175" s="3">
        <v>18</v>
      </c>
      <c r="L175" s="17" t="s">
        <v>170</v>
      </c>
      <c r="M175" s="2" t="s">
        <v>147</v>
      </c>
      <c r="N175" s="2" t="s">
        <v>152</v>
      </c>
      <c r="X175" s="2" t="s">
        <v>142</v>
      </c>
      <c r="Y175" s="17" t="s">
        <v>143</v>
      </c>
      <c r="Z175" s="14" t="s">
        <v>150</v>
      </c>
      <c r="AA175" s="14" t="s">
        <v>156</v>
      </c>
      <c r="AB175" s="18"/>
      <c r="AC175" s="13">
        <v>7.5</v>
      </c>
      <c r="AD175" s="13">
        <v>11.5</v>
      </c>
      <c r="AE175" s="19">
        <f t="shared" si="8"/>
        <v>12.124174198682564</v>
      </c>
      <c r="AF175" s="19">
        <f t="shared" si="9"/>
        <v>25.67553789095021</v>
      </c>
      <c r="AG175" s="2" t="s">
        <v>146</v>
      </c>
      <c r="AH175" s="13">
        <v>3</v>
      </c>
      <c r="AI175" s="13">
        <v>1</v>
      </c>
      <c r="AJ175" s="19">
        <f>IF(Abschlüsse[[#This Row],[Ergeb]]="ET","",SQRT(($AC175-$AH175)^2+($AD175-$AI175)^2))</f>
        <v>11.423659658795863</v>
      </c>
      <c r="AK175" s="3">
        <v>0</v>
      </c>
      <c r="AL175" s="13"/>
      <c r="AM175" s="13"/>
      <c r="AN175" s="19" t="str">
        <f t="shared" si="10"/>
        <v/>
      </c>
      <c r="AO175" s="3">
        <v>1</v>
      </c>
      <c r="AP175" s="13">
        <v>6.5</v>
      </c>
      <c r="AQ175" s="13">
        <v>10</v>
      </c>
      <c r="AR175" s="19">
        <f t="shared" si="11"/>
        <v>1.8027756377319946</v>
      </c>
    </row>
    <row r="176" spans="1:44" ht="25.05" customHeight="1">
      <c r="A176" s="3">
        <v>7</v>
      </c>
      <c r="B176" s="2" t="s">
        <v>8</v>
      </c>
      <c r="C176" s="17" t="str">
        <f>IF($A176="","",IF(VLOOKUP($A176,Spiele!$A$2:$D$15,3,FALSE)=$B176,"H","G"))</f>
        <v>H</v>
      </c>
      <c r="D176" s="17" t="str">
        <f>IF($B176="","",IF(VLOOKUP($A176,Spiele!$A$2:$F$15,3,FALSE)=$B176,VLOOKUP($A176,Spiele!$A$2:$F$15,4,FALSE),VLOOKUP($A176,Spiele!$A$2:$F$15,3,FALSE)))</f>
        <v>FCA</v>
      </c>
      <c r="E176" s="18">
        <f>IF(Abschlüsse[[#This Row],[Ergeb]]="ET",0,COUNTIFS($A$2:$A176,$A176,$B$2:$B176,$B176,$L$2:$L176,"&lt;&gt;ET"))</f>
        <v>18</v>
      </c>
      <c r="F176" s="11">
        <v>54</v>
      </c>
      <c r="G176" s="12">
        <v>2</v>
      </c>
      <c r="H176" s="18">
        <f>COUNTIFS('Rote Karten'!$A$2:$A$4,$A176,'Rote Karten'!$D$2:$D$4,"&lt;&gt;"&amp;$B176,'Rote Karten'!$B$2:$B$4,"&lt;"&amp;$F176,'Rote Karten'!$C$2:$C$4,"&lt;="&amp;$G176)-COUNTIFS('Rote Karten'!$A$2:$A$4,$A176,'Rote Karten'!$D$2:$D$4,$B176,'Rote Karten'!$B$2:$B$4,"&lt;"&amp;$F176,'Rote Karten'!$C$2:$C$4,"&lt;="&amp;$G176)</f>
        <v>0</v>
      </c>
      <c r="I176" s="17" t="str">
        <f>IF(OR($L176="Tor",$L176="ET"),_xlfn.IFNA(IF(VLOOKUP($A176,Spiele!$A$2:$C$15,3,FALSE)=$B176,COUNTIFS($L$2:$L176,"Tor",$B$2:$B176,$B176,$A$2:$A176,$A176)+COUNTIFS($L$2:$L176,"ET",$B$2:$B176,$B176,$A$2:$A176,$A176)&amp;":"&amp;COUNTIFS($L$2:$L176,"Tor",$B$2:$B176,"&lt;&gt;"&amp;$B176,$A$2:$A176,$A176)+COUNTIFS($L$2:$L176,"ET",$B$2:$B176,"&lt;&gt;"&amp;$B176,$A$2:$A176,$A176),COUNTIFS($L$2:$L176,"Tor",$B$2:$B176,"&lt;&gt;"&amp;$B176,$A$2:$A176,$A176)+COUNTIFS($L$2:$L176,"ET",$B$2:$B176,"&lt;&gt;"&amp;$B176,$A$2:$A176,$A176)&amp;":"&amp;COUNTIFS($L$2:$L176,"Tor",$B$2:$B176,$B176,$A$2:$A176,$A176)+COUNTIFS($L$2:$L176,"ET",$B$2:$B176,$B176,$A$2:$A176,$A176)),""),"")</f>
        <v/>
      </c>
      <c r="J176" s="18">
        <f>_xlfn.IFNA(IF(VLOOKUP($A176,Spiele!$A$2:$D$15,3,FALSE)=$B176,(COUNTIFS($L$1:$L175,"Tor",$B$1:$B175,$B176,$A$1:$A175,$A176)+COUNTIFS($L$1:$L175,"ET",$B$1:$B175,$B176,$A$1:$A175,$A176))-(COUNTIFS($L$1:$L175,"Tor",$B$1:$B175,"&lt;&gt;"&amp;$B176,$A$1:$A175,$A176)+COUNTIFS($L$1:$L175,"ET",$B$1:$B175,"&lt;&gt;"&amp;$B176,$A$1:$A175,$A176)),(COUNTIFS($L$1:$L175,"Tor",$B$1:$B175,$B176,$A$1:$A175,$A176)+COUNTIFS($L$1:$L175,"ET",$B$1:$B175,$B176,$A$1:$A175,$A176))-(COUNTIFS($L$1:$L175,"Tor",$B$1:$B175,"&lt;&gt;"&amp;$B176,$A$1:$A175,$A176)+COUNTIFS($L$1:$L175,"ET",$B$1:$B175,"&lt;&gt;"&amp;$B176,$A$1:$A175,$A176))),"")</f>
        <v>1</v>
      </c>
      <c r="K176" s="3">
        <v>19</v>
      </c>
      <c r="L176" s="17" t="s">
        <v>170</v>
      </c>
      <c r="M176" s="2" t="s">
        <v>163</v>
      </c>
      <c r="N176" s="2" t="s">
        <v>155</v>
      </c>
      <c r="X176" s="2" t="s">
        <v>151</v>
      </c>
      <c r="Y176" s="17" t="s">
        <v>143</v>
      </c>
      <c r="Z176" s="14" t="s">
        <v>150</v>
      </c>
      <c r="AA176" s="14" t="s">
        <v>156</v>
      </c>
      <c r="AB176" s="18">
        <v>27</v>
      </c>
      <c r="AC176" s="13">
        <v>17</v>
      </c>
      <c r="AD176" s="13">
        <v>17</v>
      </c>
      <c r="AE176" s="19">
        <f t="shared" si="8"/>
        <v>21.609155467069971</v>
      </c>
      <c r="AF176" s="19">
        <f t="shared" si="9"/>
        <v>12.429392155577906</v>
      </c>
      <c r="AG176" s="2" t="s">
        <v>166</v>
      </c>
      <c r="AJ176" s="19">
        <f>IF(Abschlüsse[[#This Row],[Ergeb]]="ET","",SQRT(($AC176-$AH176)^2+($AD176-$AI176)^2))</f>
        <v>24.041630560342615</v>
      </c>
      <c r="AK176" s="3">
        <v>1</v>
      </c>
      <c r="AL176" s="13">
        <v>15.5</v>
      </c>
      <c r="AM176" s="13">
        <v>18.5</v>
      </c>
      <c r="AN176" s="19">
        <f t="shared" si="10"/>
        <v>2.1213203435596424</v>
      </c>
      <c r="AO176" s="3">
        <v>0</v>
      </c>
      <c r="AR176" s="19" t="str">
        <f t="shared" si="11"/>
        <v/>
      </c>
    </row>
    <row r="177" spans="1:44" ht="25.05" customHeight="1">
      <c r="A177" s="3">
        <v>7</v>
      </c>
      <c r="B177" s="2" t="s">
        <v>66</v>
      </c>
      <c r="C177" s="17" t="str">
        <f>IF($A177="","",IF(VLOOKUP($A177,Spiele!$A$2:$D$15,3,FALSE)=$B177,"H","G"))</f>
        <v>G</v>
      </c>
      <c r="D177" s="17" t="str">
        <f>IF($B177="","",IF(VLOOKUP($A177,Spiele!$A$2:$F$15,3,FALSE)=$B177,VLOOKUP($A177,Spiele!$A$2:$F$15,4,FALSE),VLOOKUP($A177,Spiele!$A$2:$F$15,3,FALSE)))</f>
        <v>FCN</v>
      </c>
      <c r="E177" s="18">
        <f>IF(Abschlüsse[[#This Row],[Ergeb]]="ET",0,COUNTIFS($A$2:$A177,$A177,$B$2:$B177,$B177,$L$2:$L177,"&lt;&gt;ET"))</f>
        <v>7</v>
      </c>
      <c r="F177" s="11">
        <v>55</v>
      </c>
      <c r="G177" s="12">
        <v>2</v>
      </c>
      <c r="H177" s="18">
        <f>COUNTIFS('Rote Karten'!$A$2:$A$4,$A177,'Rote Karten'!$D$2:$D$4,"&lt;&gt;"&amp;$B177,'Rote Karten'!$B$2:$B$4,"&lt;"&amp;$F177,'Rote Karten'!$C$2:$C$4,"&lt;="&amp;$G177)-COUNTIFS('Rote Karten'!$A$2:$A$4,$A177,'Rote Karten'!$D$2:$D$4,$B177,'Rote Karten'!$B$2:$B$4,"&lt;"&amp;$F177,'Rote Karten'!$C$2:$C$4,"&lt;="&amp;$G177)</f>
        <v>0</v>
      </c>
      <c r="I177" s="17" t="str">
        <f>IF(OR($L177="Tor",$L177="ET"),_xlfn.IFNA(IF(VLOOKUP($A177,Spiele!$A$2:$C$15,3,FALSE)=$B177,COUNTIFS($L$2:$L177,"Tor",$B$2:$B177,$B177,$A$2:$A177,$A177)+COUNTIFS($L$2:$L177,"ET",$B$2:$B177,$B177,$A$2:$A177,$A177)&amp;":"&amp;COUNTIFS($L$2:$L177,"Tor",$B$2:$B177,"&lt;&gt;"&amp;$B177,$A$2:$A177,$A177)+COUNTIFS($L$2:$L177,"ET",$B$2:$B177,"&lt;&gt;"&amp;$B177,$A$2:$A177,$A177),COUNTIFS($L$2:$L177,"Tor",$B$2:$B177,"&lt;&gt;"&amp;$B177,$A$2:$A177,$A177)+COUNTIFS($L$2:$L177,"ET",$B$2:$B177,"&lt;&gt;"&amp;$B177,$A$2:$A177,$A177)&amp;":"&amp;COUNTIFS($L$2:$L177,"Tor",$B$2:$B177,$B177,$A$2:$A177,$A177)+COUNTIFS($L$2:$L177,"ET",$B$2:$B177,$B177,$A$2:$A177,$A177)),""),"")</f>
        <v/>
      </c>
      <c r="J177" s="18">
        <f>_xlfn.IFNA(IF(VLOOKUP($A177,Spiele!$A$2:$D$15,3,FALSE)=$B177,(COUNTIFS($L$1:$L176,"Tor",$B$1:$B176,$B177,$A$1:$A176,$A177)+COUNTIFS($L$1:$L176,"ET",$B$1:$B176,$B177,$A$1:$A176,$A177))-(COUNTIFS($L$1:$L176,"Tor",$B$1:$B176,"&lt;&gt;"&amp;$B177,$A$1:$A176,$A177)+COUNTIFS($L$1:$L176,"ET",$B$1:$B176,"&lt;&gt;"&amp;$B177,$A$1:$A176,$A177)),(COUNTIFS($L$1:$L176,"Tor",$B$1:$B176,$B177,$A$1:$A176,$A177)+COUNTIFS($L$1:$L176,"ET",$B$1:$B176,$B177,$A$1:$A176,$A177))-(COUNTIFS($L$1:$L176,"Tor",$B$1:$B176,"&lt;&gt;"&amp;$B177,$A$1:$A176,$A177)+COUNTIFS($L$1:$L176,"ET",$B$1:$B176,"&lt;&gt;"&amp;$B177,$A$1:$A176,$A177))),"")</f>
        <v>-1</v>
      </c>
      <c r="K177" s="3">
        <v>20</v>
      </c>
      <c r="L177" s="17" t="s">
        <v>20</v>
      </c>
      <c r="M177" s="2" t="s">
        <v>163</v>
      </c>
      <c r="N177" s="2" t="s">
        <v>178</v>
      </c>
      <c r="X177" s="2" t="s">
        <v>142</v>
      </c>
      <c r="Y177" s="17" t="s">
        <v>143</v>
      </c>
      <c r="Z177" s="14" t="s">
        <v>150</v>
      </c>
      <c r="AA177" s="14" t="s">
        <v>156</v>
      </c>
      <c r="AB177" s="18"/>
      <c r="AC177" s="13">
        <v>7</v>
      </c>
      <c r="AD177" s="13">
        <v>9</v>
      </c>
      <c r="AE177" s="19">
        <f t="shared" si="8"/>
        <v>9.5997708305979881</v>
      </c>
      <c r="AF177" s="19">
        <f t="shared" si="9"/>
        <v>29.465894784837175</v>
      </c>
      <c r="AG177" s="2" t="s">
        <v>146</v>
      </c>
      <c r="AH177" s="13">
        <v>3.5</v>
      </c>
      <c r="AI177" s="13">
        <v>1</v>
      </c>
      <c r="AJ177" s="19">
        <f>IF(Abschlüsse[[#This Row],[Ergeb]]="ET","",SQRT(($AC177-$AH177)^2+($AD177-$AI177)^2))</f>
        <v>8.7321245982864895</v>
      </c>
      <c r="AK177" s="3">
        <v>0</v>
      </c>
      <c r="AL177" s="13"/>
      <c r="AM177" s="13"/>
      <c r="AN177" s="19" t="str">
        <f t="shared" si="10"/>
        <v/>
      </c>
      <c r="AO177" s="3">
        <v>2</v>
      </c>
      <c r="AP177" s="13">
        <v>6.5</v>
      </c>
      <c r="AQ177" s="13">
        <v>8.5</v>
      </c>
      <c r="AR177" s="19">
        <f t="shared" si="11"/>
        <v>0.70710678118654757</v>
      </c>
    </row>
    <row r="178" spans="1:44" ht="25.05" customHeight="1">
      <c r="A178" s="3">
        <v>7</v>
      </c>
      <c r="B178" s="2" t="s">
        <v>66</v>
      </c>
      <c r="C178" s="17" t="str">
        <f>IF($A178="","",IF(VLOOKUP($A178,Spiele!$A$2:$D$15,3,FALSE)=$B178,"H","G"))</f>
        <v>G</v>
      </c>
      <c r="D178" s="17" t="str">
        <f>IF($B178="","",IF(VLOOKUP($A178,Spiele!$A$2:$F$15,3,FALSE)=$B178,VLOOKUP($A178,Spiele!$A$2:$F$15,4,FALSE),VLOOKUP($A178,Spiele!$A$2:$F$15,3,FALSE)))</f>
        <v>FCN</v>
      </c>
      <c r="E178" s="18">
        <f>IF(Abschlüsse[[#This Row],[Ergeb]]="ET",0,COUNTIFS($A$2:$A178,$A178,$B$2:$B178,$B178,$L$2:$L178,"&lt;&gt;ET"))</f>
        <v>0</v>
      </c>
      <c r="F178" s="11">
        <v>55</v>
      </c>
      <c r="G178" s="12">
        <v>2</v>
      </c>
      <c r="H178" s="18">
        <f>COUNTIFS('Rote Karten'!$A$2:$A$4,$A178,'Rote Karten'!$D$2:$D$4,"&lt;&gt;"&amp;$B178,'Rote Karten'!$B$2:$B$4,"&lt;"&amp;$F178,'Rote Karten'!$C$2:$C$4,"&lt;="&amp;$G178)-COUNTIFS('Rote Karten'!$A$2:$A$4,$A178,'Rote Karten'!$D$2:$D$4,$B178,'Rote Karten'!$B$2:$B$4,"&lt;"&amp;$F178,'Rote Karten'!$C$2:$C$4,"&lt;="&amp;$G178)</f>
        <v>0</v>
      </c>
      <c r="I178" s="17" t="str">
        <f>IF(OR($L178="Tor",$L178="ET"),_xlfn.IFNA(IF(VLOOKUP($A178,Spiele!$A$2:$C$15,3,FALSE)=$B178,COUNTIFS($L$2:$L178,"Tor",$B$2:$B178,$B178,$A$2:$A178,$A178)+COUNTIFS($L$2:$L178,"ET",$B$2:$B178,$B178,$A$2:$A178,$A178)&amp;":"&amp;COUNTIFS($L$2:$L178,"Tor",$B$2:$B178,"&lt;&gt;"&amp;$B178,$A$2:$A178,$A178)+COUNTIFS($L$2:$L178,"ET",$B$2:$B178,"&lt;&gt;"&amp;$B178,$A$2:$A178,$A178),COUNTIFS($L$2:$L178,"Tor",$B$2:$B178,"&lt;&gt;"&amp;$B178,$A$2:$A178,$A178)+COUNTIFS($L$2:$L178,"ET",$B$2:$B178,"&lt;&gt;"&amp;$B178,$A$2:$A178,$A178)&amp;":"&amp;COUNTIFS($L$2:$L178,"Tor",$B$2:$B178,$B178,$A$2:$A178,$A178)+COUNTIFS($L$2:$L178,"ET",$B$2:$B178,$B178,$A$2:$A178,$A178)),""),"")</f>
        <v>1:1</v>
      </c>
      <c r="J178" s="18">
        <f>_xlfn.IFNA(IF(VLOOKUP($A178,Spiele!$A$2:$D$15,3,FALSE)=$B178,(COUNTIFS($L$1:$L177,"Tor",$B$1:$B177,$B178,$A$1:$A177,$A178)+COUNTIFS($L$1:$L177,"ET",$B$1:$B177,$B178,$A$1:$A177,$A178))-(COUNTIFS($L$1:$L177,"Tor",$B$1:$B177,"&lt;&gt;"&amp;$B178,$A$1:$A177,$A178)+COUNTIFS($L$1:$L177,"ET",$B$1:$B177,"&lt;&gt;"&amp;$B178,$A$1:$A177,$A178)),(COUNTIFS($L$1:$L177,"Tor",$B$1:$B177,$B178,$A$1:$A177,$A178)+COUNTIFS($L$1:$L177,"ET",$B$1:$B177,$B178,$A$1:$A177,$A178))-(COUNTIFS($L$1:$L177,"Tor",$B$1:$B177,"&lt;&gt;"&amp;$B178,$A$1:$A177,$A178)+COUNTIFS($L$1:$L177,"ET",$B$1:$B177,"&lt;&gt;"&amp;$B178,$A$1:$A177,$A178))),"")</f>
        <v>-1</v>
      </c>
      <c r="K178" s="3">
        <v>21</v>
      </c>
      <c r="L178" s="17" t="s">
        <v>171</v>
      </c>
      <c r="Z178" s="14"/>
      <c r="AA178" s="14"/>
      <c r="AB178" s="18"/>
      <c r="AE178" s="19" t="str">
        <f t="shared" si="8"/>
        <v/>
      </c>
      <c r="AF178" s="19" t="str">
        <f t="shared" si="9"/>
        <v/>
      </c>
      <c r="AJ178" s="19" t="str">
        <f>IF(Abschlüsse[[#This Row],[Ergeb]]="ET","",SQRT(($AC178-$AH178)^2+($AD178-$AI178)^2))</f>
        <v/>
      </c>
      <c r="AL178" s="13"/>
      <c r="AM178" s="13"/>
      <c r="AN178" s="19" t="str">
        <f t="shared" si="10"/>
        <v/>
      </c>
      <c r="AR178" s="19" t="str">
        <f t="shared" si="11"/>
        <v/>
      </c>
    </row>
    <row r="179" spans="1:44" ht="25.05" customHeight="1">
      <c r="A179" s="3">
        <v>7</v>
      </c>
      <c r="B179" s="2" t="s">
        <v>8</v>
      </c>
      <c r="C179" s="17" t="str">
        <f>IF($A179="","",IF(VLOOKUP($A179,Spiele!$A$2:$D$15,3,FALSE)=$B179,"H","G"))</f>
        <v>H</v>
      </c>
      <c r="D179" s="17" t="str">
        <f>IF($B179="","",IF(VLOOKUP($A179,Spiele!$A$2:$F$15,3,FALSE)=$B179,VLOOKUP($A179,Spiele!$A$2:$F$15,4,FALSE),VLOOKUP($A179,Spiele!$A$2:$F$15,3,FALSE)))</f>
        <v>FCA</v>
      </c>
      <c r="E179" s="18">
        <f>IF(Abschlüsse[[#This Row],[Ergeb]]="ET",0,COUNTIFS($A$2:$A179,$A179,$B$2:$B179,$B179,$L$2:$L179,"&lt;&gt;ET"))</f>
        <v>19</v>
      </c>
      <c r="F179" s="11">
        <v>58</v>
      </c>
      <c r="G179" s="12">
        <v>2</v>
      </c>
      <c r="H179" s="18">
        <f>COUNTIFS('Rote Karten'!$A$2:$A$4,$A179,'Rote Karten'!$D$2:$D$4,"&lt;&gt;"&amp;$B179,'Rote Karten'!$B$2:$B$4,"&lt;"&amp;$F179,'Rote Karten'!$C$2:$C$4,"&lt;="&amp;$G179)-COUNTIFS('Rote Karten'!$A$2:$A$4,$A179,'Rote Karten'!$D$2:$D$4,$B179,'Rote Karten'!$B$2:$B$4,"&lt;"&amp;$F179,'Rote Karten'!$C$2:$C$4,"&lt;="&amp;$G179)</f>
        <v>0</v>
      </c>
      <c r="I179" s="17" t="str">
        <f>IF(OR($L179="Tor",$L179="ET"),_xlfn.IFNA(IF(VLOOKUP($A179,Spiele!$A$2:$C$15,3,FALSE)=$B179,COUNTIFS($L$2:$L179,"Tor",$B$2:$B179,$B179,$A$2:$A179,$A179)+COUNTIFS($L$2:$L179,"ET",$B$2:$B179,$B179,$A$2:$A179,$A179)&amp;":"&amp;COUNTIFS($L$2:$L179,"Tor",$B$2:$B179,"&lt;&gt;"&amp;$B179,$A$2:$A179,$A179)+COUNTIFS($L$2:$L179,"ET",$B$2:$B179,"&lt;&gt;"&amp;$B179,$A$2:$A179,$A179),COUNTIFS($L$2:$L179,"Tor",$B$2:$B179,"&lt;&gt;"&amp;$B179,$A$2:$A179,$A179)+COUNTIFS($L$2:$L179,"ET",$B$2:$B179,"&lt;&gt;"&amp;$B179,$A$2:$A179,$A179)&amp;":"&amp;COUNTIFS($L$2:$L179,"Tor",$B$2:$B179,$B179,$A$2:$A179,$A179)+COUNTIFS($L$2:$L179,"ET",$B$2:$B179,$B179,$A$2:$A179,$A179)),""),"")</f>
        <v/>
      </c>
      <c r="J179" s="18">
        <f>_xlfn.IFNA(IF(VLOOKUP($A179,Spiele!$A$2:$D$15,3,FALSE)=$B179,(COUNTIFS($L$1:$L178,"Tor",$B$1:$B178,$B179,$A$1:$A178,$A179)+COUNTIFS($L$1:$L178,"ET",$B$1:$B178,$B179,$A$1:$A178,$A179))-(COUNTIFS($L$1:$L178,"Tor",$B$1:$B178,"&lt;&gt;"&amp;$B179,$A$1:$A178,$A179)+COUNTIFS($L$1:$L178,"ET",$B$1:$B178,"&lt;&gt;"&amp;$B179,$A$1:$A178,$A179)),(COUNTIFS($L$1:$L178,"Tor",$B$1:$B178,$B179,$A$1:$A178,$A179)+COUNTIFS($L$1:$L178,"ET",$B$1:$B178,$B179,$A$1:$A178,$A179))-(COUNTIFS($L$1:$L178,"Tor",$B$1:$B178,"&lt;&gt;"&amp;$B179,$A$1:$A178,$A179)+COUNTIFS($L$1:$L178,"ET",$B$1:$B178,"&lt;&gt;"&amp;$B179,$A$1:$A178,$A179))),"")</f>
        <v>0</v>
      </c>
      <c r="K179" s="3">
        <v>22</v>
      </c>
      <c r="L179" s="17" t="s">
        <v>19</v>
      </c>
      <c r="M179" s="2" t="s">
        <v>163</v>
      </c>
      <c r="N179" s="2" t="s">
        <v>158</v>
      </c>
      <c r="O179" s="2">
        <v>8</v>
      </c>
      <c r="P179" s="2">
        <v>16</v>
      </c>
      <c r="X179" s="2" t="s">
        <v>151</v>
      </c>
      <c r="Y179" s="17" t="s">
        <v>143</v>
      </c>
      <c r="Z179" s="14" t="s">
        <v>150</v>
      </c>
      <c r="AA179" s="14" t="s">
        <v>156</v>
      </c>
      <c r="AB179" s="18">
        <v>27</v>
      </c>
      <c r="AC179" s="13">
        <v>-3</v>
      </c>
      <c r="AD179" s="13">
        <v>16.5</v>
      </c>
      <c r="AE179" s="19">
        <f t="shared" si="8"/>
        <v>16.5</v>
      </c>
      <c r="AF179" s="19">
        <f t="shared" si="9"/>
        <v>24.271404601949332</v>
      </c>
      <c r="AG179" s="2" t="s">
        <v>146</v>
      </c>
      <c r="AH179" s="13">
        <v>-0.5</v>
      </c>
      <c r="AI179" s="13">
        <v>3.5</v>
      </c>
      <c r="AJ179" s="19">
        <f>IF(Abschlüsse[[#This Row],[Ergeb]]="ET","",SQRT(($AC179-$AH179)^2+($AD179-$AI179)^2))</f>
        <v>13.238202294873727</v>
      </c>
      <c r="AK179" s="3">
        <v>1</v>
      </c>
      <c r="AL179" s="13">
        <v>-5.5</v>
      </c>
      <c r="AM179" s="13">
        <v>14.5</v>
      </c>
      <c r="AN179" s="19">
        <f t="shared" si="10"/>
        <v>3.2015621187164243</v>
      </c>
      <c r="AO179" s="3">
        <v>1</v>
      </c>
      <c r="AP179" s="13">
        <v>-3</v>
      </c>
      <c r="AQ179" s="13">
        <v>14.5</v>
      </c>
      <c r="AR179" s="19">
        <f t="shared" si="11"/>
        <v>2</v>
      </c>
    </row>
    <row r="180" spans="1:44" ht="25.05" customHeight="1">
      <c r="A180" s="3">
        <v>7</v>
      </c>
      <c r="B180" s="2" t="s">
        <v>8</v>
      </c>
      <c r="C180" s="17" t="str">
        <f>IF($A180="","",IF(VLOOKUP($A180,Spiele!$A$2:$D$15,3,FALSE)=$B180,"H","G"))</f>
        <v>H</v>
      </c>
      <c r="D180" s="17" t="str">
        <f>IF($B180="","",IF(VLOOKUP($A180,Spiele!$A$2:$F$15,3,FALSE)=$B180,VLOOKUP($A180,Spiele!$A$2:$F$15,4,FALSE),VLOOKUP($A180,Spiele!$A$2:$F$15,3,FALSE)))</f>
        <v>FCA</v>
      </c>
      <c r="E180" s="18">
        <f>IF(Abschlüsse[[#This Row],[Ergeb]]="ET",0,COUNTIFS($A$2:$A180,$A180,$B$2:$B180,$B180,$L$2:$L180,"&lt;&gt;ET"))</f>
        <v>20</v>
      </c>
      <c r="F180" s="11">
        <v>59</v>
      </c>
      <c r="G180" s="12">
        <v>2</v>
      </c>
      <c r="H180" s="18">
        <f>COUNTIFS('Rote Karten'!$A$2:$A$4,$A180,'Rote Karten'!$D$2:$D$4,"&lt;&gt;"&amp;$B180,'Rote Karten'!$B$2:$B$4,"&lt;"&amp;$F180,'Rote Karten'!$C$2:$C$4,"&lt;="&amp;$G180)-COUNTIFS('Rote Karten'!$A$2:$A$4,$A180,'Rote Karten'!$D$2:$D$4,$B180,'Rote Karten'!$B$2:$B$4,"&lt;"&amp;$F180,'Rote Karten'!$C$2:$C$4,"&lt;="&amp;$G180)</f>
        <v>0</v>
      </c>
      <c r="I180" s="17" t="str">
        <f>IF(OR($L180="Tor",$L180="ET"),_xlfn.IFNA(IF(VLOOKUP($A180,Spiele!$A$2:$C$15,3,FALSE)=$B180,COUNTIFS($L$2:$L180,"Tor",$B$2:$B180,$B180,$A$2:$A180,$A180)+COUNTIFS($L$2:$L180,"ET",$B$2:$B180,$B180,$A$2:$A180,$A180)&amp;":"&amp;COUNTIFS($L$2:$L180,"Tor",$B$2:$B180,"&lt;&gt;"&amp;$B180,$A$2:$A180,$A180)+COUNTIFS($L$2:$L180,"ET",$B$2:$B180,"&lt;&gt;"&amp;$B180,$A$2:$A180,$A180),COUNTIFS($L$2:$L180,"Tor",$B$2:$B180,"&lt;&gt;"&amp;$B180,$A$2:$A180,$A180)+COUNTIFS($L$2:$L180,"ET",$B$2:$B180,"&lt;&gt;"&amp;$B180,$A$2:$A180,$A180)&amp;":"&amp;COUNTIFS($L$2:$L180,"Tor",$B$2:$B180,$B180,$A$2:$A180,$A180)+COUNTIFS($L$2:$L180,"ET",$B$2:$B180,$B180,$A$2:$A180,$A180)),""),"")</f>
        <v/>
      </c>
      <c r="J180" s="18">
        <f>_xlfn.IFNA(IF(VLOOKUP($A180,Spiele!$A$2:$D$15,3,FALSE)=$B180,(COUNTIFS($L$1:$L179,"Tor",$B$1:$B179,$B180,$A$1:$A179,$A180)+COUNTIFS($L$1:$L179,"ET",$B$1:$B179,$B180,$A$1:$A179,$A180))-(COUNTIFS($L$1:$L179,"Tor",$B$1:$B179,"&lt;&gt;"&amp;$B180,$A$1:$A179,$A180)+COUNTIFS($L$1:$L179,"ET",$B$1:$B179,"&lt;&gt;"&amp;$B180,$A$1:$A179,$A180)),(COUNTIFS($L$1:$L179,"Tor",$B$1:$B179,$B180,$A$1:$A179,$A180)+COUNTIFS($L$1:$L179,"ET",$B$1:$B179,$B180,$A$1:$A179,$A180))-(COUNTIFS($L$1:$L179,"Tor",$B$1:$B179,"&lt;&gt;"&amp;$B180,$A$1:$A179,$A180)+COUNTIFS($L$1:$L179,"ET",$B$1:$B179,"&lt;&gt;"&amp;$B180,$A$1:$A179,$A180))),"")</f>
        <v>0</v>
      </c>
      <c r="K180" s="3">
        <v>23</v>
      </c>
      <c r="L180" s="17" t="s">
        <v>20</v>
      </c>
      <c r="M180" s="2" t="s">
        <v>163</v>
      </c>
      <c r="N180" s="2" t="s">
        <v>164</v>
      </c>
      <c r="O180" s="2">
        <v>8</v>
      </c>
      <c r="X180" s="2" t="s">
        <v>151</v>
      </c>
      <c r="Y180" s="17" t="s">
        <v>149</v>
      </c>
      <c r="Z180" s="14" t="s">
        <v>150</v>
      </c>
      <c r="AA180" s="14" t="s">
        <v>156</v>
      </c>
      <c r="AB180" s="18">
        <v>10</v>
      </c>
      <c r="AC180" s="13">
        <v>14.5</v>
      </c>
      <c r="AD180" s="13">
        <v>8.5</v>
      </c>
      <c r="AE180" s="19">
        <f t="shared" si="8"/>
        <v>13.775180579578622</v>
      </c>
      <c r="AF180" s="19">
        <f t="shared" si="9"/>
        <v>13.018666912102047</v>
      </c>
      <c r="AG180" s="2" t="s">
        <v>146</v>
      </c>
      <c r="AH180" s="13">
        <v>3.5</v>
      </c>
      <c r="AI180" s="13">
        <v>0.5</v>
      </c>
      <c r="AJ180" s="19">
        <f>IF(Abschlüsse[[#This Row],[Ergeb]]="ET","",SQRT(($AC180-$AH180)^2+($AD180-$AI180)^2))</f>
        <v>13.601470508735444</v>
      </c>
      <c r="AK180" s="3">
        <v>1</v>
      </c>
      <c r="AL180" s="13">
        <v>11</v>
      </c>
      <c r="AM180" s="13">
        <v>8.5</v>
      </c>
      <c r="AN180" s="19">
        <f t="shared" si="10"/>
        <v>3.5</v>
      </c>
      <c r="AO180" s="3">
        <v>1</v>
      </c>
      <c r="AP180" s="13">
        <v>13.5</v>
      </c>
      <c r="AQ180" s="13">
        <v>7.5</v>
      </c>
      <c r="AR180" s="19">
        <f t="shared" si="11"/>
        <v>1.4142135623730951</v>
      </c>
    </row>
    <row r="181" spans="1:44" ht="25.05" customHeight="1">
      <c r="A181" s="3">
        <v>7</v>
      </c>
      <c r="B181" s="2" t="s">
        <v>8</v>
      </c>
      <c r="C181" s="17" t="str">
        <f>IF($A181="","",IF(VLOOKUP($A181,Spiele!$A$2:$D$15,3,FALSE)=$B181,"H","G"))</f>
        <v>H</v>
      </c>
      <c r="D181" s="17" t="str">
        <f>IF($B181="","",IF(VLOOKUP($A181,Spiele!$A$2:$F$15,3,FALSE)=$B181,VLOOKUP($A181,Spiele!$A$2:$F$15,4,FALSE),VLOOKUP($A181,Spiele!$A$2:$F$15,3,FALSE)))</f>
        <v>FCA</v>
      </c>
      <c r="E181" s="18">
        <f>IF(Abschlüsse[[#This Row],[Ergeb]]="ET",0,COUNTIFS($A$2:$A181,$A181,$B$2:$B181,$B181,$L$2:$L181,"&lt;&gt;ET"))</f>
        <v>21</v>
      </c>
      <c r="F181" s="11">
        <v>60</v>
      </c>
      <c r="G181" s="12">
        <v>2</v>
      </c>
      <c r="H181" s="18">
        <f>COUNTIFS('Rote Karten'!$A$2:$A$4,$A181,'Rote Karten'!$D$2:$D$4,"&lt;&gt;"&amp;$B181,'Rote Karten'!$B$2:$B$4,"&lt;"&amp;$F181,'Rote Karten'!$C$2:$C$4,"&lt;="&amp;$G181)-COUNTIFS('Rote Karten'!$A$2:$A$4,$A181,'Rote Karten'!$D$2:$D$4,$B181,'Rote Karten'!$B$2:$B$4,"&lt;"&amp;$F181,'Rote Karten'!$C$2:$C$4,"&lt;="&amp;$G181)</f>
        <v>0</v>
      </c>
      <c r="I181" s="17" t="str">
        <f>IF(OR($L181="Tor",$L181="ET"),_xlfn.IFNA(IF(VLOOKUP($A181,Spiele!$A$2:$C$15,3,FALSE)=$B181,COUNTIFS($L$2:$L181,"Tor",$B$2:$B181,$B181,$A$2:$A181,$A181)+COUNTIFS($L$2:$L181,"ET",$B$2:$B181,$B181,$A$2:$A181,$A181)&amp;":"&amp;COUNTIFS($L$2:$L181,"Tor",$B$2:$B181,"&lt;&gt;"&amp;$B181,$A$2:$A181,$A181)+COUNTIFS($L$2:$L181,"ET",$B$2:$B181,"&lt;&gt;"&amp;$B181,$A$2:$A181,$A181),COUNTIFS($L$2:$L181,"Tor",$B$2:$B181,"&lt;&gt;"&amp;$B181,$A$2:$A181,$A181)+COUNTIFS($L$2:$L181,"ET",$B$2:$B181,"&lt;&gt;"&amp;$B181,$A$2:$A181,$A181)&amp;":"&amp;COUNTIFS($L$2:$L181,"Tor",$B$2:$B181,$B181,$A$2:$A181,$A181)+COUNTIFS($L$2:$L181,"ET",$B$2:$B181,$B181,$A$2:$A181,$A181)),""),"")</f>
        <v/>
      </c>
      <c r="J181" s="18">
        <f>_xlfn.IFNA(IF(VLOOKUP($A181,Spiele!$A$2:$D$15,3,FALSE)=$B181,(COUNTIFS($L$1:$L180,"Tor",$B$1:$B180,$B181,$A$1:$A180,$A181)+COUNTIFS($L$1:$L180,"ET",$B$1:$B180,$B181,$A$1:$A180,$A181))-(COUNTIFS($L$1:$L180,"Tor",$B$1:$B180,"&lt;&gt;"&amp;$B181,$A$1:$A180,$A181)+COUNTIFS($L$1:$L180,"ET",$B$1:$B180,"&lt;&gt;"&amp;$B181,$A$1:$A180,$A181)),(COUNTIFS($L$1:$L180,"Tor",$B$1:$B180,$B181,$A$1:$A180,$A181)+COUNTIFS($L$1:$L180,"ET",$B$1:$B180,$B181,$A$1:$A180,$A181))-(COUNTIFS($L$1:$L180,"Tor",$B$1:$B180,"&lt;&gt;"&amp;$B181,$A$1:$A180,$A181)+COUNTIFS($L$1:$L180,"ET",$B$1:$B180,"&lt;&gt;"&amp;$B181,$A$1:$A180,$A181))),"")</f>
        <v>0</v>
      </c>
      <c r="K181" s="3">
        <v>24</v>
      </c>
      <c r="L181" s="17" t="s">
        <v>20</v>
      </c>
      <c r="M181" s="2" t="s">
        <v>168</v>
      </c>
      <c r="N181" s="2" t="s">
        <v>3</v>
      </c>
      <c r="X181" s="2" t="s">
        <v>141</v>
      </c>
      <c r="Y181" s="17" t="s">
        <v>149</v>
      </c>
      <c r="Z181" s="14" t="s">
        <v>150</v>
      </c>
      <c r="AA181" s="14" t="s">
        <v>156</v>
      </c>
      <c r="AB181" s="18">
        <v>27</v>
      </c>
      <c r="AC181" s="13">
        <v>11</v>
      </c>
      <c r="AD181" s="13">
        <v>28</v>
      </c>
      <c r="AE181" s="19">
        <f t="shared" si="8"/>
        <v>28.94608090916627</v>
      </c>
      <c r="AF181" s="19">
        <f t="shared" si="9"/>
        <v>12.946111027969463</v>
      </c>
      <c r="AG181" s="2" t="s">
        <v>146</v>
      </c>
      <c r="AH181" s="13">
        <v>0</v>
      </c>
      <c r="AI181" s="13">
        <v>1</v>
      </c>
      <c r="AJ181" s="19">
        <f>IF(Abschlüsse[[#This Row],[Ergeb]]="ET","",SQRT(($AC181-$AH181)^2+($AD181-$AI181)^2))</f>
        <v>29.154759474226502</v>
      </c>
      <c r="AK181" s="3">
        <v>1</v>
      </c>
      <c r="AL181" s="13">
        <v>10</v>
      </c>
      <c r="AM181" s="13">
        <v>27.5</v>
      </c>
      <c r="AN181" s="19">
        <f t="shared" si="10"/>
        <v>1.1180339887498949</v>
      </c>
      <c r="AO181" s="3">
        <v>3</v>
      </c>
      <c r="AP181" s="13">
        <v>6.5</v>
      </c>
      <c r="AQ181" s="13">
        <v>17.5</v>
      </c>
      <c r="AR181" s="19">
        <f t="shared" si="11"/>
        <v>11.423659658795863</v>
      </c>
    </row>
    <row r="182" spans="1:44" ht="25.05" customHeight="1">
      <c r="A182" s="3">
        <v>7</v>
      </c>
      <c r="B182" s="2" t="s">
        <v>66</v>
      </c>
      <c r="C182" s="17" t="str">
        <f>IF($A182="","",IF(VLOOKUP($A182,Spiele!$A$2:$D$15,3,FALSE)=$B182,"H","G"))</f>
        <v>G</v>
      </c>
      <c r="D182" s="17" t="str">
        <f>IF($B182="","",IF(VLOOKUP($A182,Spiele!$A$2:$F$15,3,FALSE)=$B182,VLOOKUP($A182,Spiele!$A$2:$F$15,4,FALSE),VLOOKUP($A182,Spiele!$A$2:$F$15,3,FALSE)))</f>
        <v>FCN</v>
      </c>
      <c r="E182" s="18">
        <f>IF(Abschlüsse[[#This Row],[Ergeb]]="ET",0,COUNTIFS($A$2:$A182,$A182,$B$2:$B182,$B182,$L$2:$L182,"&lt;&gt;ET"))</f>
        <v>8</v>
      </c>
      <c r="F182" s="11">
        <v>62</v>
      </c>
      <c r="G182" s="12">
        <v>2</v>
      </c>
      <c r="H182" s="18">
        <f>COUNTIFS('Rote Karten'!$A$2:$A$4,$A182,'Rote Karten'!$D$2:$D$4,"&lt;&gt;"&amp;$B182,'Rote Karten'!$B$2:$B$4,"&lt;"&amp;$F182,'Rote Karten'!$C$2:$C$4,"&lt;="&amp;$G182)-COUNTIFS('Rote Karten'!$A$2:$A$4,$A182,'Rote Karten'!$D$2:$D$4,$B182,'Rote Karten'!$B$2:$B$4,"&lt;"&amp;$F182,'Rote Karten'!$C$2:$C$4,"&lt;="&amp;$G182)</f>
        <v>0</v>
      </c>
      <c r="I182" s="17" t="str">
        <f>IF(OR($L182="Tor",$L182="ET"),_xlfn.IFNA(IF(VLOOKUP($A182,Spiele!$A$2:$C$15,3,FALSE)=$B182,COUNTIFS($L$2:$L182,"Tor",$B$2:$B182,$B182,$A$2:$A182,$A182)+COUNTIFS($L$2:$L182,"ET",$B$2:$B182,$B182,$A$2:$A182,$A182)&amp;":"&amp;COUNTIFS($L$2:$L182,"Tor",$B$2:$B182,"&lt;&gt;"&amp;$B182,$A$2:$A182,$A182)+COUNTIFS($L$2:$L182,"ET",$B$2:$B182,"&lt;&gt;"&amp;$B182,$A$2:$A182,$A182),COUNTIFS($L$2:$L182,"Tor",$B$2:$B182,"&lt;&gt;"&amp;$B182,$A$2:$A182,$A182)+COUNTIFS($L$2:$L182,"ET",$B$2:$B182,"&lt;&gt;"&amp;$B182,$A$2:$A182,$A182)&amp;":"&amp;COUNTIFS($L$2:$L182,"Tor",$B$2:$B182,$B182,$A$2:$A182,$A182)+COUNTIFS($L$2:$L182,"ET",$B$2:$B182,$B182,$A$2:$A182,$A182)),""),"")</f>
        <v/>
      </c>
      <c r="J182" s="18">
        <f>_xlfn.IFNA(IF(VLOOKUP($A182,Spiele!$A$2:$D$15,3,FALSE)=$B182,(COUNTIFS($L$1:$L181,"Tor",$B$1:$B181,$B182,$A$1:$A181,$A182)+COUNTIFS($L$1:$L181,"ET",$B$1:$B181,$B182,$A$1:$A181,$A182))-(COUNTIFS($L$1:$L181,"Tor",$B$1:$B181,"&lt;&gt;"&amp;$B182,$A$1:$A181,$A182)+COUNTIFS($L$1:$L181,"ET",$B$1:$B181,"&lt;&gt;"&amp;$B182,$A$1:$A181,$A182)),(COUNTIFS($L$1:$L181,"Tor",$B$1:$B181,$B182,$A$1:$A181,$A182)+COUNTIFS($L$1:$L181,"ET",$B$1:$B181,$B182,$A$1:$A181,$A182))-(COUNTIFS($L$1:$L181,"Tor",$B$1:$B181,"&lt;&gt;"&amp;$B182,$A$1:$A181,$A182)+COUNTIFS($L$1:$L181,"ET",$B$1:$B181,"&lt;&gt;"&amp;$B182,$A$1:$A181,$A182))),"")</f>
        <v>0</v>
      </c>
      <c r="K182" s="3">
        <v>25</v>
      </c>
      <c r="L182" s="17" t="s">
        <v>20</v>
      </c>
      <c r="M182" s="2" t="s">
        <v>163</v>
      </c>
      <c r="N182" s="2" t="s">
        <v>164</v>
      </c>
      <c r="X182" s="2" t="s">
        <v>151</v>
      </c>
      <c r="Y182" s="17" t="s">
        <v>143</v>
      </c>
      <c r="Z182" s="14" t="s">
        <v>150</v>
      </c>
      <c r="AA182" s="14" t="s">
        <v>156</v>
      </c>
      <c r="AB182" s="18"/>
      <c r="AC182" s="13">
        <v>-12.5</v>
      </c>
      <c r="AD182" s="13">
        <v>11.5</v>
      </c>
      <c r="AE182" s="19">
        <f t="shared" si="8"/>
        <v>14.505019820737923</v>
      </c>
      <c r="AF182" s="19">
        <f t="shared" si="9"/>
        <v>17.013740039938664</v>
      </c>
      <c r="AG182" s="2" t="s">
        <v>146</v>
      </c>
      <c r="AH182" s="13">
        <v>-2.5</v>
      </c>
      <c r="AI182" s="13">
        <v>0.5</v>
      </c>
      <c r="AJ182" s="19">
        <f>IF(Abschlüsse[[#This Row],[Ergeb]]="ET","",SQRT(($AC182-$AH182)^2+($AD182-$AI182)^2))</f>
        <v>14.866068747318506</v>
      </c>
      <c r="AK182" s="3">
        <v>3</v>
      </c>
      <c r="AL182" s="13">
        <v>-12.5</v>
      </c>
      <c r="AM182" s="13">
        <v>10.5</v>
      </c>
      <c r="AN182" s="19">
        <f t="shared" si="10"/>
        <v>1</v>
      </c>
      <c r="AO182" s="3">
        <v>2</v>
      </c>
      <c r="AP182" s="13">
        <v>-7</v>
      </c>
      <c r="AQ182" s="13">
        <v>8</v>
      </c>
      <c r="AR182" s="19">
        <f t="shared" si="11"/>
        <v>6.5192024052026492</v>
      </c>
    </row>
    <row r="183" spans="1:44" ht="25.05" customHeight="1">
      <c r="A183" s="3">
        <v>7</v>
      </c>
      <c r="B183" s="2" t="s">
        <v>8</v>
      </c>
      <c r="C183" s="17" t="str">
        <f>IF($A183="","",IF(VLOOKUP($A183,Spiele!$A$2:$D$15,3,FALSE)=$B183,"H","G"))</f>
        <v>H</v>
      </c>
      <c r="D183" s="17" t="str">
        <f>IF($B183="","",IF(VLOOKUP($A183,Spiele!$A$2:$F$15,3,FALSE)=$B183,VLOOKUP($A183,Spiele!$A$2:$F$15,4,FALSE),VLOOKUP($A183,Spiele!$A$2:$F$15,3,FALSE)))</f>
        <v>FCA</v>
      </c>
      <c r="E183" s="18">
        <f>IF(Abschlüsse[[#This Row],[Ergeb]]="ET",0,COUNTIFS($A$2:$A183,$A183,$B$2:$B183,$B183,$L$2:$L183,"&lt;&gt;ET"))</f>
        <v>22</v>
      </c>
      <c r="F183" s="11">
        <v>62</v>
      </c>
      <c r="G183" s="12">
        <v>2</v>
      </c>
      <c r="H183" s="18">
        <f>COUNTIFS('Rote Karten'!$A$2:$A$4,$A183,'Rote Karten'!$D$2:$D$4,"&lt;&gt;"&amp;$B183,'Rote Karten'!$B$2:$B$4,"&lt;"&amp;$F183,'Rote Karten'!$C$2:$C$4,"&lt;="&amp;$G183)-COUNTIFS('Rote Karten'!$A$2:$A$4,$A183,'Rote Karten'!$D$2:$D$4,$B183,'Rote Karten'!$B$2:$B$4,"&lt;"&amp;$F183,'Rote Karten'!$C$2:$C$4,"&lt;="&amp;$G183)</f>
        <v>0</v>
      </c>
      <c r="I183" s="17" t="str">
        <f>IF(OR($L183="Tor",$L183="ET"),_xlfn.IFNA(IF(VLOOKUP($A183,Spiele!$A$2:$C$15,3,FALSE)=$B183,COUNTIFS($L$2:$L183,"Tor",$B$2:$B183,$B183,$A$2:$A183,$A183)+COUNTIFS($L$2:$L183,"ET",$B$2:$B183,$B183,$A$2:$A183,$A183)&amp;":"&amp;COUNTIFS($L$2:$L183,"Tor",$B$2:$B183,"&lt;&gt;"&amp;$B183,$A$2:$A183,$A183)+COUNTIFS($L$2:$L183,"ET",$B$2:$B183,"&lt;&gt;"&amp;$B183,$A$2:$A183,$A183),COUNTIFS($L$2:$L183,"Tor",$B$2:$B183,"&lt;&gt;"&amp;$B183,$A$2:$A183,$A183)+COUNTIFS($L$2:$L183,"ET",$B$2:$B183,"&lt;&gt;"&amp;$B183,$A$2:$A183,$A183)&amp;":"&amp;COUNTIFS($L$2:$L183,"Tor",$B$2:$B183,$B183,$A$2:$A183,$A183)+COUNTIFS($L$2:$L183,"ET",$B$2:$B183,$B183,$A$2:$A183,$A183)),""),"")</f>
        <v/>
      </c>
      <c r="J183" s="18">
        <f>_xlfn.IFNA(IF(VLOOKUP($A183,Spiele!$A$2:$D$15,3,FALSE)=$B183,(COUNTIFS($L$1:$L182,"Tor",$B$1:$B182,$B183,$A$1:$A182,$A183)+COUNTIFS($L$1:$L182,"ET",$B$1:$B182,$B183,$A$1:$A182,$A183))-(COUNTIFS($L$1:$L182,"Tor",$B$1:$B182,"&lt;&gt;"&amp;$B183,$A$1:$A182,$A183)+COUNTIFS($L$1:$L182,"ET",$B$1:$B182,"&lt;&gt;"&amp;$B183,$A$1:$A182,$A183)),(COUNTIFS($L$1:$L182,"Tor",$B$1:$B182,$B183,$A$1:$A182,$A183)+COUNTIFS($L$1:$L182,"ET",$B$1:$B182,$B183,$A$1:$A182,$A183))-(COUNTIFS($L$1:$L182,"Tor",$B$1:$B182,"&lt;&gt;"&amp;$B183,$A$1:$A182,$A183)+COUNTIFS($L$1:$L182,"ET",$B$1:$B182,"&lt;&gt;"&amp;$B183,$A$1:$A182,$A183))),"")</f>
        <v>0</v>
      </c>
      <c r="K183" s="3">
        <v>26</v>
      </c>
      <c r="L183" s="17" t="s">
        <v>18</v>
      </c>
      <c r="M183" s="2" t="s">
        <v>163</v>
      </c>
      <c r="N183" s="2" t="s">
        <v>164</v>
      </c>
      <c r="O183" s="2">
        <v>10</v>
      </c>
      <c r="P183" s="2">
        <v>20</v>
      </c>
      <c r="X183" s="2" t="s">
        <v>151</v>
      </c>
      <c r="Y183" s="17" t="s">
        <v>149</v>
      </c>
      <c r="Z183" s="14" t="s">
        <v>150</v>
      </c>
      <c r="AA183" s="14" t="s">
        <v>156</v>
      </c>
      <c r="AB183" s="18">
        <v>7</v>
      </c>
      <c r="AC183" s="13">
        <v>4.5</v>
      </c>
      <c r="AD183" s="13">
        <v>8</v>
      </c>
      <c r="AE183" s="19">
        <f t="shared" si="8"/>
        <v>8.0439791148411128</v>
      </c>
      <c r="AF183" s="19">
        <f t="shared" si="9"/>
        <v>39.573173460749466</v>
      </c>
      <c r="AG183" s="2" t="s">
        <v>146</v>
      </c>
      <c r="AH183" s="13">
        <v>4</v>
      </c>
      <c r="AI183" s="13">
        <v>6.5</v>
      </c>
      <c r="AJ183" s="19">
        <f>IF(Abschlüsse[[#This Row],[Ergeb]]="ET","",SQRT(($AC183-$AH183)^2+($AD183-$AI183)^2))</f>
        <v>1.5811388300841898</v>
      </c>
      <c r="AK183" s="3">
        <v>1</v>
      </c>
      <c r="AL183" s="13">
        <v>5.5</v>
      </c>
      <c r="AM183" s="13">
        <v>10.5</v>
      </c>
      <c r="AN183" s="19">
        <f t="shared" si="10"/>
        <v>2.6925824035672519</v>
      </c>
      <c r="AO183" s="3">
        <v>1</v>
      </c>
      <c r="AP183" s="13">
        <v>-1.5</v>
      </c>
      <c r="AQ183" s="13">
        <v>3.5</v>
      </c>
      <c r="AR183" s="19">
        <f t="shared" si="11"/>
        <v>7.5</v>
      </c>
    </row>
    <row r="184" spans="1:44" ht="25.05" customHeight="1">
      <c r="A184" s="3">
        <v>7</v>
      </c>
      <c r="B184" s="2" t="s">
        <v>8</v>
      </c>
      <c r="C184" s="17" t="str">
        <f>IF($A184="","",IF(VLOOKUP($A184,Spiele!$A$2:$D$15,3,FALSE)=$B184,"H","G"))</f>
        <v>H</v>
      </c>
      <c r="D184" s="17" t="str">
        <f>IF($B184="","",IF(VLOOKUP($A184,Spiele!$A$2:$F$15,3,FALSE)=$B184,VLOOKUP($A184,Spiele!$A$2:$F$15,4,FALSE),VLOOKUP($A184,Spiele!$A$2:$F$15,3,FALSE)))</f>
        <v>FCA</v>
      </c>
      <c r="E184" s="18">
        <f>IF(Abschlüsse[[#This Row],[Ergeb]]="ET",0,COUNTIFS($A$2:$A184,$A184,$B$2:$B184,$B184,$L$2:$L184,"&lt;&gt;ET"))</f>
        <v>23</v>
      </c>
      <c r="F184" s="11">
        <v>62</v>
      </c>
      <c r="G184" s="12">
        <v>2</v>
      </c>
      <c r="H184" s="18">
        <f>COUNTIFS('Rote Karten'!$A$2:$A$4,$A184,'Rote Karten'!$D$2:$D$4,"&lt;&gt;"&amp;$B184,'Rote Karten'!$B$2:$B$4,"&lt;"&amp;$F184,'Rote Karten'!$C$2:$C$4,"&lt;="&amp;$G184)-COUNTIFS('Rote Karten'!$A$2:$A$4,$A184,'Rote Karten'!$D$2:$D$4,$B184,'Rote Karten'!$B$2:$B$4,"&lt;"&amp;$F184,'Rote Karten'!$C$2:$C$4,"&lt;="&amp;$G184)</f>
        <v>0</v>
      </c>
      <c r="I184" s="17" t="str">
        <f>IF(OR($L184="Tor",$L184="ET"),_xlfn.IFNA(IF(VLOOKUP($A184,Spiele!$A$2:$C$15,3,FALSE)=$B184,COUNTIFS($L$2:$L184,"Tor",$B$2:$B184,$B184,$A$2:$A184,$A184)+COUNTIFS($L$2:$L184,"ET",$B$2:$B184,$B184,$A$2:$A184,$A184)&amp;":"&amp;COUNTIFS($L$2:$L184,"Tor",$B$2:$B184,"&lt;&gt;"&amp;$B184,$A$2:$A184,$A184)+COUNTIFS($L$2:$L184,"ET",$B$2:$B184,"&lt;&gt;"&amp;$B184,$A$2:$A184,$A184),COUNTIFS($L$2:$L184,"Tor",$B$2:$B184,"&lt;&gt;"&amp;$B184,$A$2:$A184,$A184)+COUNTIFS($L$2:$L184,"ET",$B$2:$B184,"&lt;&gt;"&amp;$B184,$A$2:$A184,$A184)&amp;":"&amp;COUNTIFS($L$2:$L184,"Tor",$B$2:$B184,$B184,$A$2:$A184,$A184)+COUNTIFS($L$2:$L184,"ET",$B$2:$B184,$B184,$A$2:$A184,$A184)),""),"")</f>
        <v/>
      </c>
      <c r="J184" s="18">
        <f>_xlfn.IFNA(IF(VLOOKUP($A184,Spiele!$A$2:$D$15,3,FALSE)=$B184,(COUNTIFS($L$1:$L183,"Tor",$B$1:$B183,$B184,$A$1:$A183,$A184)+COUNTIFS($L$1:$L183,"ET",$B$1:$B183,$B184,$A$1:$A183,$A184))-(COUNTIFS($L$1:$L183,"Tor",$B$1:$B183,"&lt;&gt;"&amp;$B184,$A$1:$A183,$A184)+COUNTIFS($L$1:$L183,"ET",$B$1:$B183,"&lt;&gt;"&amp;$B184,$A$1:$A183,$A184)),(COUNTIFS($L$1:$L183,"Tor",$B$1:$B183,$B184,$A$1:$A183,$A184)+COUNTIFS($L$1:$L183,"ET",$B$1:$B183,$B184,$A$1:$A183,$A184))-(COUNTIFS($L$1:$L183,"Tor",$B$1:$B183,"&lt;&gt;"&amp;$B184,$A$1:$A183,$A184)+COUNTIFS($L$1:$L183,"ET",$B$1:$B183,"&lt;&gt;"&amp;$B184,$A$1:$A183,$A184))),"")</f>
        <v>0</v>
      </c>
      <c r="K184" s="3">
        <v>26</v>
      </c>
      <c r="L184" s="17" t="s">
        <v>170</v>
      </c>
      <c r="M184" s="2" t="s">
        <v>163</v>
      </c>
      <c r="N184" s="2" t="s">
        <v>164</v>
      </c>
      <c r="X184" s="2" t="s">
        <v>151</v>
      </c>
      <c r="Y184" s="17" t="s">
        <v>143</v>
      </c>
      <c r="Z184" s="14" t="s">
        <v>150</v>
      </c>
      <c r="AA184" s="14" t="s">
        <v>145</v>
      </c>
      <c r="AB184" s="18">
        <v>27</v>
      </c>
      <c r="AC184" s="13">
        <v>-14.5</v>
      </c>
      <c r="AD184" s="13">
        <v>1.5</v>
      </c>
      <c r="AE184" s="19">
        <f t="shared" si="8"/>
        <v>10.943290181659261</v>
      </c>
      <c r="AF184" s="19">
        <f t="shared" si="9"/>
        <v>3.1564901417983617</v>
      </c>
      <c r="AG184" s="2" t="s">
        <v>146</v>
      </c>
      <c r="AH184" s="13">
        <v>-4.5</v>
      </c>
      <c r="AI184" s="13">
        <v>0.5</v>
      </c>
      <c r="AJ184" s="19">
        <f>IF(Abschlüsse[[#This Row],[Ergeb]]="ET","",SQRT(($AC184-$AH184)^2+($AD184-$AI184)^2))</f>
        <v>10.04987562112089</v>
      </c>
      <c r="AK184" s="3">
        <v>1</v>
      </c>
      <c r="AL184" s="13">
        <v>-13.5</v>
      </c>
      <c r="AM184" s="13">
        <v>2.5</v>
      </c>
      <c r="AN184" s="19">
        <f t="shared" si="10"/>
        <v>1.4142135623730951</v>
      </c>
      <c r="AO184" s="3">
        <v>1</v>
      </c>
      <c r="AP184" s="13">
        <v>-4</v>
      </c>
      <c r="AQ184" s="13">
        <v>1</v>
      </c>
      <c r="AR184" s="19">
        <f t="shared" si="11"/>
        <v>10.51189802081432</v>
      </c>
    </row>
    <row r="185" spans="1:44" ht="25.05" customHeight="1">
      <c r="A185" s="3">
        <v>7</v>
      </c>
      <c r="B185" s="2" t="s">
        <v>66</v>
      </c>
      <c r="C185" s="17" t="str">
        <f>IF($A185="","",IF(VLOOKUP($A185,Spiele!$A$2:$D$15,3,FALSE)=$B185,"H","G"))</f>
        <v>G</v>
      </c>
      <c r="D185" s="17" t="str">
        <f>IF($B185="","",IF(VLOOKUP($A185,Spiele!$A$2:$F$15,3,FALSE)=$B185,VLOOKUP($A185,Spiele!$A$2:$F$15,4,FALSE),VLOOKUP($A185,Spiele!$A$2:$F$15,3,FALSE)))</f>
        <v>FCN</v>
      </c>
      <c r="E185" s="18">
        <f>IF(Abschlüsse[[#This Row],[Ergeb]]="ET",0,COUNTIFS($A$2:$A185,$A185,$B$2:$B185,$B185,$L$2:$L185,"&lt;&gt;ET"))</f>
        <v>9</v>
      </c>
      <c r="F185" s="11">
        <v>65</v>
      </c>
      <c r="G185" s="12">
        <v>2</v>
      </c>
      <c r="H185" s="18">
        <f>COUNTIFS('Rote Karten'!$A$2:$A$4,$A185,'Rote Karten'!$D$2:$D$4,"&lt;&gt;"&amp;$B185,'Rote Karten'!$B$2:$B$4,"&lt;"&amp;$F185,'Rote Karten'!$C$2:$C$4,"&lt;="&amp;$G185)-COUNTIFS('Rote Karten'!$A$2:$A$4,$A185,'Rote Karten'!$D$2:$D$4,$B185,'Rote Karten'!$B$2:$B$4,"&lt;"&amp;$F185,'Rote Karten'!$C$2:$C$4,"&lt;="&amp;$G185)</f>
        <v>0</v>
      </c>
      <c r="I185" s="17" t="str">
        <f>IF(OR($L185="Tor",$L185="ET"),_xlfn.IFNA(IF(VLOOKUP($A185,Spiele!$A$2:$C$15,3,FALSE)=$B185,COUNTIFS($L$2:$L185,"Tor",$B$2:$B185,$B185,$A$2:$A185,$A185)+COUNTIFS($L$2:$L185,"ET",$B$2:$B185,$B185,$A$2:$A185,$A185)&amp;":"&amp;COUNTIFS($L$2:$L185,"Tor",$B$2:$B185,"&lt;&gt;"&amp;$B185,$A$2:$A185,$A185)+COUNTIFS($L$2:$L185,"ET",$B$2:$B185,"&lt;&gt;"&amp;$B185,$A$2:$A185,$A185),COUNTIFS($L$2:$L185,"Tor",$B$2:$B185,"&lt;&gt;"&amp;$B185,$A$2:$A185,$A185)+COUNTIFS($L$2:$L185,"ET",$B$2:$B185,"&lt;&gt;"&amp;$B185,$A$2:$A185,$A185)&amp;":"&amp;COUNTIFS($L$2:$L185,"Tor",$B$2:$B185,$B185,$A$2:$A185,$A185)+COUNTIFS($L$2:$L185,"ET",$B$2:$B185,$B185,$A$2:$A185,$A185)),""),"")</f>
        <v/>
      </c>
      <c r="J185" s="18">
        <f>_xlfn.IFNA(IF(VLOOKUP($A185,Spiele!$A$2:$D$15,3,FALSE)=$B185,(COUNTIFS($L$1:$L184,"Tor",$B$1:$B184,$B185,$A$1:$A184,$A185)+COUNTIFS($L$1:$L184,"ET",$B$1:$B184,$B185,$A$1:$A184,$A185))-(COUNTIFS($L$1:$L184,"Tor",$B$1:$B184,"&lt;&gt;"&amp;$B185,$A$1:$A184,$A185)+COUNTIFS($L$1:$L184,"ET",$B$1:$B184,"&lt;&gt;"&amp;$B185,$A$1:$A184,$A185)),(COUNTIFS($L$1:$L184,"Tor",$B$1:$B184,$B185,$A$1:$A184,$A185)+COUNTIFS($L$1:$L184,"ET",$B$1:$B184,$B185,$A$1:$A184,$A185))-(COUNTIFS($L$1:$L184,"Tor",$B$1:$B184,"&lt;&gt;"&amp;$B185,$A$1:$A184,$A185)+COUNTIFS($L$1:$L184,"ET",$B$1:$B184,"&lt;&gt;"&amp;$B185,$A$1:$A184,$A185))),"")</f>
        <v>0</v>
      </c>
      <c r="K185" s="3">
        <v>27</v>
      </c>
      <c r="L185" s="17" t="s">
        <v>18</v>
      </c>
      <c r="M185" s="2" t="s">
        <v>163</v>
      </c>
      <c r="N185" s="2" t="s">
        <v>158</v>
      </c>
      <c r="X185" s="2" t="s">
        <v>151</v>
      </c>
      <c r="Y185" s="17" t="s">
        <v>149</v>
      </c>
      <c r="Z185" s="14" t="s">
        <v>150</v>
      </c>
      <c r="AA185" s="14" t="s">
        <v>156</v>
      </c>
      <c r="AB185" s="18"/>
      <c r="AC185" s="13">
        <v>3</v>
      </c>
      <c r="AD185" s="13">
        <v>20</v>
      </c>
      <c r="AE185" s="19">
        <f t="shared" si="8"/>
        <v>20</v>
      </c>
      <c r="AF185" s="19">
        <f t="shared" si="9"/>
        <v>20.307833196437571</v>
      </c>
      <c r="AG185" s="2" t="s">
        <v>146</v>
      </c>
      <c r="AH185" s="13">
        <v>1.5</v>
      </c>
      <c r="AI185" s="13">
        <v>1</v>
      </c>
      <c r="AJ185" s="19">
        <f>IF(Abschlüsse[[#This Row],[Ergeb]]="ET","",SQRT(($AC185-$AH185)^2+($AD185-$AI185)^2))</f>
        <v>19.059118552545918</v>
      </c>
      <c r="AK185" s="3">
        <v>1</v>
      </c>
      <c r="AL185" s="13">
        <v>3.5</v>
      </c>
      <c r="AM185" s="13">
        <v>19</v>
      </c>
      <c r="AN185" s="19">
        <f t="shared" si="10"/>
        <v>1.1180339887498949</v>
      </c>
      <c r="AO185" s="3">
        <v>0</v>
      </c>
      <c r="AR185" s="19" t="str">
        <f t="shared" si="11"/>
        <v/>
      </c>
    </row>
    <row r="186" spans="1:44" ht="25.05" customHeight="1">
      <c r="A186" s="3">
        <v>7</v>
      </c>
      <c r="B186" s="2" t="s">
        <v>66</v>
      </c>
      <c r="C186" s="17" t="str">
        <f>IF($A186="","",IF(VLOOKUP($A186,Spiele!$A$2:$D$15,3,FALSE)=$B186,"H","G"))</f>
        <v>G</v>
      </c>
      <c r="D186" s="17" t="str">
        <f>IF($B186="","",IF(VLOOKUP($A186,Spiele!$A$2:$F$15,3,FALSE)=$B186,VLOOKUP($A186,Spiele!$A$2:$F$15,4,FALSE),VLOOKUP($A186,Spiele!$A$2:$F$15,3,FALSE)))</f>
        <v>FCN</v>
      </c>
      <c r="E186" s="18">
        <f>IF(Abschlüsse[[#This Row],[Ergeb]]="ET",0,COUNTIFS($A$2:$A186,$A186,$B$2:$B186,$B186,$L$2:$L186,"&lt;&gt;ET"))</f>
        <v>10</v>
      </c>
      <c r="F186" s="11">
        <v>65</v>
      </c>
      <c r="G186" s="12">
        <v>2</v>
      </c>
      <c r="H186" s="18">
        <f>COUNTIFS('Rote Karten'!$A$2:$A$4,$A186,'Rote Karten'!$D$2:$D$4,"&lt;&gt;"&amp;$B186,'Rote Karten'!$B$2:$B$4,"&lt;"&amp;$F186,'Rote Karten'!$C$2:$C$4,"&lt;="&amp;$G186)-COUNTIFS('Rote Karten'!$A$2:$A$4,$A186,'Rote Karten'!$D$2:$D$4,$B186,'Rote Karten'!$B$2:$B$4,"&lt;"&amp;$F186,'Rote Karten'!$C$2:$C$4,"&lt;="&amp;$G186)</f>
        <v>0</v>
      </c>
      <c r="I186" s="17" t="str">
        <f>IF(OR($L186="Tor",$L186="ET"),_xlfn.IFNA(IF(VLOOKUP($A186,Spiele!$A$2:$C$15,3,FALSE)=$B186,COUNTIFS($L$2:$L186,"Tor",$B$2:$B186,$B186,$A$2:$A186,$A186)+COUNTIFS($L$2:$L186,"ET",$B$2:$B186,$B186,$A$2:$A186,$A186)&amp;":"&amp;COUNTIFS($L$2:$L186,"Tor",$B$2:$B186,"&lt;&gt;"&amp;$B186,$A$2:$A186,$A186)+COUNTIFS($L$2:$L186,"ET",$B$2:$B186,"&lt;&gt;"&amp;$B186,$A$2:$A186,$A186),COUNTIFS($L$2:$L186,"Tor",$B$2:$B186,"&lt;&gt;"&amp;$B186,$A$2:$A186,$A186)+COUNTIFS($L$2:$L186,"ET",$B$2:$B186,"&lt;&gt;"&amp;$B186,$A$2:$A186,$A186)&amp;":"&amp;COUNTIFS($L$2:$L186,"Tor",$B$2:$B186,$B186,$A$2:$A186,$A186)+COUNTIFS($L$2:$L186,"ET",$B$2:$B186,$B186,$A$2:$A186,$A186)),""),"")</f>
        <v/>
      </c>
      <c r="J186" s="18">
        <f>_xlfn.IFNA(IF(VLOOKUP($A186,Spiele!$A$2:$D$15,3,FALSE)=$B186,(COUNTIFS($L$1:$L185,"Tor",$B$1:$B185,$B186,$A$1:$A185,$A186)+COUNTIFS($L$1:$L185,"ET",$B$1:$B185,$B186,$A$1:$A185,$A186))-(COUNTIFS($L$1:$L185,"Tor",$B$1:$B185,"&lt;&gt;"&amp;$B186,$A$1:$A185,$A186)+COUNTIFS($L$1:$L185,"ET",$B$1:$B185,"&lt;&gt;"&amp;$B186,$A$1:$A185,$A186)),(COUNTIFS($L$1:$L185,"Tor",$B$1:$B185,$B186,$A$1:$A185,$A186)+COUNTIFS($L$1:$L185,"ET",$B$1:$B185,$B186,$A$1:$A185,$A186))-(COUNTIFS($L$1:$L185,"Tor",$B$1:$B185,"&lt;&gt;"&amp;$B186,$A$1:$A185,$A186)+COUNTIFS($L$1:$L185,"ET",$B$1:$B185,"&lt;&gt;"&amp;$B186,$A$1:$A185,$A186))),"")</f>
        <v>0</v>
      </c>
      <c r="K186" s="3">
        <v>27</v>
      </c>
      <c r="L186" s="17" t="s">
        <v>170</v>
      </c>
      <c r="M186" s="2" t="s">
        <v>163</v>
      </c>
      <c r="N186" s="2" t="s">
        <v>165</v>
      </c>
      <c r="X186" s="2" t="s">
        <v>142</v>
      </c>
      <c r="Y186" s="17" t="s">
        <v>149</v>
      </c>
      <c r="Z186" s="14" t="s">
        <v>150</v>
      </c>
      <c r="AA186" s="14" t="s">
        <v>156</v>
      </c>
      <c r="AB186" s="18"/>
      <c r="AC186" s="13">
        <v>-8</v>
      </c>
      <c r="AD186" s="13">
        <v>3.5</v>
      </c>
      <c r="AE186" s="19">
        <f t="shared" si="8"/>
        <v>5.5754461704871652</v>
      </c>
      <c r="AF186" s="19">
        <f t="shared" si="9"/>
        <v>22.176236341492778</v>
      </c>
      <c r="AG186" s="2" t="s">
        <v>146</v>
      </c>
      <c r="AH186" s="13">
        <v>-3.5</v>
      </c>
      <c r="AI186" s="13">
        <v>0.5</v>
      </c>
      <c r="AJ186" s="19">
        <f>IF(Abschlüsse[[#This Row],[Ergeb]]="ET","",SQRT(($AC186-$AH186)^2+($AD186-$AI186)^2))</f>
        <v>5.4083269131959844</v>
      </c>
      <c r="AK186" s="3">
        <v>1</v>
      </c>
      <c r="AL186" s="13">
        <v>-6.5</v>
      </c>
      <c r="AM186" s="13">
        <v>4.5</v>
      </c>
      <c r="AN186" s="19">
        <f t="shared" si="10"/>
        <v>1.8027756377319946</v>
      </c>
      <c r="AO186" s="3">
        <v>0</v>
      </c>
      <c r="AR186" s="19" t="str">
        <f t="shared" si="11"/>
        <v/>
      </c>
    </row>
    <row r="187" spans="1:44" ht="25.05" customHeight="1">
      <c r="A187" s="3">
        <v>7</v>
      </c>
      <c r="B187" s="2" t="s">
        <v>66</v>
      </c>
      <c r="C187" s="17" t="str">
        <f>IF($A187="","",IF(VLOOKUP($A187,Spiele!$A$2:$D$15,3,FALSE)=$B187,"H","G"))</f>
        <v>G</v>
      </c>
      <c r="D187" s="17" t="str">
        <f>IF($B187="","",IF(VLOOKUP($A187,Spiele!$A$2:$F$15,3,FALSE)=$B187,VLOOKUP($A187,Spiele!$A$2:$F$15,4,FALSE),VLOOKUP($A187,Spiele!$A$2:$F$15,3,FALSE)))</f>
        <v>FCN</v>
      </c>
      <c r="E187" s="18">
        <f>IF(Abschlüsse[[#This Row],[Ergeb]]="ET",0,COUNTIFS($A$2:$A187,$A187,$B$2:$B187,$B187,$L$2:$L187,"&lt;&gt;ET"))</f>
        <v>11</v>
      </c>
      <c r="F187" s="11">
        <v>65</v>
      </c>
      <c r="G187" s="12">
        <v>2</v>
      </c>
      <c r="H187" s="18">
        <f>COUNTIFS('Rote Karten'!$A$2:$A$4,$A187,'Rote Karten'!$D$2:$D$4,"&lt;&gt;"&amp;$B187,'Rote Karten'!$B$2:$B$4,"&lt;"&amp;$F187,'Rote Karten'!$C$2:$C$4,"&lt;="&amp;$G187)-COUNTIFS('Rote Karten'!$A$2:$A$4,$A187,'Rote Karten'!$D$2:$D$4,$B187,'Rote Karten'!$B$2:$B$4,"&lt;"&amp;$F187,'Rote Karten'!$C$2:$C$4,"&lt;="&amp;$G187)</f>
        <v>0</v>
      </c>
      <c r="I187" s="17" t="str">
        <f>IF(OR($L187="Tor",$L187="ET"),_xlfn.IFNA(IF(VLOOKUP($A187,Spiele!$A$2:$C$15,3,FALSE)=$B187,COUNTIFS($L$2:$L187,"Tor",$B$2:$B187,$B187,$A$2:$A187,$A187)+COUNTIFS($L$2:$L187,"ET",$B$2:$B187,$B187,$A$2:$A187,$A187)&amp;":"&amp;COUNTIFS($L$2:$L187,"Tor",$B$2:$B187,"&lt;&gt;"&amp;$B187,$A$2:$A187,$A187)+COUNTIFS($L$2:$L187,"ET",$B$2:$B187,"&lt;&gt;"&amp;$B187,$A$2:$A187,$A187),COUNTIFS($L$2:$L187,"Tor",$B$2:$B187,"&lt;&gt;"&amp;$B187,$A$2:$A187,$A187)+COUNTIFS($L$2:$L187,"ET",$B$2:$B187,"&lt;&gt;"&amp;$B187,$A$2:$A187,$A187)&amp;":"&amp;COUNTIFS($L$2:$L187,"Tor",$B$2:$B187,$B187,$A$2:$A187,$A187)+COUNTIFS($L$2:$L187,"ET",$B$2:$B187,$B187,$A$2:$A187,$A187)),""),"")</f>
        <v/>
      </c>
      <c r="J187" s="18">
        <f>_xlfn.IFNA(IF(VLOOKUP($A187,Spiele!$A$2:$D$15,3,FALSE)=$B187,(COUNTIFS($L$1:$L186,"Tor",$B$1:$B186,$B187,$A$1:$A186,$A187)+COUNTIFS($L$1:$L186,"ET",$B$1:$B186,$B187,$A$1:$A186,$A187))-(COUNTIFS($L$1:$L186,"Tor",$B$1:$B186,"&lt;&gt;"&amp;$B187,$A$1:$A186,$A187)+COUNTIFS($L$1:$L186,"ET",$B$1:$B186,"&lt;&gt;"&amp;$B187,$A$1:$A186,$A187)),(COUNTIFS($L$1:$L186,"Tor",$B$1:$B186,$B187,$A$1:$A186,$A187)+COUNTIFS($L$1:$L186,"ET",$B$1:$B186,$B187,$A$1:$A186,$A187))-(COUNTIFS($L$1:$L186,"Tor",$B$1:$B186,"&lt;&gt;"&amp;$B187,$A$1:$A186,$A187)+COUNTIFS($L$1:$L186,"ET",$B$1:$B186,"&lt;&gt;"&amp;$B187,$A$1:$A186,$A187))),"")</f>
        <v>0</v>
      </c>
      <c r="K187" s="3">
        <v>27</v>
      </c>
      <c r="L187" s="17" t="s">
        <v>20</v>
      </c>
      <c r="M187" s="2" t="s">
        <v>163</v>
      </c>
      <c r="N187" s="2" t="s">
        <v>3</v>
      </c>
      <c r="X187" s="2" t="s">
        <v>151</v>
      </c>
      <c r="Y187" s="17" t="s">
        <v>143</v>
      </c>
      <c r="Z187" s="14" t="s">
        <v>150</v>
      </c>
      <c r="AA187" s="14" t="s">
        <v>156</v>
      </c>
      <c r="AB187" s="18"/>
      <c r="AC187" s="13">
        <v>7.5</v>
      </c>
      <c r="AD187" s="13">
        <v>10</v>
      </c>
      <c r="AE187" s="19">
        <f t="shared" si="8"/>
        <v>10.711937266433182</v>
      </c>
      <c r="AF187" s="19">
        <f t="shared" si="9"/>
        <v>27.131048187283202</v>
      </c>
      <c r="AG187" s="2" t="s">
        <v>146</v>
      </c>
      <c r="AH187" s="13">
        <v>2</v>
      </c>
      <c r="AI187" s="13">
        <v>0</v>
      </c>
      <c r="AJ187" s="19">
        <f>IF(Abschlüsse[[#This Row],[Ergeb]]="ET","",SQRT(($AC187-$AH187)^2+($AD187-$AI187)^2))</f>
        <v>11.412712210513327</v>
      </c>
      <c r="AK187" s="3">
        <v>0</v>
      </c>
      <c r="AL187" s="13"/>
      <c r="AM187" s="13"/>
      <c r="AN187" s="19" t="str">
        <f t="shared" si="10"/>
        <v/>
      </c>
      <c r="AO187" s="3">
        <v>3</v>
      </c>
      <c r="AP187" s="13">
        <v>6.5</v>
      </c>
      <c r="AQ187" s="13">
        <v>8</v>
      </c>
      <c r="AR187" s="19">
        <f t="shared" si="11"/>
        <v>2.2360679774997898</v>
      </c>
    </row>
    <row r="188" spans="1:44" ht="25.05" customHeight="1">
      <c r="A188" s="3">
        <v>7</v>
      </c>
      <c r="B188" s="2" t="s">
        <v>66</v>
      </c>
      <c r="C188" s="17" t="str">
        <f>IF($A188="","",IF(VLOOKUP($A188,Spiele!$A$2:$D$15,3,FALSE)=$B188,"H","G"))</f>
        <v>G</v>
      </c>
      <c r="D188" s="17" t="str">
        <f>IF($B188="","",IF(VLOOKUP($A188,Spiele!$A$2:$F$15,3,FALSE)=$B188,VLOOKUP($A188,Spiele!$A$2:$F$15,4,FALSE),VLOOKUP($A188,Spiele!$A$2:$F$15,3,FALSE)))</f>
        <v>FCN</v>
      </c>
      <c r="E188" s="18">
        <f>IF(Abschlüsse[[#This Row],[Ergeb]]="ET",0,COUNTIFS($A$2:$A188,$A188,$B$2:$B188,$B188,$L$2:$L188,"&lt;&gt;ET"))</f>
        <v>12</v>
      </c>
      <c r="F188" s="11">
        <v>65</v>
      </c>
      <c r="G188" s="12">
        <v>2</v>
      </c>
      <c r="H188" s="18">
        <f>COUNTIFS('Rote Karten'!$A$2:$A$4,$A188,'Rote Karten'!$D$2:$D$4,"&lt;&gt;"&amp;$B188,'Rote Karten'!$B$2:$B$4,"&lt;"&amp;$F188,'Rote Karten'!$C$2:$C$4,"&lt;="&amp;$G188)-COUNTIFS('Rote Karten'!$A$2:$A$4,$A188,'Rote Karten'!$D$2:$D$4,$B188,'Rote Karten'!$B$2:$B$4,"&lt;"&amp;$F188,'Rote Karten'!$C$2:$C$4,"&lt;="&amp;$G188)</f>
        <v>0</v>
      </c>
      <c r="I188" s="17" t="str">
        <f>IF(OR($L188="Tor",$L188="ET"),_xlfn.IFNA(IF(VLOOKUP($A188,Spiele!$A$2:$C$15,3,FALSE)=$B188,COUNTIFS($L$2:$L188,"Tor",$B$2:$B188,$B188,$A$2:$A188,$A188)+COUNTIFS($L$2:$L188,"ET",$B$2:$B188,$B188,$A$2:$A188,$A188)&amp;":"&amp;COUNTIFS($L$2:$L188,"Tor",$B$2:$B188,"&lt;&gt;"&amp;$B188,$A$2:$A188,$A188)+COUNTIFS($L$2:$L188,"ET",$B$2:$B188,"&lt;&gt;"&amp;$B188,$A$2:$A188,$A188),COUNTIFS($L$2:$L188,"Tor",$B$2:$B188,"&lt;&gt;"&amp;$B188,$A$2:$A188,$A188)+COUNTIFS($L$2:$L188,"ET",$B$2:$B188,"&lt;&gt;"&amp;$B188,$A$2:$A188,$A188)&amp;":"&amp;COUNTIFS($L$2:$L188,"Tor",$B$2:$B188,$B188,$A$2:$A188,$A188)+COUNTIFS($L$2:$L188,"ET",$B$2:$B188,$B188,$A$2:$A188,$A188)),""),"")</f>
        <v/>
      </c>
      <c r="J188" s="18">
        <f>_xlfn.IFNA(IF(VLOOKUP($A188,Spiele!$A$2:$D$15,3,FALSE)=$B188,(COUNTIFS($L$1:$L187,"Tor",$B$1:$B187,$B188,$A$1:$A187,$A188)+COUNTIFS($L$1:$L187,"ET",$B$1:$B187,$B188,$A$1:$A187,$A188))-(COUNTIFS($L$1:$L187,"Tor",$B$1:$B187,"&lt;&gt;"&amp;$B188,$A$1:$A187,$A188)+COUNTIFS($L$1:$L187,"ET",$B$1:$B187,"&lt;&gt;"&amp;$B188,$A$1:$A187,$A188)),(COUNTIFS($L$1:$L187,"Tor",$B$1:$B187,$B188,$A$1:$A187,$A188)+COUNTIFS($L$1:$L187,"ET",$B$1:$B187,$B188,$A$1:$A187,$A188))-(COUNTIFS($L$1:$L187,"Tor",$B$1:$B187,"&lt;&gt;"&amp;$B188,$A$1:$A187,$A188)+COUNTIFS($L$1:$L187,"ET",$B$1:$B187,"&lt;&gt;"&amp;$B188,$A$1:$A187,$A188))),"")</f>
        <v>0</v>
      </c>
      <c r="K188" s="3">
        <v>27</v>
      </c>
      <c r="L188" s="17" t="s">
        <v>20</v>
      </c>
      <c r="M188" s="2" t="s">
        <v>163</v>
      </c>
      <c r="N188" s="2" t="s">
        <v>165</v>
      </c>
      <c r="X188" s="2" t="s">
        <v>154</v>
      </c>
      <c r="Y188" s="17" t="s">
        <v>143</v>
      </c>
      <c r="Z188" s="14" t="s">
        <v>144</v>
      </c>
      <c r="AA188" s="14" t="s">
        <v>156</v>
      </c>
      <c r="AB188" s="18"/>
      <c r="AC188" s="13">
        <v>-1</v>
      </c>
      <c r="AD188" s="13">
        <v>9</v>
      </c>
      <c r="AE188" s="19">
        <f t="shared" si="8"/>
        <v>9</v>
      </c>
      <c r="AF188" s="19">
        <f t="shared" si="9"/>
        <v>43.839454439268671</v>
      </c>
      <c r="AG188" s="2" t="s">
        <v>146</v>
      </c>
      <c r="AH188" s="13">
        <v>0.5</v>
      </c>
      <c r="AI188" s="13">
        <v>0</v>
      </c>
      <c r="AJ188" s="19">
        <f>IF(Abschlüsse[[#This Row],[Ergeb]]="ET","",SQRT(($AC188-$AH188)^2+($AD188-$AI188)^2))</f>
        <v>9.1241437954473295</v>
      </c>
      <c r="AK188" s="3">
        <v>2</v>
      </c>
      <c r="AL188" s="13">
        <v>1</v>
      </c>
      <c r="AM188" s="13">
        <v>9</v>
      </c>
      <c r="AN188" s="19">
        <f t="shared" si="10"/>
        <v>2</v>
      </c>
      <c r="AO188" s="3">
        <v>2</v>
      </c>
      <c r="AP188" s="13">
        <v>1.5</v>
      </c>
      <c r="AQ188" s="13">
        <v>3</v>
      </c>
      <c r="AR188" s="19">
        <f t="shared" si="11"/>
        <v>6.5</v>
      </c>
    </row>
    <row r="189" spans="1:44" ht="25.05" customHeight="1">
      <c r="A189" s="3">
        <v>7</v>
      </c>
      <c r="B189" s="2" t="s">
        <v>8</v>
      </c>
      <c r="C189" s="17" t="str">
        <f>IF($A189="","",IF(VLOOKUP($A189,Spiele!$A$2:$D$15,3,FALSE)=$B189,"H","G"))</f>
        <v>H</v>
      </c>
      <c r="D189" s="17" t="str">
        <f>IF($B189="","",IF(VLOOKUP($A189,Spiele!$A$2:$F$15,3,FALSE)=$B189,VLOOKUP($A189,Spiele!$A$2:$F$15,4,FALSE),VLOOKUP($A189,Spiele!$A$2:$F$15,3,FALSE)))</f>
        <v>FCA</v>
      </c>
      <c r="E189" s="18">
        <f>IF(Abschlüsse[[#This Row],[Ergeb]]="ET",0,COUNTIFS($A$2:$A189,$A189,$B$2:$B189,$B189,$L$2:$L189,"&lt;&gt;ET"))</f>
        <v>24</v>
      </c>
      <c r="F189" s="11">
        <v>71</v>
      </c>
      <c r="G189" s="12">
        <v>2</v>
      </c>
      <c r="H189" s="18">
        <f>COUNTIFS('Rote Karten'!$A$2:$A$4,$A189,'Rote Karten'!$D$2:$D$4,"&lt;&gt;"&amp;$B189,'Rote Karten'!$B$2:$B$4,"&lt;"&amp;$F189,'Rote Karten'!$C$2:$C$4,"&lt;="&amp;$G189)-COUNTIFS('Rote Karten'!$A$2:$A$4,$A189,'Rote Karten'!$D$2:$D$4,$B189,'Rote Karten'!$B$2:$B$4,"&lt;"&amp;$F189,'Rote Karten'!$C$2:$C$4,"&lt;="&amp;$G189)</f>
        <v>0</v>
      </c>
      <c r="I189" s="17" t="str">
        <f>IF(OR($L189="Tor",$L189="ET"),_xlfn.IFNA(IF(VLOOKUP($A189,Spiele!$A$2:$C$15,3,FALSE)=$B189,COUNTIFS($L$2:$L189,"Tor",$B$2:$B189,$B189,$A$2:$A189,$A189)+COUNTIFS($L$2:$L189,"ET",$B$2:$B189,$B189,$A$2:$A189,$A189)&amp;":"&amp;COUNTIFS($L$2:$L189,"Tor",$B$2:$B189,"&lt;&gt;"&amp;$B189,$A$2:$A189,$A189)+COUNTIFS($L$2:$L189,"ET",$B$2:$B189,"&lt;&gt;"&amp;$B189,$A$2:$A189,$A189),COUNTIFS($L$2:$L189,"Tor",$B$2:$B189,"&lt;&gt;"&amp;$B189,$A$2:$A189,$A189)+COUNTIFS($L$2:$L189,"ET",$B$2:$B189,"&lt;&gt;"&amp;$B189,$A$2:$A189,$A189)&amp;":"&amp;COUNTIFS($L$2:$L189,"Tor",$B$2:$B189,$B189,$A$2:$A189,$A189)+COUNTIFS($L$2:$L189,"ET",$B$2:$B189,$B189,$A$2:$A189,$A189)),""),"")</f>
        <v/>
      </c>
      <c r="J189" s="18">
        <f>_xlfn.IFNA(IF(VLOOKUP($A189,Spiele!$A$2:$D$15,3,FALSE)=$B189,(COUNTIFS($L$1:$L188,"Tor",$B$1:$B188,$B189,$A$1:$A188,$A189)+COUNTIFS($L$1:$L188,"ET",$B$1:$B188,$B189,$A$1:$A188,$A189))-(COUNTIFS($L$1:$L188,"Tor",$B$1:$B188,"&lt;&gt;"&amp;$B189,$A$1:$A188,$A189)+COUNTIFS($L$1:$L188,"ET",$B$1:$B188,"&lt;&gt;"&amp;$B189,$A$1:$A188,$A189)),(COUNTIFS($L$1:$L188,"Tor",$B$1:$B188,$B189,$A$1:$A188,$A189)+COUNTIFS($L$1:$L188,"ET",$B$1:$B188,$B189,$A$1:$A188,$A189))-(COUNTIFS($L$1:$L188,"Tor",$B$1:$B188,"&lt;&gt;"&amp;$B189,$A$1:$A188,$A189)+COUNTIFS($L$1:$L188,"ET",$B$1:$B188,"&lt;&gt;"&amp;$B189,$A$1:$A188,$A189))),"")</f>
        <v>0</v>
      </c>
      <c r="K189" s="3">
        <v>28</v>
      </c>
      <c r="L189" s="18" t="s">
        <v>18</v>
      </c>
      <c r="M189" s="3" t="s">
        <v>147</v>
      </c>
      <c r="N189" s="2" t="s">
        <v>152</v>
      </c>
      <c r="O189" s="2">
        <v>4</v>
      </c>
      <c r="P189" s="2">
        <v>1</v>
      </c>
      <c r="Q189" s="2">
        <v>23</v>
      </c>
      <c r="R189" s="2">
        <v>6</v>
      </c>
      <c r="X189" s="22" t="s">
        <v>151</v>
      </c>
      <c r="Y189" s="18" t="s">
        <v>143</v>
      </c>
      <c r="Z189" s="14" t="s">
        <v>150</v>
      </c>
      <c r="AA189" s="14" t="s">
        <v>156</v>
      </c>
      <c r="AB189" s="18">
        <v>18</v>
      </c>
      <c r="AC189" s="13">
        <v>13</v>
      </c>
      <c r="AD189" s="13">
        <v>14</v>
      </c>
      <c r="AE189" s="19">
        <f>IF($L189="ET","",IF($AC189&gt;3.66,SQRT($AD189^2+($AC189-(7.32/2))^2),IF($AC189&lt;-3.66,SQRT($AD189^2+($AC189+(7.32/2))^2),$AD189)))</f>
        <v>16.829604867613497</v>
      </c>
      <c r="AF189" s="19">
        <f>IF($L189="ET","",IF(DEGREES(ATAN((7.32*$AD189)/($AD189^2+$AC189^2-(7.32/2)^2)))&lt;=0,180+DEGREES(ATAN((7.32*$AD189)/($AD189^2+$AC189^2-(7.32/2)^2))),DEGREES(ATAN((7.32*$AD189)/($AD189^2+$AC189^2-(7.32/2)^2)))))</f>
        <v>16.249498826123144</v>
      </c>
      <c r="AG189" s="3" t="s">
        <v>146</v>
      </c>
      <c r="AH189" s="13">
        <v>3.5</v>
      </c>
      <c r="AI189" s="13">
        <v>1.5</v>
      </c>
      <c r="AJ189" s="19">
        <f>IF(Abschlüsse[[#This Row],[Ergeb]]="ET","",SQRT(($AC189-$AH189)^2+($AD189-$AI189)^2))</f>
        <v>15.700318468107582</v>
      </c>
      <c r="AK189" s="3">
        <v>1</v>
      </c>
      <c r="AL189" s="13">
        <v>11.5</v>
      </c>
      <c r="AM189" s="13">
        <v>13</v>
      </c>
      <c r="AN189" s="19">
        <f>IF(AK189=0,"",SQRT(($AC189-$AL189)^2+($AD189-$AM189)^2))</f>
        <v>1.8027756377319946</v>
      </c>
      <c r="AO189" s="3">
        <v>0</v>
      </c>
      <c r="AR189" s="19" t="str">
        <f>IF(AO189=0,"",SQRT(($AC189-$AP189)^2+($AD189-$AQ189)^2))</f>
        <v/>
      </c>
    </row>
    <row r="190" spans="1:44" ht="25.05" customHeight="1">
      <c r="A190" s="3">
        <v>7</v>
      </c>
      <c r="B190" s="2" t="s">
        <v>66</v>
      </c>
      <c r="C190" s="17" t="str">
        <f>IF($A190="","",IF(VLOOKUP($A190,Spiele!$A$2:$D$15,3,FALSE)=$B190,"H","G"))</f>
        <v>G</v>
      </c>
      <c r="D190" s="17" t="str">
        <f>IF($B190="","",IF(VLOOKUP($A190,Spiele!$A$2:$F$15,3,FALSE)=$B190,VLOOKUP($A190,Spiele!$A$2:$F$15,4,FALSE),VLOOKUP($A190,Spiele!$A$2:$F$15,3,FALSE)))</f>
        <v>FCN</v>
      </c>
      <c r="E190" s="18">
        <f>IF(Abschlüsse[[#This Row],[Ergeb]]="ET",0,COUNTIFS($A$2:$A190,$A190,$B$2:$B190,$B190,$L$2:$L190,"&lt;&gt;ET"))</f>
        <v>13</v>
      </c>
      <c r="F190" s="11">
        <v>76</v>
      </c>
      <c r="G190" s="12">
        <v>2</v>
      </c>
      <c r="H190" s="18">
        <f>COUNTIFS('Rote Karten'!$A$2:$A$4,$A190,'Rote Karten'!$D$2:$D$4,"&lt;&gt;"&amp;$B190,'Rote Karten'!$B$2:$B$4,"&lt;"&amp;$F190,'Rote Karten'!$C$2:$C$4,"&lt;="&amp;$G190)-COUNTIFS('Rote Karten'!$A$2:$A$4,$A190,'Rote Karten'!$D$2:$D$4,$B190,'Rote Karten'!$B$2:$B$4,"&lt;"&amp;$F190,'Rote Karten'!$C$2:$C$4,"&lt;="&amp;$G190)</f>
        <v>0</v>
      </c>
      <c r="I190" s="17" t="str">
        <f>IF(OR($L190="Tor",$L190="ET"),_xlfn.IFNA(IF(VLOOKUP($A190,Spiele!$A$2:$C$15,3,FALSE)=$B190,COUNTIFS($L$2:$L190,"Tor",$B$2:$B190,$B190,$A$2:$A190,$A190)+COUNTIFS($L$2:$L190,"ET",$B$2:$B190,$B190,$A$2:$A190,$A190)&amp;":"&amp;COUNTIFS($L$2:$L190,"Tor",$B$2:$B190,"&lt;&gt;"&amp;$B190,$A$2:$A190,$A190)+COUNTIFS($L$2:$L190,"ET",$B$2:$B190,"&lt;&gt;"&amp;$B190,$A$2:$A190,$A190),COUNTIFS($L$2:$L190,"Tor",$B$2:$B190,"&lt;&gt;"&amp;$B190,$A$2:$A190,$A190)+COUNTIFS($L$2:$L190,"ET",$B$2:$B190,"&lt;&gt;"&amp;$B190,$A$2:$A190,$A190)&amp;":"&amp;COUNTIFS($L$2:$L190,"Tor",$B$2:$B190,$B190,$A$2:$A190,$A190)+COUNTIFS($L$2:$L190,"ET",$B$2:$B190,$B190,$A$2:$A190,$A190)),""),"")</f>
        <v/>
      </c>
      <c r="J190" s="18">
        <f>_xlfn.IFNA(IF(VLOOKUP($A190,Spiele!$A$2:$D$15,3,FALSE)=$B190,(COUNTIFS($L$1:$L189,"Tor",$B$1:$B189,$B190,$A$1:$A189,$A190)+COUNTIFS($L$1:$L189,"ET",$B$1:$B189,$B190,$A$1:$A189,$A190))-(COUNTIFS($L$1:$L189,"Tor",$B$1:$B189,"&lt;&gt;"&amp;$B190,$A$1:$A189,$A190)+COUNTIFS($L$1:$L189,"ET",$B$1:$B189,"&lt;&gt;"&amp;$B190,$A$1:$A189,$A190)),(COUNTIFS($L$1:$L189,"Tor",$B$1:$B189,$B190,$A$1:$A189,$A190)+COUNTIFS($L$1:$L189,"ET",$B$1:$B189,$B190,$A$1:$A189,$A190))-(COUNTIFS($L$1:$L189,"Tor",$B$1:$B189,"&lt;&gt;"&amp;$B190,$A$1:$A189,$A190)+COUNTIFS($L$1:$L189,"ET",$B$1:$B189,"&lt;&gt;"&amp;$B190,$A$1:$A189,$A190))),"")</f>
        <v>0</v>
      </c>
      <c r="K190" s="3">
        <v>29</v>
      </c>
      <c r="L190" s="17" t="s">
        <v>19</v>
      </c>
      <c r="M190" s="2" t="s">
        <v>163</v>
      </c>
      <c r="N190" s="2" t="s">
        <v>158</v>
      </c>
      <c r="X190" s="2" t="s">
        <v>151</v>
      </c>
      <c r="Y190" s="17" t="s">
        <v>149</v>
      </c>
      <c r="Z190" s="14" t="s">
        <v>150</v>
      </c>
      <c r="AA190" s="14" t="s">
        <v>145</v>
      </c>
      <c r="AB190" s="18"/>
      <c r="AC190" s="13">
        <v>7.5</v>
      </c>
      <c r="AD190" s="13">
        <v>20.5</v>
      </c>
      <c r="AE190" s="19">
        <f t="shared" si="8"/>
        <v>20.856548132421146</v>
      </c>
      <c r="AF190" s="19">
        <f t="shared" si="9"/>
        <v>17.953911363223014</v>
      </c>
      <c r="AG190" s="2" t="s">
        <v>146</v>
      </c>
      <c r="AH190" s="13">
        <v>1.5</v>
      </c>
      <c r="AI190" s="13">
        <v>0.5</v>
      </c>
      <c r="AJ190" s="19">
        <f>IF(Abschlüsse[[#This Row],[Ergeb]]="ET","",SQRT(($AC190-$AH190)^2+($AD190-$AI190)^2))</f>
        <v>20.880613017821101</v>
      </c>
      <c r="AK190" s="3">
        <v>2</v>
      </c>
      <c r="AL190" s="13">
        <v>6</v>
      </c>
      <c r="AM190" s="13">
        <v>19.5</v>
      </c>
      <c r="AN190" s="19">
        <f t="shared" si="10"/>
        <v>1.8027756377319946</v>
      </c>
      <c r="AO190" s="3">
        <v>1</v>
      </c>
      <c r="AP190" s="13">
        <v>6</v>
      </c>
      <c r="AQ190" s="13">
        <v>14</v>
      </c>
      <c r="AR190" s="19">
        <f t="shared" si="11"/>
        <v>6.6708320320631671</v>
      </c>
    </row>
    <row r="191" spans="1:44" ht="25.05" customHeight="1">
      <c r="A191" s="3">
        <v>7</v>
      </c>
      <c r="B191" s="2" t="s">
        <v>8</v>
      </c>
      <c r="C191" s="17" t="str">
        <f>IF($A191="","",IF(VLOOKUP($A191,Spiele!$A$2:$D$15,3,FALSE)=$B191,"H","G"))</f>
        <v>H</v>
      </c>
      <c r="D191" s="17" t="str">
        <f>IF($B191="","",IF(VLOOKUP($A191,Spiele!$A$2:$F$15,3,FALSE)=$B191,VLOOKUP($A191,Spiele!$A$2:$F$15,4,FALSE),VLOOKUP($A191,Spiele!$A$2:$F$15,3,FALSE)))</f>
        <v>FCA</v>
      </c>
      <c r="E191" s="18">
        <f>IF(Abschlüsse[[#This Row],[Ergeb]]="ET",0,COUNTIFS($A$2:$A191,$A191,$B$2:$B191,$B191,$L$2:$L191,"&lt;&gt;ET"))</f>
        <v>25</v>
      </c>
      <c r="F191" s="11">
        <v>78</v>
      </c>
      <c r="G191" s="12">
        <v>2</v>
      </c>
      <c r="H191" s="18">
        <f>COUNTIFS('Rote Karten'!$A$2:$A$4,$A191,'Rote Karten'!$D$2:$D$4,"&lt;&gt;"&amp;$B191,'Rote Karten'!$B$2:$B$4,"&lt;"&amp;$F191,'Rote Karten'!$C$2:$C$4,"&lt;="&amp;$G191)-COUNTIFS('Rote Karten'!$A$2:$A$4,$A191,'Rote Karten'!$D$2:$D$4,$B191,'Rote Karten'!$B$2:$B$4,"&lt;"&amp;$F191,'Rote Karten'!$C$2:$C$4,"&lt;="&amp;$G191)</f>
        <v>0</v>
      </c>
      <c r="I191" s="17" t="str">
        <f>IF(OR($L191="Tor",$L191="ET"),_xlfn.IFNA(IF(VLOOKUP($A191,Spiele!$A$2:$C$15,3,FALSE)=$B191,COUNTIFS($L$2:$L191,"Tor",$B$2:$B191,$B191,$A$2:$A191,$A191)+COUNTIFS($L$2:$L191,"ET",$B$2:$B191,$B191,$A$2:$A191,$A191)&amp;":"&amp;COUNTIFS($L$2:$L191,"Tor",$B$2:$B191,"&lt;&gt;"&amp;$B191,$A$2:$A191,$A191)+COUNTIFS($L$2:$L191,"ET",$B$2:$B191,"&lt;&gt;"&amp;$B191,$A$2:$A191,$A191),COUNTIFS($L$2:$L191,"Tor",$B$2:$B191,"&lt;&gt;"&amp;$B191,$A$2:$A191,$A191)+COUNTIFS($L$2:$L191,"ET",$B$2:$B191,"&lt;&gt;"&amp;$B191,$A$2:$A191,$A191)&amp;":"&amp;COUNTIFS($L$2:$L191,"Tor",$B$2:$B191,$B191,$A$2:$A191,$A191)+COUNTIFS($L$2:$L191,"ET",$B$2:$B191,$B191,$A$2:$A191,$A191)),""),"")</f>
        <v/>
      </c>
      <c r="J191" s="18">
        <f>_xlfn.IFNA(IF(VLOOKUP($A191,Spiele!$A$2:$D$15,3,FALSE)=$B191,(COUNTIFS($L$1:$L190,"Tor",$B$1:$B190,$B191,$A$1:$A190,$A191)+COUNTIFS($L$1:$L190,"ET",$B$1:$B190,$B191,$A$1:$A190,$A191))-(COUNTIFS($L$1:$L190,"Tor",$B$1:$B190,"&lt;&gt;"&amp;$B191,$A$1:$A190,$A191)+COUNTIFS($L$1:$L190,"ET",$B$1:$B190,"&lt;&gt;"&amp;$B191,$A$1:$A190,$A191)),(COUNTIFS($L$1:$L190,"Tor",$B$1:$B190,$B191,$A$1:$A190,$A191)+COUNTIFS($L$1:$L190,"ET",$B$1:$B190,$B191,$A$1:$A190,$A191))-(COUNTIFS($L$1:$L190,"Tor",$B$1:$B190,"&lt;&gt;"&amp;$B191,$A$1:$A190,$A191)+COUNTIFS($L$1:$L190,"ET",$B$1:$B190,"&lt;&gt;"&amp;$B191,$A$1:$A190,$A191))),"")</f>
        <v>0</v>
      </c>
      <c r="K191" s="3">
        <v>30</v>
      </c>
      <c r="L191" s="17" t="s">
        <v>18</v>
      </c>
      <c r="M191" s="2" t="s">
        <v>163</v>
      </c>
      <c r="N191" s="2" t="s">
        <v>172</v>
      </c>
      <c r="O191" s="2">
        <v>18</v>
      </c>
      <c r="P191" s="2">
        <v>4</v>
      </c>
      <c r="X191" s="2" t="s">
        <v>142</v>
      </c>
      <c r="Y191" s="17" t="s">
        <v>143</v>
      </c>
      <c r="Z191" s="14" t="s">
        <v>150</v>
      </c>
      <c r="AA191" s="14" t="s">
        <v>145</v>
      </c>
      <c r="AB191" s="18">
        <v>7</v>
      </c>
      <c r="AC191" s="13">
        <v>-1.5</v>
      </c>
      <c r="AD191" s="13">
        <v>3</v>
      </c>
      <c r="AE191" s="19">
        <f t="shared" si="8"/>
        <v>3</v>
      </c>
      <c r="AF191" s="19">
        <f t="shared" si="9"/>
        <v>95.580367224792411</v>
      </c>
      <c r="AG191" s="2" t="s">
        <v>169</v>
      </c>
      <c r="AH191" s="13">
        <v>2</v>
      </c>
      <c r="AI191" s="13">
        <v>0.5</v>
      </c>
      <c r="AJ191" s="19">
        <f>IF(Abschlüsse[[#This Row],[Ergeb]]="ET","",SQRT(($AC191-$AH191)^2+($AD191-$AI191)^2))</f>
        <v>4.3011626335213133</v>
      </c>
      <c r="AK191" s="3">
        <v>1</v>
      </c>
      <c r="AL191" s="13">
        <v>-1</v>
      </c>
      <c r="AM191" s="13">
        <v>3.5</v>
      </c>
      <c r="AN191" s="19">
        <f t="shared" si="10"/>
        <v>0.70710678118654757</v>
      </c>
      <c r="AO191" s="3">
        <v>0</v>
      </c>
      <c r="AR191" s="19" t="str">
        <f t="shared" si="11"/>
        <v/>
      </c>
    </row>
    <row r="192" spans="1:44" ht="25.05" customHeight="1">
      <c r="A192" s="3">
        <v>7</v>
      </c>
      <c r="B192" s="2" t="s">
        <v>8</v>
      </c>
      <c r="C192" s="17" t="str">
        <f>IF($A192="","",IF(VLOOKUP($A192,Spiele!$A$2:$D$15,3,FALSE)=$B192,"H","G"))</f>
        <v>H</v>
      </c>
      <c r="D192" s="17" t="str">
        <f>IF($B192="","",IF(VLOOKUP($A192,Spiele!$A$2:$F$15,3,FALSE)=$B192,VLOOKUP($A192,Spiele!$A$2:$F$15,4,FALSE),VLOOKUP($A192,Spiele!$A$2:$F$15,3,FALSE)))</f>
        <v>FCA</v>
      </c>
      <c r="E192" s="18">
        <f>IF(Abschlüsse[[#This Row],[Ergeb]]="ET",0,COUNTIFS($A$2:$A192,$A192,$B$2:$B192,$B192,$L$2:$L192,"&lt;&gt;ET"))</f>
        <v>26</v>
      </c>
      <c r="F192" s="11">
        <v>78</v>
      </c>
      <c r="G192" s="12">
        <v>2</v>
      </c>
      <c r="H192" s="18">
        <f>COUNTIFS('Rote Karten'!$A$2:$A$4,$A192,'Rote Karten'!$D$2:$D$4,"&lt;&gt;"&amp;$B192,'Rote Karten'!$B$2:$B$4,"&lt;"&amp;$F192,'Rote Karten'!$C$2:$C$4,"&lt;="&amp;$G192)-COUNTIFS('Rote Karten'!$A$2:$A$4,$A192,'Rote Karten'!$D$2:$D$4,$B192,'Rote Karten'!$B$2:$B$4,"&lt;"&amp;$F192,'Rote Karten'!$C$2:$C$4,"&lt;="&amp;$G192)</f>
        <v>0</v>
      </c>
      <c r="I192" s="17" t="str">
        <f>IF(OR($L192="Tor",$L192="ET"),_xlfn.IFNA(IF(VLOOKUP($A192,Spiele!$A$2:$C$15,3,FALSE)=$B192,COUNTIFS($L$2:$L192,"Tor",$B$2:$B192,$B192,$A$2:$A192,$A192)+COUNTIFS($L$2:$L192,"ET",$B$2:$B192,$B192,$A$2:$A192,$A192)&amp;":"&amp;COUNTIFS($L$2:$L192,"Tor",$B$2:$B192,"&lt;&gt;"&amp;$B192,$A$2:$A192,$A192)+COUNTIFS($L$2:$L192,"ET",$B$2:$B192,"&lt;&gt;"&amp;$B192,$A$2:$A192,$A192),COUNTIFS($L$2:$L192,"Tor",$B$2:$B192,"&lt;&gt;"&amp;$B192,$A$2:$A192,$A192)+COUNTIFS($L$2:$L192,"ET",$B$2:$B192,"&lt;&gt;"&amp;$B192,$A$2:$A192,$A192)&amp;":"&amp;COUNTIFS($L$2:$L192,"Tor",$B$2:$B192,$B192,$A$2:$A192,$A192)+COUNTIFS($L$2:$L192,"ET",$B$2:$B192,$B192,$A$2:$A192,$A192)),""),"")</f>
        <v/>
      </c>
      <c r="J192" s="18">
        <f>_xlfn.IFNA(IF(VLOOKUP($A192,Spiele!$A$2:$D$15,3,FALSE)=$B192,(COUNTIFS($L$1:$L191,"Tor",$B$1:$B191,$B192,$A$1:$A191,$A192)+COUNTIFS($L$1:$L191,"ET",$B$1:$B191,$B192,$A$1:$A191,$A192))-(COUNTIFS($L$1:$L191,"Tor",$B$1:$B191,"&lt;&gt;"&amp;$B192,$A$1:$A191,$A192)+COUNTIFS($L$1:$L191,"ET",$B$1:$B191,"&lt;&gt;"&amp;$B192,$A$1:$A191,$A192)),(COUNTIFS($L$1:$L191,"Tor",$B$1:$B191,$B192,$A$1:$A191,$A192)+COUNTIFS($L$1:$L191,"ET",$B$1:$B191,$B192,$A$1:$A191,$A192))-(COUNTIFS($L$1:$L191,"Tor",$B$1:$B191,"&lt;&gt;"&amp;$B192,$A$1:$A191,$A192)+COUNTIFS($L$1:$L191,"ET",$B$1:$B191,"&lt;&gt;"&amp;$B192,$A$1:$A191,$A192))),"")</f>
        <v>0</v>
      </c>
      <c r="K192" s="3">
        <v>30</v>
      </c>
      <c r="L192" s="18" t="s">
        <v>20</v>
      </c>
      <c r="M192" s="3" t="s">
        <v>163</v>
      </c>
      <c r="N192" s="2" t="s">
        <v>165</v>
      </c>
      <c r="X192" s="22" t="s">
        <v>142</v>
      </c>
      <c r="Y192" s="18" t="s">
        <v>149</v>
      </c>
      <c r="Z192" s="14" t="s">
        <v>150</v>
      </c>
      <c r="AA192" s="14" t="s">
        <v>156</v>
      </c>
      <c r="AB192" s="18">
        <v>10</v>
      </c>
      <c r="AC192" s="13">
        <v>-7</v>
      </c>
      <c r="AD192" s="13">
        <v>1.5</v>
      </c>
      <c r="AE192" s="19">
        <f>IF($L192="ET","",IF($AC192&gt;3.66,SQRT($AD192^2+($AC192-(7.32/2))^2),IF($AC192&lt;-3.66,SQRT($AD192^2+($AC192+(7.32/2))^2),$AD192)))</f>
        <v>3.6613658653568071</v>
      </c>
      <c r="AF192" s="19">
        <f>IF($L192="ET","",IF(DEGREES(ATAN((7.32*$AD192)/($AD192^2+$AC192^2-(7.32/2)^2)))&lt;=0,180+DEGREES(ATAN((7.32*$AD192)/($AD192^2+$AC192^2-(7.32/2)^2))),DEGREES(ATAN((7.32*$AD192)/($AD192^2+$AC192^2-(7.32/2)^2)))))</f>
        <v>16.175264039187649</v>
      </c>
      <c r="AG192" s="3" t="s">
        <v>146</v>
      </c>
      <c r="AH192" s="13">
        <v>-4.5</v>
      </c>
      <c r="AI192" s="13">
        <v>0.5</v>
      </c>
      <c r="AJ192" s="19">
        <f>IF(Abschlüsse[[#This Row],[Ergeb]]="ET","",SQRT(($AC192-$AH192)^2+($AD192-$AI192)^2))</f>
        <v>2.6925824035672519</v>
      </c>
      <c r="AK192" s="3">
        <v>1</v>
      </c>
      <c r="AL192" s="13">
        <v>-6</v>
      </c>
      <c r="AM192" s="13">
        <v>2</v>
      </c>
      <c r="AN192" s="19">
        <f>IF(AK192=0,"",SQRT(($AC192-$AL192)^2+($AD192-$AM192)^2))</f>
        <v>1.1180339887498949</v>
      </c>
      <c r="AO192" s="3">
        <v>1</v>
      </c>
      <c r="AP192" s="13">
        <v>-6</v>
      </c>
      <c r="AQ192" s="13">
        <v>1</v>
      </c>
      <c r="AR192" s="19">
        <f>IF(AO192=0,"",SQRT(($AC192-$AP192)^2+($AD192-$AQ192)^2))</f>
        <v>1.1180339887498949</v>
      </c>
    </row>
    <row r="193" spans="1:44" ht="25.05" customHeight="1">
      <c r="A193" s="3">
        <v>7</v>
      </c>
      <c r="B193" s="2" t="s">
        <v>8</v>
      </c>
      <c r="C193" s="17" t="str">
        <f>IF($A193="","",IF(VLOOKUP($A193,Spiele!$A$2:$D$15,3,FALSE)=$B193,"H","G"))</f>
        <v>H</v>
      </c>
      <c r="D193" s="17" t="str">
        <f>IF($B193="","",IF(VLOOKUP($A193,Spiele!$A$2:$F$15,3,FALSE)=$B193,VLOOKUP($A193,Spiele!$A$2:$F$15,4,FALSE),VLOOKUP($A193,Spiele!$A$2:$F$15,3,FALSE)))</f>
        <v>FCA</v>
      </c>
      <c r="E193" s="18">
        <f>IF(Abschlüsse[[#This Row],[Ergeb]]="ET",0,COUNTIFS($A$2:$A193,$A193,$B$2:$B193,$B193,$L$2:$L193,"&lt;&gt;ET"))</f>
        <v>27</v>
      </c>
      <c r="F193" s="11">
        <v>78</v>
      </c>
      <c r="G193" s="12">
        <v>2</v>
      </c>
      <c r="H193" s="18">
        <f>COUNTIFS('Rote Karten'!$A$2:$A$4,$A193,'Rote Karten'!$D$2:$D$4,"&lt;&gt;"&amp;$B193,'Rote Karten'!$B$2:$B$4,"&lt;"&amp;$F193,'Rote Karten'!$C$2:$C$4,"&lt;="&amp;$G193)-COUNTIFS('Rote Karten'!$A$2:$A$4,$A193,'Rote Karten'!$D$2:$D$4,$B193,'Rote Karten'!$B$2:$B$4,"&lt;"&amp;$F193,'Rote Karten'!$C$2:$C$4,"&lt;="&amp;$G193)</f>
        <v>0</v>
      </c>
      <c r="I193" s="17" t="str">
        <f>IF(OR($L193="Tor",$L193="ET"),_xlfn.IFNA(IF(VLOOKUP($A193,Spiele!$A$2:$C$15,3,FALSE)=$B193,COUNTIFS($L$2:$L193,"Tor",$B$2:$B193,$B193,$A$2:$A193,$A193)+COUNTIFS($L$2:$L193,"ET",$B$2:$B193,$B193,$A$2:$A193,$A193)&amp;":"&amp;COUNTIFS($L$2:$L193,"Tor",$B$2:$B193,"&lt;&gt;"&amp;$B193,$A$2:$A193,$A193)+COUNTIFS($L$2:$L193,"ET",$B$2:$B193,"&lt;&gt;"&amp;$B193,$A$2:$A193,$A193),COUNTIFS($L$2:$L193,"Tor",$B$2:$B193,"&lt;&gt;"&amp;$B193,$A$2:$A193,$A193)+COUNTIFS($L$2:$L193,"ET",$B$2:$B193,"&lt;&gt;"&amp;$B193,$A$2:$A193,$A193)&amp;":"&amp;COUNTIFS($L$2:$L193,"Tor",$B$2:$B193,$B193,$A$2:$A193,$A193)+COUNTIFS($L$2:$L193,"ET",$B$2:$B193,$B193,$A$2:$A193,$A193)),""),"")</f>
        <v>2:1</v>
      </c>
      <c r="J193" s="18">
        <f>_xlfn.IFNA(IF(VLOOKUP($A193,Spiele!$A$2:$D$15,3,FALSE)=$B193,(COUNTIFS($L$1:$L192,"Tor",$B$1:$B192,$B193,$A$1:$A192,$A193)+COUNTIFS($L$1:$L192,"ET",$B$1:$B192,$B193,$A$1:$A192,$A193))-(COUNTIFS($L$1:$L192,"Tor",$B$1:$B192,"&lt;&gt;"&amp;$B193,$A$1:$A192,$A193)+COUNTIFS($L$1:$L192,"ET",$B$1:$B192,"&lt;&gt;"&amp;$B193,$A$1:$A192,$A193)),(COUNTIFS($L$1:$L192,"Tor",$B$1:$B192,$B193,$A$1:$A192,$A193)+COUNTIFS($L$1:$L192,"ET",$B$1:$B192,$B193,$A$1:$A192,$A193))-(COUNTIFS($L$1:$L192,"Tor",$B$1:$B192,"&lt;&gt;"&amp;$B193,$A$1:$A192,$A193)+COUNTIFS($L$1:$L192,"ET",$B$1:$B192,"&lt;&gt;"&amp;$B193,$A$1:$A192,$A193))),"")</f>
        <v>0</v>
      </c>
      <c r="K193" s="3">
        <v>30</v>
      </c>
      <c r="L193" s="17" t="s">
        <v>0</v>
      </c>
      <c r="M193" s="2" t="s">
        <v>163</v>
      </c>
      <c r="N193" s="2" t="s">
        <v>165</v>
      </c>
      <c r="X193" s="2" t="s">
        <v>151</v>
      </c>
      <c r="Y193" s="17" t="s">
        <v>143</v>
      </c>
      <c r="Z193" s="14" t="s">
        <v>150</v>
      </c>
      <c r="AA193" s="14" t="s">
        <v>156</v>
      </c>
      <c r="AB193" s="18">
        <v>4</v>
      </c>
      <c r="AC193" s="13">
        <v>-6.5</v>
      </c>
      <c r="AD193" s="13">
        <v>12.5</v>
      </c>
      <c r="AE193" s="19">
        <f t="shared" si="8"/>
        <v>12.818564662238904</v>
      </c>
      <c r="AF193" s="19">
        <f t="shared" si="9"/>
        <v>26.303907349002905</v>
      </c>
      <c r="AG193" s="2" t="s">
        <v>146</v>
      </c>
      <c r="AH193" s="13">
        <v>-2.5</v>
      </c>
      <c r="AI193" s="13">
        <v>1</v>
      </c>
      <c r="AJ193" s="19">
        <f>IF(Abschlüsse[[#This Row],[Ergeb]]="ET","",SQRT(($AC193-$AH193)^2+($AD193-$AI193)^2))</f>
        <v>12.175795661885921</v>
      </c>
      <c r="AK193" s="3">
        <v>1</v>
      </c>
      <c r="AL193" s="13">
        <v>-6</v>
      </c>
      <c r="AM193" s="13">
        <v>14</v>
      </c>
      <c r="AN193" s="19">
        <f t="shared" si="10"/>
        <v>1.5811388300841898</v>
      </c>
      <c r="AO193" s="3">
        <v>3</v>
      </c>
      <c r="AP193" s="13">
        <v>-5.5</v>
      </c>
      <c r="AQ193" s="13">
        <v>8.5</v>
      </c>
      <c r="AR193" s="19">
        <f t="shared" si="11"/>
        <v>4.1231056256176606</v>
      </c>
    </row>
    <row r="194" spans="1:44" ht="25.05" customHeight="1">
      <c r="A194" s="3">
        <v>7</v>
      </c>
      <c r="B194" s="2" t="s">
        <v>66</v>
      </c>
      <c r="C194" s="17" t="str">
        <f>IF($A194="","",IF(VLOOKUP($A194,Spiele!$A$2:$D$15,3,FALSE)=$B194,"H","G"))</f>
        <v>G</v>
      </c>
      <c r="D194" s="17" t="str">
        <f>IF($B194="","",IF(VLOOKUP($A194,Spiele!$A$2:$F$15,3,FALSE)=$B194,VLOOKUP($A194,Spiele!$A$2:$F$15,4,FALSE),VLOOKUP($A194,Spiele!$A$2:$F$15,3,FALSE)))</f>
        <v>FCN</v>
      </c>
      <c r="E194" s="18">
        <f>IF(Abschlüsse[[#This Row],[Ergeb]]="ET",0,COUNTIFS($A$2:$A194,$A194,$B$2:$B194,$B194,$L$2:$L194,"&lt;&gt;ET"))</f>
        <v>14</v>
      </c>
      <c r="F194" s="11">
        <v>79</v>
      </c>
      <c r="G194" s="12">
        <v>2</v>
      </c>
      <c r="H194" s="18">
        <f>COUNTIFS('Rote Karten'!$A$2:$A$4,$A194,'Rote Karten'!$D$2:$D$4,"&lt;&gt;"&amp;$B194,'Rote Karten'!$B$2:$B$4,"&lt;"&amp;$F194,'Rote Karten'!$C$2:$C$4,"&lt;="&amp;$G194)-COUNTIFS('Rote Karten'!$A$2:$A$4,$A194,'Rote Karten'!$D$2:$D$4,$B194,'Rote Karten'!$B$2:$B$4,"&lt;"&amp;$F194,'Rote Karten'!$C$2:$C$4,"&lt;="&amp;$G194)</f>
        <v>0</v>
      </c>
      <c r="I194" s="17" t="str">
        <f>IF(OR($L194="Tor",$L194="ET"),_xlfn.IFNA(IF(VLOOKUP($A194,Spiele!$A$2:$C$15,3,FALSE)=$B194,COUNTIFS($L$2:$L194,"Tor",$B$2:$B194,$B194,$A$2:$A194,$A194)+COUNTIFS($L$2:$L194,"ET",$B$2:$B194,$B194,$A$2:$A194,$A194)&amp;":"&amp;COUNTIFS($L$2:$L194,"Tor",$B$2:$B194,"&lt;&gt;"&amp;$B194,$A$2:$A194,$A194)+COUNTIFS($L$2:$L194,"ET",$B$2:$B194,"&lt;&gt;"&amp;$B194,$A$2:$A194,$A194),COUNTIFS($L$2:$L194,"Tor",$B$2:$B194,"&lt;&gt;"&amp;$B194,$A$2:$A194,$A194)+COUNTIFS($L$2:$L194,"ET",$B$2:$B194,"&lt;&gt;"&amp;$B194,$A$2:$A194,$A194)&amp;":"&amp;COUNTIFS($L$2:$L194,"Tor",$B$2:$B194,$B194,$A$2:$A194,$A194)+COUNTIFS($L$2:$L194,"ET",$B$2:$B194,$B194,$A$2:$A194,$A194)),""),"")</f>
        <v/>
      </c>
      <c r="J194" s="18">
        <f>_xlfn.IFNA(IF(VLOOKUP($A194,Spiele!$A$2:$D$15,3,FALSE)=$B194,(COUNTIFS($L$1:$L193,"Tor",$B$1:$B193,$B194,$A$1:$A193,$A194)+COUNTIFS($L$1:$L193,"ET",$B$1:$B193,$B194,$A$1:$A193,$A194))-(COUNTIFS($L$1:$L193,"Tor",$B$1:$B193,"&lt;&gt;"&amp;$B194,$A$1:$A193,$A194)+COUNTIFS($L$1:$L193,"ET",$B$1:$B193,"&lt;&gt;"&amp;$B194,$A$1:$A193,$A194)),(COUNTIFS($L$1:$L193,"Tor",$B$1:$B193,$B194,$A$1:$A193,$A194)+COUNTIFS($L$1:$L193,"ET",$B$1:$B193,$B194,$A$1:$A193,$A194))-(COUNTIFS($L$1:$L193,"Tor",$B$1:$B193,"&lt;&gt;"&amp;$B194,$A$1:$A193,$A194)+COUNTIFS($L$1:$L193,"ET",$B$1:$B193,"&lt;&gt;"&amp;$B194,$A$1:$A193,$A194))),"")</f>
        <v>-1</v>
      </c>
      <c r="K194" s="3">
        <v>31</v>
      </c>
      <c r="L194" s="17" t="s">
        <v>18</v>
      </c>
      <c r="M194" s="2" t="s">
        <v>163</v>
      </c>
      <c r="N194" s="2" t="s">
        <v>3</v>
      </c>
      <c r="X194" s="2" t="s">
        <v>141</v>
      </c>
      <c r="Y194" s="17" t="s">
        <v>143</v>
      </c>
      <c r="Z194" s="14" t="s">
        <v>150</v>
      </c>
      <c r="AA194" s="14" t="s">
        <v>156</v>
      </c>
      <c r="AB194" s="18"/>
      <c r="AC194" s="13">
        <v>-0.5</v>
      </c>
      <c r="AD194" s="13">
        <v>15</v>
      </c>
      <c r="AE194" s="19">
        <f t="shared" si="8"/>
        <v>15</v>
      </c>
      <c r="AF194" s="19">
        <f t="shared" si="9"/>
        <v>27.396825673048827</v>
      </c>
      <c r="AG194" s="2" t="s">
        <v>146</v>
      </c>
      <c r="AH194" s="13">
        <v>0.5</v>
      </c>
      <c r="AI194" s="13">
        <v>1</v>
      </c>
      <c r="AJ194" s="19">
        <f>IF(Abschlüsse[[#This Row],[Ergeb]]="ET","",SQRT(($AC194-$AH194)^2+($AD194-$AI194)^2))</f>
        <v>14.035668847618199</v>
      </c>
      <c r="AK194" s="3">
        <v>3</v>
      </c>
      <c r="AL194" s="13">
        <v>-0.5</v>
      </c>
      <c r="AM194" s="13">
        <v>15.5</v>
      </c>
      <c r="AN194" s="19">
        <f t="shared" si="10"/>
        <v>0.5</v>
      </c>
      <c r="AO194" s="3">
        <v>0</v>
      </c>
      <c r="AR194" s="19" t="str">
        <f t="shared" si="11"/>
        <v/>
      </c>
    </row>
    <row r="195" spans="1:44" ht="25.05" customHeight="1">
      <c r="A195" s="3">
        <v>8</v>
      </c>
      <c r="B195" s="2" t="s">
        <v>8</v>
      </c>
      <c r="C195" s="17" t="str">
        <f>IF($A195="","",IF(VLOOKUP($A195,Spiele!$A$2:$D$15,3,FALSE)=$B195,"H","G"))</f>
        <v>G</v>
      </c>
      <c r="D195" s="17" t="str">
        <f>IF($B195="","",IF(VLOOKUP($A195,Spiele!$A$2:$F$15,3,FALSE)=$B195,VLOOKUP($A195,Spiele!$A$2:$F$15,4,FALSE),VLOOKUP($A195,Spiele!$A$2:$F$15,3,FALSE)))</f>
        <v>SSV</v>
      </c>
      <c r="E195" s="18">
        <f>IF(Abschlüsse[[#This Row],[Ergeb]]="ET",0,COUNTIFS($A$2:$A195,$A195,$B$2:$B195,$B195,$L$2:$L195,"&lt;&gt;ET"))</f>
        <v>1</v>
      </c>
      <c r="F195" s="11">
        <v>1</v>
      </c>
      <c r="G195" s="12">
        <v>1</v>
      </c>
      <c r="H195" s="18">
        <f>COUNTIFS('Rote Karten'!$A$2:$A$4,$A195,'Rote Karten'!$D$2:$D$4,"&lt;&gt;"&amp;$B195,'Rote Karten'!$B$2:$B$4,"&lt;"&amp;$F195,'Rote Karten'!$C$2:$C$4,"&lt;="&amp;$G195)-COUNTIFS('Rote Karten'!$A$2:$A$4,$A195,'Rote Karten'!$D$2:$D$4,$B195,'Rote Karten'!$B$2:$B$4,"&lt;"&amp;$F195,'Rote Karten'!$C$2:$C$4,"&lt;="&amp;$G195)</f>
        <v>0</v>
      </c>
      <c r="I195" s="17" t="str">
        <f>IF(OR($L195="Tor",$L195="ET"),_xlfn.IFNA(IF(VLOOKUP($A195,Spiele!$A$2:$C$15,3,FALSE)=$B195,COUNTIFS($L$2:$L195,"Tor",$B$2:$B195,$B195,$A$2:$A195,$A195)+COUNTIFS($L$2:$L195,"ET",$B$2:$B195,$B195,$A$2:$A195,$A195)&amp;":"&amp;COUNTIFS($L$2:$L195,"Tor",$B$2:$B195,"&lt;&gt;"&amp;$B195,$A$2:$A195,$A195)+COUNTIFS($L$2:$L195,"ET",$B$2:$B195,"&lt;&gt;"&amp;$B195,$A$2:$A195,$A195),COUNTIFS($L$2:$L195,"Tor",$B$2:$B195,"&lt;&gt;"&amp;$B195,$A$2:$A195,$A195)+COUNTIFS($L$2:$L195,"ET",$B$2:$B195,"&lt;&gt;"&amp;$B195,$A$2:$A195,$A195)&amp;":"&amp;COUNTIFS($L$2:$L195,"Tor",$B$2:$B195,$B195,$A$2:$A195,$A195)+COUNTIFS($L$2:$L195,"ET",$B$2:$B195,$B195,$A$2:$A195,$A195)),""),"")</f>
        <v/>
      </c>
      <c r="J195" s="18">
        <f>_xlfn.IFNA(IF(VLOOKUP($A195,Spiele!$A$2:$D$15,3,FALSE)=$B195,(COUNTIFS($L$1:$L194,"Tor",$B$1:$B194,$B195,$A$1:$A194,$A195)+COUNTIFS($L$1:$L194,"ET",$B$1:$B194,$B195,$A$1:$A194,$A195))-(COUNTIFS($L$1:$L194,"Tor",$B$1:$B194,"&lt;&gt;"&amp;$B195,$A$1:$A194,$A195)+COUNTIFS($L$1:$L194,"ET",$B$1:$B194,"&lt;&gt;"&amp;$B195,$A$1:$A194,$A195)),(COUNTIFS($L$1:$L194,"Tor",$B$1:$B194,$B195,$A$1:$A194,$A195)+COUNTIFS($L$1:$L194,"ET",$B$1:$B194,$B195,$A$1:$A194,$A195))-(COUNTIFS($L$1:$L194,"Tor",$B$1:$B194,"&lt;&gt;"&amp;$B195,$A$1:$A194,$A195)+COUNTIFS($L$1:$L194,"ET",$B$1:$B194,"&lt;&gt;"&amp;$B195,$A$1:$A194,$A195))),"")</f>
        <v>0</v>
      </c>
      <c r="K195" s="3">
        <v>1</v>
      </c>
      <c r="L195" s="17" t="s">
        <v>170</v>
      </c>
      <c r="M195" s="2" t="s">
        <v>163</v>
      </c>
      <c r="N195" s="2" t="s">
        <v>153</v>
      </c>
      <c r="O195" s="2">
        <v>27</v>
      </c>
      <c r="P195" s="2">
        <v>10</v>
      </c>
      <c r="Q195" s="2">
        <v>20</v>
      </c>
      <c r="X195" s="2" t="s">
        <v>154</v>
      </c>
      <c r="Y195" s="17" t="s">
        <v>143</v>
      </c>
      <c r="Z195" s="14" t="s">
        <v>144</v>
      </c>
      <c r="AA195" s="14" t="s">
        <v>156</v>
      </c>
      <c r="AB195" s="18">
        <v>7</v>
      </c>
      <c r="AC195" s="13">
        <v>-5</v>
      </c>
      <c r="AD195" s="13">
        <v>8.5</v>
      </c>
      <c r="AE195" s="19">
        <f t="shared" si="8"/>
        <v>8.6049753050197655</v>
      </c>
      <c r="AF195" s="19">
        <f t="shared" si="9"/>
        <v>36.575430535953068</v>
      </c>
      <c r="AG195" s="2" t="s">
        <v>146</v>
      </c>
      <c r="AH195" s="13">
        <v>-3</v>
      </c>
      <c r="AI195" s="13">
        <v>1.5</v>
      </c>
      <c r="AJ195" s="19">
        <f>IF(Abschlüsse[[#This Row],[Ergeb]]="ET","",SQRT(($AC195-$AH195)^2+($AD195-$AI195)^2))</f>
        <v>7.2801098892805181</v>
      </c>
      <c r="AK195" s="3">
        <v>1</v>
      </c>
      <c r="AL195" s="13">
        <v>-4</v>
      </c>
      <c r="AM195" s="13">
        <v>8.5</v>
      </c>
      <c r="AN195" s="19">
        <f t="shared" si="10"/>
        <v>1</v>
      </c>
      <c r="AO195" s="3">
        <v>0</v>
      </c>
      <c r="AR195" s="19" t="str">
        <f t="shared" si="11"/>
        <v/>
      </c>
    </row>
    <row r="196" spans="1:44" ht="25.05" customHeight="1">
      <c r="A196" s="3">
        <v>8</v>
      </c>
      <c r="B196" s="2" t="s">
        <v>8</v>
      </c>
      <c r="C196" s="17" t="str">
        <f>IF($A196="","",IF(VLOOKUP($A196,Spiele!$A$2:$D$15,3,FALSE)=$B196,"H","G"))</f>
        <v>G</v>
      </c>
      <c r="D196" s="17" t="str">
        <f>IF($B196="","",IF(VLOOKUP($A196,Spiele!$A$2:$F$15,3,FALSE)=$B196,VLOOKUP($A196,Spiele!$A$2:$F$15,4,FALSE),VLOOKUP($A196,Spiele!$A$2:$F$15,3,FALSE)))</f>
        <v>SSV</v>
      </c>
      <c r="E196" s="18">
        <f>IF(Abschlüsse[[#This Row],[Ergeb]]="ET",0,COUNTIFS($A$2:$A196,$A196,$B$2:$B196,$B196,$L$2:$L196,"&lt;&gt;ET"))</f>
        <v>2</v>
      </c>
      <c r="F196" s="11">
        <v>1</v>
      </c>
      <c r="G196" s="12">
        <v>1</v>
      </c>
      <c r="H196" s="18">
        <f>COUNTIFS('Rote Karten'!$A$2:$A$4,$A196,'Rote Karten'!$D$2:$D$4,"&lt;&gt;"&amp;$B196,'Rote Karten'!$B$2:$B$4,"&lt;"&amp;$F196,'Rote Karten'!$C$2:$C$4,"&lt;="&amp;$G196)-COUNTIFS('Rote Karten'!$A$2:$A$4,$A196,'Rote Karten'!$D$2:$D$4,$B196,'Rote Karten'!$B$2:$B$4,"&lt;"&amp;$F196,'Rote Karten'!$C$2:$C$4,"&lt;="&amp;$G196)</f>
        <v>0</v>
      </c>
      <c r="I196" s="17" t="str">
        <f>IF(OR($L196="Tor",$L196="ET"),_xlfn.IFNA(IF(VLOOKUP($A196,Spiele!$A$2:$C$15,3,FALSE)=$B196,COUNTIFS($L$2:$L196,"Tor",$B$2:$B196,$B196,$A$2:$A196,$A196)+COUNTIFS($L$2:$L196,"ET",$B$2:$B196,$B196,$A$2:$A196,$A196)&amp;":"&amp;COUNTIFS($L$2:$L196,"Tor",$B$2:$B196,"&lt;&gt;"&amp;$B196,$A$2:$A196,$A196)+COUNTIFS($L$2:$L196,"ET",$B$2:$B196,"&lt;&gt;"&amp;$B196,$A$2:$A196,$A196),COUNTIFS($L$2:$L196,"Tor",$B$2:$B196,"&lt;&gt;"&amp;$B196,$A$2:$A196,$A196)+COUNTIFS($L$2:$L196,"ET",$B$2:$B196,"&lt;&gt;"&amp;$B196,$A$2:$A196,$A196)&amp;":"&amp;COUNTIFS($L$2:$L196,"Tor",$B$2:$B196,$B196,$A$2:$A196,$A196)+COUNTIFS($L$2:$L196,"ET",$B$2:$B196,$B196,$A$2:$A196,$A196)),""),"")</f>
        <v/>
      </c>
      <c r="J196" s="18">
        <f>_xlfn.IFNA(IF(VLOOKUP($A196,Spiele!$A$2:$D$15,3,FALSE)=$B196,(COUNTIFS($L$1:$L195,"Tor",$B$1:$B195,$B196,$A$1:$A195,$A196)+COUNTIFS($L$1:$L195,"ET",$B$1:$B195,$B196,$A$1:$A195,$A196))-(COUNTIFS($L$1:$L195,"Tor",$B$1:$B195,"&lt;&gt;"&amp;$B196,$A$1:$A195,$A196)+COUNTIFS($L$1:$L195,"ET",$B$1:$B195,"&lt;&gt;"&amp;$B196,$A$1:$A195,$A196)),(COUNTIFS($L$1:$L195,"Tor",$B$1:$B195,$B196,$A$1:$A195,$A196)+COUNTIFS($L$1:$L195,"ET",$B$1:$B195,$B196,$A$1:$A195,$A196))-(COUNTIFS($L$1:$L195,"Tor",$B$1:$B195,"&lt;&gt;"&amp;$B196,$A$1:$A195,$A196)+COUNTIFS($L$1:$L195,"ET",$B$1:$B195,"&lt;&gt;"&amp;$B196,$A$1:$A195,$A196))),"")</f>
        <v>0</v>
      </c>
      <c r="K196" s="3">
        <v>1</v>
      </c>
      <c r="L196" s="17" t="s">
        <v>18</v>
      </c>
      <c r="M196" s="2" t="s">
        <v>163</v>
      </c>
      <c r="N196" s="2" t="s">
        <v>178</v>
      </c>
      <c r="O196" s="2">
        <v>5</v>
      </c>
      <c r="X196" s="2" t="s">
        <v>141</v>
      </c>
      <c r="Y196" s="17" t="s">
        <v>143</v>
      </c>
      <c r="Z196" s="14" t="s">
        <v>144</v>
      </c>
      <c r="AA196" s="14" t="s">
        <v>145</v>
      </c>
      <c r="AB196" s="18">
        <v>10</v>
      </c>
      <c r="AC196" s="13">
        <v>1.5</v>
      </c>
      <c r="AD196" s="13">
        <v>5.5</v>
      </c>
      <c r="AE196" s="19">
        <f t="shared" si="8"/>
        <v>5.5</v>
      </c>
      <c r="AF196" s="19">
        <f t="shared" si="9"/>
        <v>64.61446408277591</v>
      </c>
      <c r="AG196" s="2" t="s">
        <v>146</v>
      </c>
      <c r="AH196" s="13">
        <v>2</v>
      </c>
      <c r="AI196" s="13">
        <v>2</v>
      </c>
      <c r="AJ196" s="19">
        <f>IF(Abschlüsse[[#This Row],[Ergeb]]="ET","",SQRT(($AC196-$AH196)^2+($AD196-$AI196)^2))</f>
        <v>3.5355339059327378</v>
      </c>
      <c r="AK196" s="3">
        <v>2</v>
      </c>
      <c r="AL196" s="13">
        <v>0.5</v>
      </c>
      <c r="AM196" s="13">
        <v>7</v>
      </c>
      <c r="AN196" s="19">
        <f t="shared" si="10"/>
        <v>1.8027756377319946</v>
      </c>
      <c r="AO196" s="3">
        <v>1</v>
      </c>
      <c r="AP196" s="13">
        <v>-1</v>
      </c>
      <c r="AQ196" s="13">
        <v>2</v>
      </c>
      <c r="AR196" s="19">
        <f t="shared" si="11"/>
        <v>4.3011626335213133</v>
      </c>
    </row>
    <row r="197" spans="1:44" ht="25.05" customHeight="1">
      <c r="A197" s="3">
        <v>8</v>
      </c>
      <c r="B197" s="2" t="s">
        <v>8</v>
      </c>
      <c r="C197" s="17" t="str">
        <f>IF($A197="","",IF(VLOOKUP($A197,Spiele!$A$2:$D$15,3,FALSE)=$B197,"H","G"))</f>
        <v>G</v>
      </c>
      <c r="D197" s="17" t="str">
        <f>IF($B197="","",IF(VLOOKUP($A197,Spiele!$A$2:$F$15,3,FALSE)=$B197,VLOOKUP($A197,Spiele!$A$2:$F$15,4,FALSE),VLOOKUP($A197,Spiele!$A$2:$F$15,3,FALSE)))</f>
        <v>SSV</v>
      </c>
      <c r="E197" s="18">
        <f>IF(Abschlüsse[[#This Row],[Ergeb]]="ET",0,COUNTIFS($A$2:$A197,$A197,$B$2:$B197,$B197,$L$2:$L197,"&lt;&gt;ET"))</f>
        <v>3</v>
      </c>
      <c r="F197" s="11">
        <v>1</v>
      </c>
      <c r="G197" s="12">
        <v>1</v>
      </c>
      <c r="H197" s="18">
        <f>COUNTIFS('Rote Karten'!$A$2:$A$4,$A197,'Rote Karten'!$D$2:$D$4,"&lt;&gt;"&amp;$B197,'Rote Karten'!$B$2:$B$4,"&lt;"&amp;$F197,'Rote Karten'!$C$2:$C$4,"&lt;="&amp;$G197)-COUNTIFS('Rote Karten'!$A$2:$A$4,$A197,'Rote Karten'!$D$2:$D$4,$B197,'Rote Karten'!$B$2:$B$4,"&lt;"&amp;$F197,'Rote Karten'!$C$2:$C$4,"&lt;="&amp;$G197)</f>
        <v>0</v>
      </c>
      <c r="I197" s="17" t="str">
        <f>IF(OR($L197="Tor",$L197="ET"),_xlfn.IFNA(IF(VLOOKUP($A197,Spiele!$A$2:$C$15,3,FALSE)=$B197,COUNTIFS($L$2:$L197,"Tor",$B$2:$B197,$B197,$A$2:$A197,$A197)+COUNTIFS($L$2:$L197,"ET",$B$2:$B197,$B197,$A$2:$A197,$A197)&amp;":"&amp;COUNTIFS($L$2:$L197,"Tor",$B$2:$B197,"&lt;&gt;"&amp;$B197,$A$2:$A197,$A197)+COUNTIFS($L$2:$L197,"ET",$B$2:$B197,"&lt;&gt;"&amp;$B197,$A$2:$A197,$A197),COUNTIFS($L$2:$L197,"Tor",$B$2:$B197,"&lt;&gt;"&amp;$B197,$A$2:$A197,$A197)+COUNTIFS($L$2:$L197,"ET",$B$2:$B197,"&lt;&gt;"&amp;$B197,$A$2:$A197,$A197)&amp;":"&amp;COUNTIFS($L$2:$L197,"Tor",$B$2:$B197,$B197,$A$2:$A197,$A197)+COUNTIFS($L$2:$L197,"ET",$B$2:$B197,$B197,$A$2:$A197,$A197)),""),"")</f>
        <v>0:1</v>
      </c>
      <c r="J197" s="18">
        <f>_xlfn.IFNA(IF(VLOOKUP($A197,Spiele!$A$2:$D$15,3,FALSE)=$B197,(COUNTIFS($L$1:$L196,"Tor",$B$1:$B196,$B197,$A$1:$A196,$A197)+COUNTIFS($L$1:$L196,"ET",$B$1:$B196,$B197,$A$1:$A196,$A197))-(COUNTIFS($L$1:$L196,"Tor",$B$1:$B196,"&lt;&gt;"&amp;$B197,$A$1:$A196,$A197)+COUNTIFS($L$1:$L196,"ET",$B$1:$B196,"&lt;&gt;"&amp;$B197,$A$1:$A196,$A197)),(COUNTIFS($L$1:$L196,"Tor",$B$1:$B196,$B197,$A$1:$A196,$A197)+COUNTIFS($L$1:$L196,"ET",$B$1:$B196,$B197,$A$1:$A196,$A197))-(COUNTIFS($L$1:$L196,"Tor",$B$1:$B196,"&lt;&gt;"&amp;$B197,$A$1:$A196,$A197)+COUNTIFS($L$1:$L196,"ET",$B$1:$B196,"&lt;&gt;"&amp;$B197,$A$1:$A196,$A197))),"")</f>
        <v>0</v>
      </c>
      <c r="K197" s="3">
        <v>1</v>
      </c>
      <c r="L197" s="17" t="s">
        <v>0</v>
      </c>
      <c r="M197" s="2" t="s">
        <v>163</v>
      </c>
      <c r="N197" s="2" t="s">
        <v>165</v>
      </c>
      <c r="X197" s="2" t="s">
        <v>142</v>
      </c>
      <c r="Y197" s="17" t="s">
        <v>143</v>
      </c>
      <c r="Z197" s="14" t="s">
        <v>150</v>
      </c>
      <c r="AA197" s="14" t="s">
        <v>145</v>
      </c>
      <c r="AB197" s="18">
        <v>7</v>
      </c>
      <c r="AC197" s="13">
        <v>-4</v>
      </c>
      <c r="AD197" s="13">
        <v>3</v>
      </c>
      <c r="AE197" s="19">
        <f t="shared" si="8"/>
        <v>3.0192051934242561</v>
      </c>
      <c r="AF197" s="19">
        <f t="shared" si="9"/>
        <v>62.146525921751461</v>
      </c>
      <c r="AG197" s="2" t="s">
        <v>169</v>
      </c>
      <c r="AH197" s="13">
        <v>-0.5</v>
      </c>
      <c r="AI197" s="13">
        <v>2</v>
      </c>
      <c r="AJ197" s="19">
        <f>IF(Abschlüsse[[#This Row],[Ergeb]]="ET","",SQRT(($AC197-$AH197)^2+($AD197-$AI197)^2))</f>
        <v>3.640054944640259</v>
      </c>
      <c r="AK197" s="3">
        <v>0</v>
      </c>
      <c r="AL197" s="13"/>
      <c r="AM197" s="13"/>
      <c r="AN197" s="19" t="str">
        <f t="shared" si="10"/>
        <v/>
      </c>
      <c r="AO197" s="3">
        <v>1</v>
      </c>
      <c r="AP197" s="13">
        <v>-1.5</v>
      </c>
      <c r="AQ197" s="13">
        <v>1</v>
      </c>
      <c r="AR197" s="19">
        <f t="shared" si="11"/>
        <v>3.2015621187164243</v>
      </c>
    </row>
    <row r="198" spans="1:44" ht="25.05" customHeight="1">
      <c r="A198" s="3">
        <v>8</v>
      </c>
      <c r="B198" s="2" t="s">
        <v>8</v>
      </c>
      <c r="C198" s="17" t="str">
        <f>IF($A198="","",IF(VLOOKUP($A198,Spiele!$A$2:$D$15,3,FALSE)=$B198,"H","G"))</f>
        <v>G</v>
      </c>
      <c r="D198" s="17" t="str">
        <f>IF($B198="","",IF(VLOOKUP($A198,Spiele!$A$2:$F$15,3,FALSE)=$B198,VLOOKUP($A198,Spiele!$A$2:$F$15,4,FALSE),VLOOKUP($A198,Spiele!$A$2:$F$15,3,FALSE)))</f>
        <v>SSV</v>
      </c>
      <c r="E198" s="18">
        <f>IF(Abschlüsse[[#This Row],[Ergeb]]="ET",0,COUNTIFS($A$2:$A198,$A198,$B$2:$B198,$B198,$L$2:$L198,"&lt;&gt;ET"))</f>
        <v>4</v>
      </c>
      <c r="F198" s="11">
        <v>10</v>
      </c>
      <c r="G198" s="12">
        <v>1</v>
      </c>
      <c r="H198" s="18">
        <f>COUNTIFS('Rote Karten'!$A$2:$A$4,$A198,'Rote Karten'!$D$2:$D$4,"&lt;&gt;"&amp;$B198,'Rote Karten'!$B$2:$B$4,"&lt;"&amp;$F198,'Rote Karten'!$C$2:$C$4,"&lt;="&amp;$G198)-COUNTIFS('Rote Karten'!$A$2:$A$4,$A198,'Rote Karten'!$D$2:$D$4,$B198,'Rote Karten'!$B$2:$B$4,"&lt;"&amp;$F198,'Rote Karten'!$C$2:$C$4,"&lt;="&amp;$G198)</f>
        <v>0</v>
      </c>
      <c r="I198" s="17" t="str">
        <f>IF(OR($L198="Tor",$L198="ET"),_xlfn.IFNA(IF(VLOOKUP($A198,Spiele!$A$2:$C$15,3,FALSE)=$B198,COUNTIFS($L$2:$L198,"Tor",$B$2:$B198,$B198,$A$2:$A198,$A198)+COUNTIFS($L$2:$L198,"ET",$B$2:$B198,$B198,$A$2:$A198,$A198)&amp;":"&amp;COUNTIFS($L$2:$L198,"Tor",$B$2:$B198,"&lt;&gt;"&amp;$B198,$A$2:$A198,$A198)+COUNTIFS($L$2:$L198,"ET",$B$2:$B198,"&lt;&gt;"&amp;$B198,$A$2:$A198,$A198),COUNTIFS($L$2:$L198,"Tor",$B$2:$B198,"&lt;&gt;"&amp;$B198,$A$2:$A198,$A198)+COUNTIFS($L$2:$L198,"ET",$B$2:$B198,"&lt;&gt;"&amp;$B198,$A$2:$A198,$A198)&amp;":"&amp;COUNTIFS($L$2:$L198,"Tor",$B$2:$B198,$B198,$A$2:$A198,$A198)+COUNTIFS($L$2:$L198,"ET",$B$2:$B198,$B198,$A$2:$A198,$A198)),""),"")</f>
        <v/>
      </c>
      <c r="J198" s="18">
        <f>_xlfn.IFNA(IF(VLOOKUP($A198,Spiele!$A$2:$D$15,3,FALSE)=$B198,(COUNTIFS($L$1:$L197,"Tor",$B$1:$B197,$B198,$A$1:$A197,$A198)+COUNTIFS($L$1:$L197,"ET",$B$1:$B197,$B198,$A$1:$A197,$A198))-(COUNTIFS($L$1:$L197,"Tor",$B$1:$B197,"&lt;&gt;"&amp;$B198,$A$1:$A197,$A198)+COUNTIFS($L$1:$L197,"ET",$B$1:$B197,"&lt;&gt;"&amp;$B198,$A$1:$A197,$A198)),(COUNTIFS($L$1:$L197,"Tor",$B$1:$B197,$B198,$A$1:$A197,$A198)+COUNTIFS($L$1:$L197,"ET",$B$1:$B197,$B198,$A$1:$A197,$A198))-(COUNTIFS($L$1:$L197,"Tor",$B$1:$B197,"&lt;&gt;"&amp;$B198,$A$1:$A197,$A198)+COUNTIFS($L$1:$L197,"ET",$B$1:$B197,"&lt;&gt;"&amp;$B198,$A$1:$A197,$A198))),"")</f>
        <v>1</v>
      </c>
      <c r="K198" s="3">
        <v>2</v>
      </c>
      <c r="L198" s="17" t="s">
        <v>19</v>
      </c>
      <c r="M198" s="2" t="s">
        <v>163</v>
      </c>
      <c r="N198" s="2" t="s">
        <v>158</v>
      </c>
      <c r="O198" s="2">
        <v>23</v>
      </c>
      <c r="P198" s="2">
        <v>10</v>
      </c>
      <c r="Q198" s="2">
        <v>27</v>
      </c>
      <c r="X198" s="2" t="s">
        <v>142</v>
      </c>
      <c r="Y198" s="17" t="s">
        <v>143</v>
      </c>
      <c r="Z198" s="14" t="s">
        <v>150</v>
      </c>
      <c r="AA198" s="14" t="s">
        <v>145</v>
      </c>
      <c r="AB198" s="18">
        <v>5</v>
      </c>
      <c r="AC198" s="13">
        <v>2.5</v>
      </c>
      <c r="AD198" s="13">
        <v>19.5</v>
      </c>
      <c r="AE198" s="19">
        <f t="shared" si="8"/>
        <v>19.5</v>
      </c>
      <c r="AF198" s="19">
        <f t="shared" si="9"/>
        <v>20.935545465147808</v>
      </c>
      <c r="AG198" s="2" t="s">
        <v>146</v>
      </c>
      <c r="AH198" s="13">
        <v>1.5</v>
      </c>
      <c r="AI198" s="13">
        <v>1.5</v>
      </c>
      <c r="AJ198" s="19">
        <f>IF(Abschlüsse[[#This Row],[Ergeb]]="ET","",SQRT(($AC198-$AH198)^2+($AD198-$AI198)^2))</f>
        <v>18.027756377319946</v>
      </c>
      <c r="AK198" s="3">
        <v>1</v>
      </c>
      <c r="AL198" s="13">
        <v>4</v>
      </c>
      <c r="AM198" s="13">
        <v>16</v>
      </c>
      <c r="AN198" s="19">
        <f t="shared" si="10"/>
        <v>3.8078865529319543</v>
      </c>
      <c r="AO198" s="3">
        <v>1</v>
      </c>
      <c r="AP198" s="13">
        <v>3.5</v>
      </c>
      <c r="AQ198" s="13">
        <v>9.5</v>
      </c>
      <c r="AR198" s="19">
        <f t="shared" si="11"/>
        <v>10.04987562112089</v>
      </c>
    </row>
    <row r="199" spans="1:44" ht="25.05" customHeight="1">
      <c r="A199" s="3">
        <v>8</v>
      </c>
      <c r="B199" s="2" t="s">
        <v>51</v>
      </c>
      <c r="C199" s="17" t="str">
        <f>IF($A199="","",IF(VLOOKUP($A199,Spiele!$A$2:$D$15,3,FALSE)=$B199,"H","G"))</f>
        <v>H</v>
      </c>
      <c r="D199" s="17" t="str">
        <f>IF($B199="","",IF(VLOOKUP($A199,Spiele!$A$2:$F$15,3,FALSE)=$B199,VLOOKUP($A199,Spiele!$A$2:$F$15,4,FALSE),VLOOKUP($A199,Spiele!$A$2:$F$15,3,FALSE)))</f>
        <v>FCN</v>
      </c>
      <c r="E199" s="18">
        <f>IF(Abschlüsse[[#This Row],[Ergeb]]="ET",0,COUNTIFS($A$2:$A199,$A199,$B$2:$B199,$B199,$L$2:$L199,"&lt;&gt;ET"))</f>
        <v>1</v>
      </c>
      <c r="F199" s="11">
        <v>14</v>
      </c>
      <c r="G199" s="12">
        <v>1</v>
      </c>
      <c r="H199" s="18">
        <f>COUNTIFS('Rote Karten'!$A$2:$A$4,$A199,'Rote Karten'!$D$2:$D$4,"&lt;&gt;"&amp;$B199,'Rote Karten'!$B$2:$B$4,"&lt;"&amp;$F199,'Rote Karten'!$C$2:$C$4,"&lt;="&amp;$G199)-COUNTIFS('Rote Karten'!$A$2:$A$4,$A199,'Rote Karten'!$D$2:$D$4,$B199,'Rote Karten'!$B$2:$B$4,"&lt;"&amp;$F199,'Rote Karten'!$C$2:$C$4,"&lt;="&amp;$G199)</f>
        <v>0</v>
      </c>
      <c r="I199" s="17" t="str">
        <f>IF(OR($L199="Tor",$L199="ET"),_xlfn.IFNA(IF(VLOOKUP($A199,Spiele!$A$2:$C$15,3,FALSE)=$B199,COUNTIFS($L$2:$L199,"Tor",$B$2:$B199,$B199,$A$2:$A199,$A199)+COUNTIFS($L$2:$L199,"ET",$B$2:$B199,$B199,$A$2:$A199,$A199)&amp;":"&amp;COUNTIFS($L$2:$L199,"Tor",$B$2:$B199,"&lt;&gt;"&amp;$B199,$A$2:$A199,$A199)+COUNTIFS($L$2:$L199,"ET",$B$2:$B199,"&lt;&gt;"&amp;$B199,$A$2:$A199,$A199),COUNTIFS($L$2:$L199,"Tor",$B$2:$B199,"&lt;&gt;"&amp;$B199,$A$2:$A199,$A199)+COUNTIFS($L$2:$L199,"ET",$B$2:$B199,"&lt;&gt;"&amp;$B199,$A$2:$A199,$A199)&amp;":"&amp;COUNTIFS($L$2:$L199,"Tor",$B$2:$B199,$B199,$A$2:$A199,$A199)+COUNTIFS($L$2:$L199,"ET",$B$2:$B199,$B199,$A$2:$A199,$A199)),""),"")</f>
        <v/>
      </c>
      <c r="J199" s="18">
        <f>_xlfn.IFNA(IF(VLOOKUP($A199,Spiele!$A$2:$D$15,3,FALSE)=$B199,(COUNTIFS($L$1:$L198,"Tor",$B$1:$B198,$B199,$A$1:$A198,$A199)+COUNTIFS($L$1:$L198,"ET",$B$1:$B198,$B199,$A$1:$A198,$A199))-(COUNTIFS($L$1:$L198,"Tor",$B$1:$B198,"&lt;&gt;"&amp;$B199,$A$1:$A198,$A199)+COUNTIFS($L$1:$L198,"ET",$B$1:$B198,"&lt;&gt;"&amp;$B199,$A$1:$A198,$A199)),(COUNTIFS($L$1:$L198,"Tor",$B$1:$B198,$B199,$A$1:$A198,$A199)+COUNTIFS($L$1:$L198,"ET",$B$1:$B198,$B199,$A$1:$A198,$A199))-(COUNTIFS($L$1:$L198,"Tor",$B$1:$B198,"&lt;&gt;"&amp;$B199,$A$1:$A198,$A199)+COUNTIFS($L$1:$L198,"ET",$B$1:$B198,"&lt;&gt;"&amp;$B199,$A$1:$A198,$A199))),"")</f>
        <v>-1</v>
      </c>
      <c r="K199" s="3">
        <v>3</v>
      </c>
      <c r="L199" s="17" t="s">
        <v>20</v>
      </c>
      <c r="M199" s="2" t="s">
        <v>163</v>
      </c>
      <c r="N199" s="2" t="s">
        <v>164</v>
      </c>
      <c r="X199" s="2" t="s">
        <v>151</v>
      </c>
      <c r="Y199" s="17" t="s">
        <v>143</v>
      </c>
      <c r="Z199" s="14" t="s">
        <v>150</v>
      </c>
      <c r="AA199" s="14" t="s">
        <v>145</v>
      </c>
      <c r="AB199" s="18"/>
      <c r="AC199" s="13">
        <v>-9.5</v>
      </c>
      <c r="AD199" s="13">
        <v>21</v>
      </c>
      <c r="AE199" s="19">
        <f t="shared" si="8"/>
        <v>21.796917213220773</v>
      </c>
      <c r="AF199" s="19">
        <f t="shared" si="9"/>
        <v>16.533005071706455</v>
      </c>
      <c r="AG199" s="2" t="s">
        <v>146</v>
      </c>
      <c r="AH199" s="13">
        <v>-1</v>
      </c>
      <c r="AI199" s="13">
        <v>1.5</v>
      </c>
      <c r="AJ199" s="19">
        <f>IF(Abschlüsse[[#This Row],[Ergeb]]="ET","",SQRT(($AC199-$AH199)^2+($AD199-$AI199)^2))</f>
        <v>21.272047386182649</v>
      </c>
      <c r="AK199" s="3">
        <v>2</v>
      </c>
      <c r="AL199" s="13">
        <v>-6.5</v>
      </c>
      <c r="AM199" s="13">
        <v>21</v>
      </c>
      <c r="AN199" s="19">
        <f t="shared" si="10"/>
        <v>3</v>
      </c>
      <c r="AO199" s="3">
        <v>0</v>
      </c>
      <c r="AR199" s="19" t="str">
        <f t="shared" si="11"/>
        <v/>
      </c>
    </row>
    <row r="200" spans="1:44" ht="25.05" customHeight="1">
      <c r="A200" s="3">
        <v>8</v>
      </c>
      <c r="B200" s="2" t="s">
        <v>51</v>
      </c>
      <c r="C200" s="17" t="str">
        <f>IF($A200="","",IF(VLOOKUP($A200,Spiele!$A$2:$D$15,3,FALSE)=$B200,"H","G"))</f>
        <v>H</v>
      </c>
      <c r="D200" s="17" t="str">
        <f>IF($B200="","",IF(VLOOKUP($A200,Spiele!$A$2:$F$15,3,FALSE)=$B200,VLOOKUP($A200,Spiele!$A$2:$F$15,4,FALSE),VLOOKUP($A200,Spiele!$A$2:$F$15,3,FALSE)))</f>
        <v>FCN</v>
      </c>
      <c r="E200" s="18">
        <f>IF(Abschlüsse[[#This Row],[Ergeb]]="ET",0,COUNTIFS($A$2:$A200,$A200,$B$2:$B200,$B200,$L$2:$L200,"&lt;&gt;ET"))</f>
        <v>2</v>
      </c>
      <c r="F200" s="11">
        <v>16</v>
      </c>
      <c r="G200" s="12">
        <v>1</v>
      </c>
      <c r="H200" s="18">
        <f>COUNTIFS('Rote Karten'!$A$2:$A$4,$A200,'Rote Karten'!$D$2:$D$4,"&lt;&gt;"&amp;$B200,'Rote Karten'!$B$2:$B$4,"&lt;"&amp;$F200,'Rote Karten'!$C$2:$C$4,"&lt;="&amp;$G200)-COUNTIFS('Rote Karten'!$A$2:$A$4,$A200,'Rote Karten'!$D$2:$D$4,$B200,'Rote Karten'!$B$2:$B$4,"&lt;"&amp;$F200,'Rote Karten'!$C$2:$C$4,"&lt;="&amp;$G200)</f>
        <v>0</v>
      </c>
      <c r="I200" s="17" t="str">
        <f>IF(OR($L200="Tor",$L200="ET"),_xlfn.IFNA(IF(VLOOKUP($A200,Spiele!$A$2:$C$15,3,FALSE)=$B200,COUNTIFS($L$2:$L200,"Tor",$B$2:$B200,$B200,$A$2:$A200,$A200)+COUNTIFS($L$2:$L200,"ET",$B$2:$B200,$B200,$A$2:$A200,$A200)&amp;":"&amp;COUNTIFS($L$2:$L200,"Tor",$B$2:$B200,"&lt;&gt;"&amp;$B200,$A$2:$A200,$A200)+COUNTIFS($L$2:$L200,"ET",$B$2:$B200,"&lt;&gt;"&amp;$B200,$A$2:$A200,$A200),COUNTIFS($L$2:$L200,"Tor",$B$2:$B200,"&lt;&gt;"&amp;$B200,$A$2:$A200,$A200)+COUNTIFS($L$2:$L200,"ET",$B$2:$B200,"&lt;&gt;"&amp;$B200,$A$2:$A200,$A200)&amp;":"&amp;COUNTIFS($L$2:$L200,"Tor",$B$2:$B200,$B200,$A$2:$A200,$A200)+COUNTIFS($L$2:$L200,"ET",$B$2:$B200,$B200,$A$2:$A200,$A200)),""),"")</f>
        <v/>
      </c>
      <c r="J200" s="18">
        <f>_xlfn.IFNA(IF(VLOOKUP($A200,Spiele!$A$2:$D$15,3,FALSE)=$B200,(COUNTIFS($L$1:$L199,"Tor",$B$1:$B199,$B200,$A$1:$A199,$A200)+COUNTIFS($L$1:$L199,"ET",$B$1:$B199,$B200,$A$1:$A199,$A200))-(COUNTIFS($L$1:$L199,"Tor",$B$1:$B199,"&lt;&gt;"&amp;$B200,$A$1:$A199,$A200)+COUNTIFS($L$1:$L199,"ET",$B$1:$B199,"&lt;&gt;"&amp;$B200,$A$1:$A199,$A200)),(COUNTIFS($L$1:$L199,"Tor",$B$1:$B199,$B200,$A$1:$A199,$A200)+COUNTIFS($L$1:$L199,"ET",$B$1:$B199,$B200,$A$1:$A199,$A200))-(COUNTIFS($L$1:$L199,"Tor",$B$1:$B199,"&lt;&gt;"&amp;$B200,$A$1:$A199,$A200)+COUNTIFS($L$1:$L199,"ET",$B$1:$B199,"&lt;&gt;"&amp;$B200,$A$1:$A199,$A200))),"")</f>
        <v>-1</v>
      </c>
      <c r="K200" s="3">
        <v>4</v>
      </c>
      <c r="L200" s="17" t="s">
        <v>18</v>
      </c>
      <c r="M200" s="2" t="s">
        <v>147</v>
      </c>
      <c r="N200" s="2" t="s">
        <v>152</v>
      </c>
      <c r="X200" s="2" t="s">
        <v>151</v>
      </c>
      <c r="Y200" s="17" t="s">
        <v>143</v>
      </c>
      <c r="Z200" s="14" t="s">
        <v>150</v>
      </c>
      <c r="AA200" s="14" t="s">
        <v>156</v>
      </c>
      <c r="AB200" s="18"/>
      <c r="AC200" s="13">
        <v>11</v>
      </c>
      <c r="AD200" s="13">
        <v>10.5</v>
      </c>
      <c r="AE200" s="19">
        <f t="shared" si="8"/>
        <v>12.811151392439323</v>
      </c>
      <c r="AF200" s="19">
        <f t="shared" si="9"/>
        <v>19.433068014600664</v>
      </c>
      <c r="AG200" s="2" t="s">
        <v>146</v>
      </c>
      <c r="AH200" s="13">
        <v>4</v>
      </c>
      <c r="AI200" s="13">
        <v>2.5</v>
      </c>
      <c r="AJ200" s="19">
        <f>IF(Abschlüsse[[#This Row],[Ergeb]]="ET","",SQRT(($AC200-$AH200)^2+($AD200-$AI200)^2))</f>
        <v>10.63014581273465</v>
      </c>
      <c r="AK200" s="3">
        <v>1</v>
      </c>
      <c r="AL200" s="13">
        <v>9.5</v>
      </c>
      <c r="AM200" s="13">
        <v>11.5</v>
      </c>
      <c r="AN200" s="19">
        <f t="shared" si="10"/>
        <v>1.8027756377319946</v>
      </c>
      <c r="AO200" s="3">
        <v>0</v>
      </c>
      <c r="AR200" s="19" t="str">
        <f t="shared" si="11"/>
        <v/>
      </c>
    </row>
    <row r="201" spans="1:44" ht="25.05" customHeight="1">
      <c r="A201" s="3">
        <v>8</v>
      </c>
      <c r="B201" s="2" t="s">
        <v>51</v>
      </c>
      <c r="C201" s="17" t="str">
        <f>IF($A201="","",IF(VLOOKUP($A201,Spiele!$A$2:$D$15,3,FALSE)=$B201,"H","G"))</f>
        <v>H</v>
      </c>
      <c r="D201" s="17" t="str">
        <f>IF($B201="","",IF(VLOOKUP($A201,Spiele!$A$2:$F$15,3,FALSE)=$B201,VLOOKUP($A201,Spiele!$A$2:$F$15,4,FALSE),VLOOKUP($A201,Spiele!$A$2:$F$15,3,FALSE)))</f>
        <v>FCN</v>
      </c>
      <c r="E201" s="18">
        <f>IF(Abschlüsse[[#This Row],[Ergeb]]="ET",0,COUNTIFS($A$2:$A201,$A201,$B$2:$B201,$B201,$L$2:$L201,"&lt;&gt;ET"))</f>
        <v>3</v>
      </c>
      <c r="F201" s="11">
        <v>19</v>
      </c>
      <c r="G201" s="12">
        <v>1</v>
      </c>
      <c r="H201" s="18">
        <f>COUNTIFS('Rote Karten'!$A$2:$A$4,$A201,'Rote Karten'!$D$2:$D$4,"&lt;&gt;"&amp;$B201,'Rote Karten'!$B$2:$B$4,"&lt;"&amp;$F201,'Rote Karten'!$C$2:$C$4,"&lt;="&amp;$G201)-COUNTIFS('Rote Karten'!$A$2:$A$4,$A201,'Rote Karten'!$D$2:$D$4,$B201,'Rote Karten'!$B$2:$B$4,"&lt;"&amp;$F201,'Rote Karten'!$C$2:$C$4,"&lt;="&amp;$G201)</f>
        <v>0</v>
      </c>
      <c r="I201" s="17" t="str">
        <f>IF(OR($L201="Tor",$L201="ET"),_xlfn.IFNA(IF(VLOOKUP($A201,Spiele!$A$2:$C$15,3,FALSE)=$B201,COUNTIFS($L$2:$L201,"Tor",$B$2:$B201,$B201,$A$2:$A201,$A201)+COUNTIFS($L$2:$L201,"ET",$B$2:$B201,$B201,$A$2:$A201,$A201)&amp;":"&amp;COUNTIFS($L$2:$L201,"Tor",$B$2:$B201,"&lt;&gt;"&amp;$B201,$A$2:$A201,$A201)+COUNTIFS($L$2:$L201,"ET",$B$2:$B201,"&lt;&gt;"&amp;$B201,$A$2:$A201,$A201),COUNTIFS($L$2:$L201,"Tor",$B$2:$B201,"&lt;&gt;"&amp;$B201,$A$2:$A201,$A201)+COUNTIFS($L$2:$L201,"ET",$B$2:$B201,"&lt;&gt;"&amp;$B201,$A$2:$A201,$A201)&amp;":"&amp;COUNTIFS($L$2:$L201,"Tor",$B$2:$B201,$B201,$A$2:$A201,$A201)+COUNTIFS($L$2:$L201,"ET",$B$2:$B201,$B201,$A$2:$A201,$A201)),""),"")</f>
        <v>1:1</v>
      </c>
      <c r="J201" s="18">
        <f>_xlfn.IFNA(IF(VLOOKUP($A201,Spiele!$A$2:$D$15,3,FALSE)=$B201,(COUNTIFS($L$1:$L200,"Tor",$B$1:$B200,$B201,$A$1:$A200,$A201)+COUNTIFS($L$1:$L200,"ET",$B$1:$B200,$B201,$A$1:$A200,$A201))-(COUNTIFS($L$1:$L200,"Tor",$B$1:$B200,"&lt;&gt;"&amp;$B201,$A$1:$A200,$A201)+COUNTIFS($L$1:$L200,"ET",$B$1:$B200,"&lt;&gt;"&amp;$B201,$A$1:$A200,$A201)),(COUNTIFS($L$1:$L200,"Tor",$B$1:$B200,$B201,$A$1:$A200,$A201)+COUNTIFS($L$1:$L200,"ET",$B$1:$B200,$B201,$A$1:$A200,$A201))-(COUNTIFS($L$1:$L200,"Tor",$B$1:$B200,"&lt;&gt;"&amp;$B201,$A$1:$A200,$A201)+COUNTIFS($L$1:$L200,"ET",$B$1:$B200,"&lt;&gt;"&amp;$B201,$A$1:$A200,$A201))),"")</f>
        <v>-1</v>
      </c>
      <c r="K201" s="3">
        <v>5</v>
      </c>
      <c r="L201" s="17" t="s">
        <v>0</v>
      </c>
      <c r="M201" s="2" t="s">
        <v>163</v>
      </c>
      <c r="N201" s="2" t="s">
        <v>3</v>
      </c>
      <c r="X201" s="2" t="s">
        <v>141</v>
      </c>
      <c r="Y201" s="17" t="s">
        <v>143</v>
      </c>
      <c r="Z201" s="14" t="s">
        <v>150</v>
      </c>
      <c r="AA201" s="14" t="s">
        <v>145</v>
      </c>
      <c r="AB201" s="18"/>
      <c r="AC201" s="13">
        <v>5</v>
      </c>
      <c r="AD201" s="13">
        <v>19</v>
      </c>
      <c r="AE201" s="19">
        <f t="shared" si="8"/>
        <v>19.047194019067479</v>
      </c>
      <c r="AF201" s="19">
        <f t="shared" si="9"/>
        <v>20.468818692757591</v>
      </c>
      <c r="AG201" s="2" t="s">
        <v>166</v>
      </c>
      <c r="AJ201" s="19">
        <f>IF(Abschlüsse[[#This Row],[Ergeb]]="ET","",SQRT(($AC201-$AH201)^2+($AD201-$AI201)^2))</f>
        <v>19.646882704388499</v>
      </c>
      <c r="AK201" s="3">
        <v>0</v>
      </c>
      <c r="AL201" s="13"/>
      <c r="AM201" s="13"/>
      <c r="AN201" s="19" t="str">
        <f t="shared" si="10"/>
        <v/>
      </c>
      <c r="AO201" s="3">
        <v>1</v>
      </c>
      <c r="AP201" s="13">
        <v>4.5</v>
      </c>
      <c r="AQ201" s="13">
        <v>10</v>
      </c>
      <c r="AR201" s="19">
        <f t="shared" si="11"/>
        <v>9.013878188659973</v>
      </c>
    </row>
    <row r="202" spans="1:44" ht="25.05" customHeight="1">
      <c r="A202" s="3">
        <v>8</v>
      </c>
      <c r="B202" s="2" t="s">
        <v>8</v>
      </c>
      <c r="C202" s="17" t="str">
        <f>IF($A202="","",IF(VLOOKUP($A202,Spiele!$A$2:$D$15,3,FALSE)=$B202,"H","G"))</f>
        <v>G</v>
      </c>
      <c r="D202" s="17" t="str">
        <f>IF($B202="","",IF(VLOOKUP($A202,Spiele!$A$2:$F$15,3,FALSE)=$B202,VLOOKUP($A202,Spiele!$A$2:$F$15,4,FALSE),VLOOKUP($A202,Spiele!$A$2:$F$15,3,FALSE)))</f>
        <v>SSV</v>
      </c>
      <c r="E202" s="18">
        <f>IF(Abschlüsse[[#This Row],[Ergeb]]="ET",0,COUNTIFS($A$2:$A202,$A202,$B$2:$B202,$B202,$L$2:$L202,"&lt;&gt;ET"))</f>
        <v>5</v>
      </c>
      <c r="F202" s="11">
        <v>23</v>
      </c>
      <c r="G202" s="12">
        <v>1</v>
      </c>
      <c r="H202" s="18">
        <f>COUNTIFS('Rote Karten'!$A$2:$A$4,$A202,'Rote Karten'!$D$2:$D$4,"&lt;&gt;"&amp;$B202,'Rote Karten'!$B$2:$B$4,"&lt;"&amp;$F202,'Rote Karten'!$C$2:$C$4,"&lt;="&amp;$G202)-COUNTIFS('Rote Karten'!$A$2:$A$4,$A202,'Rote Karten'!$D$2:$D$4,$B202,'Rote Karten'!$B$2:$B$4,"&lt;"&amp;$F202,'Rote Karten'!$C$2:$C$4,"&lt;="&amp;$G202)</f>
        <v>0</v>
      </c>
      <c r="I202" s="17" t="str">
        <f>IF(OR($L202="Tor",$L202="ET"),_xlfn.IFNA(IF(VLOOKUP($A202,Spiele!$A$2:$C$15,3,FALSE)=$B202,COUNTIFS($L$2:$L202,"Tor",$B$2:$B202,$B202,$A$2:$A202,$A202)+COUNTIFS($L$2:$L202,"ET",$B$2:$B202,$B202,$A$2:$A202,$A202)&amp;":"&amp;COUNTIFS($L$2:$L202,"Tor",$B$2:$B202,"&lt;&gt;"&amp;$B202,$A$2:$A202,$A202)+COUNTIFS($L$2:$L202,"ET",$B$2:$B202,"&lt;&gt;"&amp;$B202,$A$2:$A202,$A202),COUNTIFS($L$2:$L202,"Tor",$B$2:$B202,"&lt;&gt;"&amp;$B202,$A$2:$A202,$A202)+COUNTIFS($L$2:$L202,"ET",$B$2:$B202,"&lt;&gt;"&amp;$B202,$A$2:$A202,$A202)&amp;":"&amp;COUNTIFS($L$2:$L202,"Tor",$B$2:$B202,$B202,$A$2:$A202,$A202)+COUNTIFS($L$2:$L202,"ET",$B$2:$B202,$B202,$A$2:$A202,$A202)),""),"")</f>
        <v/>
      </c>
      <c r="J202" s="18">
        <f>_xlfn.IFNA(IF(VLOOKUP($A202,Spiele!$A$2:$D$15,3,FALSE)=$B202,(COUNTIFS($L$1:$L201,"Tor",$B$1:$B201,$B202,$A$1:$A201,$A202)+COUNTIFS($L$1:$L201,"ET",$B$1:$B201,$B202,$A$1:$A201,$A202))-(COUNTIFS($L$1:$L201,"Tor",$B$1:$B201,"&lt;&gt;"&amp;$B202,$A$1:$A201,$A202)+COUNTIFS($L$1:$L201,"ET",$B$1:$B201,"&lt;&gt;"&amp;$B202,$A$1:$A201,$A202)),(COUNTIFS($L$1:$L201,"Tor",$B$1:$B201,$B202,$A$1:$A201,$A202)+COUNTIFS($L$1:$L201,"ET",$B$1:$B201,$B202,$A$1:$A201,$A202))-(COUNTIFS($L$1:$L201,"Tor",$B$1:$B201,"&lt;&gt;"&amp;$B202,$A$1:$A201,$A202)+COUNTIFS($L$1:$L201,"ET",$B$1:$B201,"&lt;&gt;"&amp;$B202,$A$1:$A201,$A202))),"")</f>
        <v>0</v>
      </c>
      <c r="K202" s="3">
        <v>6</v>
      </c>
      <c r="L202" s="17" t="s">
        <v>46</v>
      </c>
      <c r="M202" s="2" t="s">
        <v>140</v>
      </c>
      <c r="N202" s="2" t="s">
        <v>3</v>
      </c>
      <c r="X202" s="2" t="s">
        <v>141</v>
      </c>
      <c r="Y202" s="17" t="s">
        <v>149</v>
      </c>
      <c r="Z202" s="14" t="s">
        <v>144</v>
      </c>
      <c r="AA202" s="14" t="s">
        <v>156</v>
      </c>
      <c r="AB202" s="18">
        <v>26</v>
      </c>
      <c r="AC202" s="13">
        <v>15.5</v>
      </c>
      <c r="AD202" s="13">
        <v>11</v>
      </c>
      <c r="AE202" s="19">
        <f t="shared" ref="AE202:AE225" si="12">IF($L202="ET","",IF($AC202&gt;3.66,SQRT($AD202^2+($AC202-(7.32/2))^2),IF($AC202&lt;-3.66,SQRT($AD202^2+($AC202+(7.32/2))^2),$AD202)))</f>
        <v>16.16123757637391</v>
      </c>
      <c r="AF202" s="19">
        <f t="shared" ref="AF202:AF225" si="13">IF($L202="ET","",IF(DEGREES(ATAN((7.32*$AD202)/($AD202^2+$AC202^2-(7.32/2)^2)))&lt;=0,180+DEGREES(ATAN((7.32*$AD202)/($AD202^2+$AC202^2-(7.32/2)^2))),DEGREES(ATAN((7.32*$AD202)/($AD202^2+$AC202^2-(7.32/2)^2)))))</f>
        <v>13.033066816395907</v>
      </c>
      <c r="AG202" s="2" t="s">
        <v>166</v>
      </c>
      <c r="AJ202" s="19">
        <f>IF(Abschlüsse[[#This Row],[Ergeb]]="ET","",SQRT(($AC202-$AH202)^2+($AD202-$AI202)^2))</f>
        <v>19.006577808748212</v>
      </c>
      <c r="AK202" s="3">
        <v>0</v>
      </c>
      <c r="AL202" s="13"/>
      <c r="AM202" s="13"/>
      <c r="AN202" s="19" t="str">
        <f t="shared" si="10"/>
        <v/>
      </c>
      <c r="AO202" s="3">
        <v>2</v>
      </c>
      <c r="AP202" s="13">
        <v>10</v>
      </c>
      <c r="AQ202" s="13">
        <v>9</v>
      </c>
      <c r="AR202" s="19">
        <f t="shared" si="11"/>
        <v>5.8523499553598128</v>
      </c>
    </row>
    <row r="203" spans="1:44" ht="25.05" customHeight="1">
      <c r="A203" s="3">
        <v>8</v>
      </c>
      <c r="B203" s="2" t="s">
        <v>8</v>
      </c>
      <c r="C203" s="17" t="str">
        <f>IF($A203="","",IF(VLOOKUP($A203,Spiele!$A$2:$D$15,3,FALSE)=$B203,"H","G"))</f>
        <v>G</v>
      </c>
      <c r="D203" s="17" t="str">
        <f>IF($B203="","",IF(VLOOKUP($A203,Spiele!$A$2:$F$15,3,FALSE)=$B203,VLOOKUP($A203,Spiele!$A$2:$F$15,4,FALSE),VLOOKUP($A203,Spiele!$A$2:$F$15,3,FALSE)))</f>
        <v>SSV</v>
      </c>
      <c r="E203" s="18">
        <f>IF(Abschlüsse[[#This Row],[Ergeb]]="ET",0,COUNTIFS($A$2:$A203,$A203,$B$2:$B203,$B203,$L$2:$L203,"&lt;&gt;ET"))</f>
        <v>6</v>
      </c>
      <c r="F203" s="11">
        <v>28</v>
      </c>
      <c r="G203" s="12">
        <v>1</v>
      </c>
      <c r="H203" s="18">
        <f>COUNTIFS('Rote Karten'!$A$2:$A$4,$A203,'Rote Karten'!$D$2:$D$4,"&lt;&gt;"&amp;$B203,'Rote Karten'!$B$2:$B$4,"&lt;"&amp;$F203,'Rote Karten'!$C$2:$C$4,"&lt;="&amp;$G203)-COUNTIFS('Rote Karten'!$A$2:$A$4,$A203,'Rote Karten'!$D$2:$D$4,$B203,'Rote Karten'!$B$2:$B$4,"&lt;"&amp;$F203,'Rote Karten'!$C$2:$C$4,"&lt;="&amp;$G203)</f>
        <v>0</v>
      </c>
      <c r="I203" s="17" t="str">
        <f>IF(OR($L203="Tor",$L203="ET"),_xlfn.IFNA(IF(VLOOKUP($A203,Spiele!$A$2:$C$15,3,FALSE)=$B203,COUNTIFS($L$2:$L203,"Tor",$B$2:$B203,$B203,$A$2:$A203,$A203)+COUNTIFS($L$2:$L203,"ET",$B$2:$B203,$B203,$A$2:$A203,$A203)&amp;":"&amp;COUNTIFS($L$2:$L203,"Tor",$B$2:$B203,"&lt;&gt;"&amp;$B203,$A$2:$A203,$A203)+COUNTIFS($L$2:$L203,"ET",$B$2:$B203,"&lt;&gt;"&amp;$B203,$A$2:$A203,$A203),COUNTIFS($L$2:$L203,"Tor",$B$2:$B203,"&lt;&gt;"&amp;$B203,$A$2:$A203,$A203)+COUNTIFS($L$2:$L203,"ET",$B$2:$B203,"&lt;&gt;"&amp;$B203,$A$2:$A203,$A203)&amp;":"&amp;COUNTIFS($L$2:$L203,"Tor",$B$2:$B203,$B203,$A$2:$A203,$A203)+COUNTIFS($L$2:$L203,"ET",$B$2:$B203,$B203,$A$2:$A203,$A203)),""),"")</f>
        <v/>
      </c>
      <c r="J203" s="18">
        <f>_xlfn.IFNA(IF(VLOOKUP($A203,Spiele!$A$2:$D$15,3,FALSE)=$B203,(COUNTIFS($L$1:$L202,"Tor",$B$1:$B202,$B203,$A$1:$A202,$A203)+COUNTIFS($L$1:$L202,"ET",$B$1:$B202,$B203,$A$1:$A202,$A203))-(COUNTIFS($L$1:$L202,"Tor",$B$1:$B202,"&lt;&gt;"&amp;$B203,$A$1:$A202,$A203)+COUNTIFS($L$1:$L202,"ET",$B$1:$B202,"&lt;&gt;"&amp;$B203,$A$1:$A202,$A203)),(COUNTIFS($L$1:$L202,"Tor",$B$1:$B202,$B203,$A$1:$A202,$A203)+COUNTIFS($L$1:$L202,"ET",$B$1:$B202,$B203,$A$1:$A202,$A203))-(COUNTIFS($L$1:$L202,"Tor",$B$1:$B202,"&lt;&gt;"&amp;$B203,$A$1:$A202,$A203)+COUNTIFS($L$1:$L202,"ET",$B$1:$B202,"&lt;&gt;"&amp;$B203,$A$1:$A202,$A203))),"")</f>
        <v>0</v>
      </c>
      <c r="K203" s="3">
        <v>7</v>
      </c>
      <c r="L203" s="17" t="s">
        <v>19</v>
      </c>
      <c r="M203" s="2" t="s">
        <v>163</v>
      </c>
      <c r="N203" s="2" t="s">
        <v>164</v>
      </c>
      <c r="X203" s="2" t="s">
        <v>151</v>
      </c>
      <c r="Y203" s="17" t="s">
        <v>149</v>
      </c>
      <c r="Z203" s="14" t="s">
        <v>150</v>
      </c>
      <c r="AA203" s="14" t="s">
        <v>156</v>
      </c>
      <c r="AB203" s="18">
        <v>10</v>
      </c>
      <c r="AC203" s="13">
        <v>16.5</v>
      </c>
      <c r="AD203" s="13">
        <v>8</v>
      </c>
      <c r="AE203" s="19">
        <f t="shared" si="12"/>
        <v>15.128304597673859</v>
      </c>
      <c r="AF203" s="19">
        <f t="shared" si="13"/>
        <v>10.280656949084873</v>
      </c>
      <c r="AG203" s="2" t="s">
        <v>146</v>
      </c>
      <c r="AH203" s="13">
        <v>3.5</v>
      </c>
      <c r="AI203" s="13">
        <v>1.5</v>
      </c>
      <c r="AJ203" s="19">
        <f>IF(Abschlüsse[[#This Row],[Ergeb]]="ET","",SQRT(($AC203-$AH203)^2+($AD203-$AI203)^2))</f>
        <v>14.534441853748634</v>
      </c>
      <c r="AK203" s="3">
        <v>1</v>
      </c>
      <c r="AL203" s="13">
        <v>14.5</v>
      </c>
      <c r="AM203" s="13">
        <v>6.5</v>
      </c>
      <c r="AN203" s="19">
        <f t="shared" ref="AN203:AN225" si="14">IF(AK203=0,"",SQRT(($AC203-$AL203)^2+($AD203-$AM203)^2))</f>
        <v>2.5</v>
      </c>
      <c r="AO203" s="3">
        <v>0</v>
      </c>
      <c r="AR203" s="19" t="str">
        <f t="shared" ref="AR203:AR225" si="15">IF(AO203=0,"",SQRT(($AC203-$AP203)^2+($AD203-$AQ203)^2))</f>
        <v/>
      </c>
    </row>
    <row r="204" spans="1:44" ht="25.05" customHeight="1">
      <c r="A204" s="3">
        <v>8</v>
      </c>
      <c r="B204" s="2" t="s">
        <v>8</v>
      </c>
      <c r="C204" s="17" t="str">
        <f>IF($A204="","",IF(VLOOKUP($A204,Spiele!$A$2:$D$15,3,FALSE)=$B204,"H","G"))</f>
        <v>G</v>
      </c>
      <c r="D204" s="17" t="str">
        <f>IF($B204="","",IF(VLOOKUP($A204,Spiele!$A$2:$F$15,3,FALSE)=$B204,VLOOKUP($A204,Spiele!$A$2:$F$15,4,FALSE),VLOOKUP($A204,Spiele!$A$2:$F$15,3,FALSE)))</f>
        <v>SSV</v>
      </c>
      <c r="E204" s="18">
        <f>IF(Abschlüsse[[#This Row],[Ergeb]]="ET",0,COUNTIFS($A$2:$A204,$A204,$B$2:$B204,$B204,$L$2:$L204,"&lt;&gt;ET"))</f>
        <v>7</v>
      </c>
      <c r="F204" s="11">
        <v>29</v>
      </c>
      <c r="G204" s="12">
        <v>1</v>
      </c>
      <c r="H204" s="18">
        <f>COUNTIFS('Rote Karten'!$A$2:$A$4,$A204,'Rote Karten'!$D$2:$D$4,"&lt;&gt;"&amp;$B204,'Rote Karten'!$B$2:$B$4,"&lt;"&amp;$F204,'Rote Karten'!$C$2:$C$4,"&lt;="&amp;$G204)-COUNTIFS('Rote Karten'!$A$2:$A$4,$A204,'Rote Karten'!$D$2:$D$4,$B204,'Rote Karten'!$B$2:$B$4,"&lt;"&amp;$F204,'Rote Karten'!$C$2:$C$4,"&lt;="&amp;$G204)</f>
        <v>0</v>
      </c>
      <c r="I204" s="17" t="str">
        <f>IF(OR($L204="Tor",$L204="ET"),_xlfn.IFNA(IF(VLOOKUP($A204,Spiele!$A$2:$C$15,3,FALSE)=$B204,COUNTIFS($L$2:$L204,"Tor",$B$2:$B204,$B204,$A$2:$A204,$A204)+COUNTIFS($L$2:$L204,"ET",$B$2:$B204,$B204,$A$2:$A204,$A204)&amp;":"&amp;COUNTIFS($L$2:$L204,"Tor",$B$2:$B204,"&lt;&gt;"&amp;$B204,$A$2:$A204,$A204)+COUNTIFS($L$2:$L204,"ET",$B$2:$B204,"&lt;&gt;"&amp;$B204,$A$2:$A204,$A204),COUNTIFS($L$2:$L204,"Tor",$B$2:$B204,"&lt;&gt;"&amp;$B204,$A$2:$A204,$A204)+COUNTIFS($L$2:$L204,"ET",$B$2:$B204,"&lt;&gt;"&amp;$B204,$A$2:$A204,$A204)&amp;":"&amp;COUNTIFS($L$2:$L204,"Tor",$B$2:$B204,$B204,$A$2:$A204,$A204)+COUNTIFS($L$2:$L204,"ET",$B$2:$B204,$B204,$A$2:$A204,$A204)),""),"")</f>
        <v/>
      </c>
      <c r="J204" s="18">
        <f>_xlfn.IFNA(IF(VLOOKUP($A204,Spiele!$A$2:$D$15,3,FALSE)=$B204,(COUNTIFS($L$1:$L203,"Tor",$B$1:$B203,$B204,$A$1:$A203,$A204)+COUNTIFS($L$1:$L203,"ET",$B$1:$B203,$B204,$A$1:$A203,$A204))-(COUNTIFS($L$1:$L203,"Tor",$B$1:$B203,"&lt;&gt;"&amp;$B204,$A$1:$A203,$A204)+COUNTIFS($L$1:$L203,"ET",$B$1:$B203,"&lt;&gt;"&amp;$B204,$A$1:$A203,$A204)),(COUNTIFS($L$1:$L203,"Tor",$B$1:$B203,$B204,$A$1:$A203,$A204)+COUNTIFS($L$1:$L203,"ET",$B$1:$B203,$B204,$A$1:$A203,$A204))-(COUNTIFS($L$1:$L203,"Tor",$B$1:$B203,"&lt;&gt;"&amp;$B204,$A$1:$A203,$A204)+COUNTIFS($L$1:$L203,"ET",$B$1:$B203,"&lt;&gt;"&amp;$B204,$A$1:$A203,$A204))),"")</f>
        <v>0</v>
      </c>
      <c r="K204" s="3">
        <v>8</v>
      </c>
      <c r="L204" s="18" t="s">
        <v>18</v>
      </c>
      <c r="M204" s="3" t="s">
        <v>163</v>
      </c>
      <c r="N204" s="2" t="s">
        <v>3</v>
      </c>
      <c r="X204" s="22" t="s">
        <v>142</v>
      </c>
      <c r="Y204" s="18" t="s">
        <v>143</v>
      </c>
      <c r="Z204" s="14" t="s">
        <v>150</v>
      </c>
      <c r="AA204" s="14" t="s">
        <v>145</v>
      </c>
      <c r="AB204" s="18">
        <v>23</v>
      </c>
      <c r="AC204" s="13">
        <v>25</v>
      </c>
      <c r="AD204" s="13">
        <v>32</v>
      </c>
      <c r="AE204" s="19">
        <f>IF($L204="ET","",IF($AC204&gt;3.66,SQRT($AD204^2+($AC204-(7.32/2))^2),IF($AC204&lt;-3.66,SQRT($AD204^2+($AC204+(7.32/2))^2),$AD204)))</f>
        <v>38.462912006243108</v>
      </c>
      <c r="AF204" s="19">
        <f>IF($L204="ET","",IF(DEGREES(ATAN((7.32*$AD204)/($AD204^2+$AC204^2-(7.32/2)^2)))&lt;=0,180+DEGREES(ATAN((7.32*$AD204)/($AD204^2+$AC204^2-(7.32/2)^2))),DEGREES(ATAN((7.32*$AD204)/($AD204^2+$AC204^2-(7.32/2)^2)))))</f>
        <v>8.1500891092486309</v>
      </c>
      <c r="AG204" s="3" t="s">
        <v>146</v>
      </c>
      <c r="AH204" s="13">
        <v>1</v>
      </c>
      <c r="AI204" s="13">
        <v>5</v>
      </c>
      <c r="AJ204" s="19">
        <f>IF(Abschlüsse[[#This Row],[Ergeb]]="ET","",SQRT(($AC204-$AH204)^2+($AD204-$AI204)^2))</f>
        <v>36.124783736376884</v>
      </c>
      <c r="AK204" s="3">
        <v>0</v>
      </c>
      <c r="AL204" s="13"/>
      <c r="AM204" s="13"/>
      <c r="AN204" s="19" t="str">
        <f>IF(AK204=0,"",SQRT(($AC204-$AL204)^2+($AD204-$AM204)^2))</f>
        <v/>
      </c>
      <c r="AO204" s="3">
        <v>1</v>
      </c>
      <c r="AP204" s="13">
        <v>11</v>
      </c>
      <c r="AQ204" s="13">
        <v>16.5</v>
      </c>
      <c r="AR204" s="19">
        <f>IF(AO204=0,"",SQRT(($AC204-$AP204)^2+($AD204-$AQ204)^2))</f>
        <v>20.886598574205422</v>
      </c>
    </row>
    <row r="205" spans="1:44" ht="25.05" customHeight="1">
      <c r="A205" s="3">
        <v>8</v>
      </c>
      <c r="B205" s="2" t="s">
        <v>8</v>
      </c>
      <c r="C205" s="17" t="str">
        <f>IF($A205="","",IF(VLOOKUP($A205,Spiele!$A$2:$D$15,3,FALSE)=$B205,"H","G"))</f>
        <v>G</v>
      </c>
      <c r="D205" s="17" t="str">
        <f>IF($B205="","",IF(VLOOKUP($A205,Spiele!$A$2:$F$15,3,FALSE)=$B205,VLOOKUP($A205,Spiele!$A$2:$F$15,4,FALSE),VLOOKUP($A205,Spiele!$A$2:$F$15,3,FALSE)))</f>
        <v>SSV</v>
      </c>
      <c r="E205" s="18">
        <f>IF(Abschlüsse[[#This Row],[Ergeb]]="ET",0,COUNTIFS($A$2:$A205,$A205,$B$2:$B205,$B205,$L$2:$L205,"&lt;&gt;ET"))</f>
        <v>8</v>
      </c>
      <c r="F205" s="11">
        <v>37</v>
      </c>
      <c r="G205" s="12">
        <v>1</v>
      </c>
      <c r="H205" s="18">
        <f>COUNTIFS('Rote Karten'!$A$2:$A$4,$A205,'Rote Karten'!$D$2:$D$4,"&lt;&gt;"&amp;$B205,'Rote Karten'!$B$2:$B$4,"&lt;"&amp;$F205,'Rote Karten'!$C$2:$C$4,"&lt;="&amp;$G205)-COUNTIFS('Rote Karten'!$A$2:$A$4,$A205,'Rote Karten'!$D$2:$D$4,$B205,'Rote Karten'!$B$2:$B$4,"&lt;"&amp;$F205,'Rote Karten'!$C$2:$C$4,"&lt;="&amp;$G205)</f>
        <v>0</v>
      </c>
      <c r="I205" s="17" t="str">
        <f>IF(OR($L205="Tor",$L205="ET"),_xlfn.IFNA(IF(VLOOKUP($A205,Spiele!$A$2:$C$15,3,FALSE)=$B205,COUNTIFS($L$2:$L205,"Tor",$B$2:$B205,$B205,$A$2:$A205,$A205)+COUNTIFS($L$2:$L205,"ET",$B$2:$B205,$B205,$A$2:$A205,$A205)&amp;":"&amp;COUNTIFS($L$2:$L205,"Tor",$B$2:$B205,"&lt;&gt;"&amp;$B205,$A$2:$A205,$A205)+COUNTIFS($L$2:$L205,"ET",$B$2:$B205,"&lt;&gt;"&amp;$B205,$A$2:$A205,$A205),COUNTIFS($L$2:$L205,"Tor",$B$2:$B205,"&lt;&gt;"&amp;$B205,$A$2:$A205,$A205)+COUNTIFS($L$2:$L205,"ET",$B$2:$B205,"&lt;&gt;"&amp;$B205,$A$2:$A205,$A205)&amp;":"&amp;COUNTIFS($L$2:$L205,"Tor",$B$2:$B205,$B205,$A$2:$A205,$A205)+COUNTIFS($L$2:$L205,"ET",$B$2:$B205,$B205,$A$2:$A205,$A205)),""),"")</f>
        <v>1:2</v>
      </c>
      <c r="J205" s="18">
        <f>_xlfn.IFNA(IF(VLOOKUP($A205,Spiele!$A$2:$D$15,3,FALSE)=$B205,(COUNTIFS($L$1:$L204,"Tor",$B$1:$B204,$B205,$A$1:$A204,$A205)+COUNTIFS($L$1:$L204,"ET",$B$1:$B204,$B205,$A$1:$A204,$A205))-(COUNTIFS($L$1:$L204,"Tor",$B$1:$B204,"&lt;&gt;"&amp;$B205,$A$1:$A204,$A205)+COUNTIFS($L$1:$L204,"ET",$B$1:$B204,"&lt;&gt;"&amp;$B205,$A$1:$A204,$A205)),(COUNTIFS($L$1:$L204,"Tor",$B$1:$B204,$B205,$A$1:$A204,$A205)+COUNTIFS($L$1:$L204,"ET",$B$1:$B204,$B205,$A$1:$A204,$A205))-(COUNTIFS($L$1:$L204,"Tor",$B$1:$B204,"&lt;&gt;"&amp;$B205,$A$1:$A204,$A205)+COUNTIFS($L$1:$L204,"ET",$B$1:$B204,"&lt;&gt;"&amp;$B205,$A$1:$A204,$A205))),"")</f>
        <v>0</v>
      </c>
      <c r="K205" s="3">
        <v>9</v>
      </c>
      <c r="L205" s="17" t="s">
        <v>0</v>
      </c>
      <c r="M205" s="2" t="s">
        <v>177</v>
      </c>
      <c r="X205" s="2" t="s">
        <v>142</v>
      </c>
      <c r="Y205" s="17" t="s">
        <v>143</v>
      </c>
      <c r="Z205" s="14" t="s">
        <v>150</v>
      </c>
      <c r="AA205" s="14" t="s">
        <v>145</v>
      </c>
      <c r="AB205" s="18">
        <v>7</v>
      </c>
      <c r="AC205" s="13">
        <v>0</v>
      </c>
      <c r="AD205" s="13">
        <v>11</v>
      </c>
      <c r="AE205" s="19">
        <f t="shared" si="12"/>
        <v>11</v>
      </c>
      <c r="AF205" s="19">
        <f t="shared" si="13"/>
        <v>36.807381798785883</v>
      </c>
      <c r="AG205" s="2" t="s">
        <v>146</v>
      </c>
      <c r="AH205" s="13">
        <v>0</v>
      </c>
      <c r="AI205" s="13">
        <v>0</v>
      </c>
      <c r="AJ205" s="19">
        <f>IF(Abschlüsse[[#This Row],[Ergeb]]="ET","",SQRT(($AC205-$AH205)^2+($AD205-$AI205)^2))</f>
        <v>11</v>
      </c>
      <c r="AK205" s="3">
        <v>0</v>
      </c>
      <c r="AL205" s="13"/>
      <c r="AM205" s="13"/>
      <c r="AN205" s="19" t="str">
        <f t="shared" si="14"/>
        <v/>
      </c>
      <c r="AO205" s="3">
        <v>0</v>
      </c>
      <c r="AR205" s="19" t="str">
        <f t="shared" si="15"/>
        <v/>
      </c>
    </row>
    <row r="206" spans="1:44" ht="25.05" customHeight="1">
      <c r="A206" s="3">
        <v>8</v>
      </c>
      <c r="B206" s="2" t="s">
        <v>8</v>
      </c>
      <c r="C206" s="17" t="str">
        <f>IF($A206="","",IF(VLOOKUP($A206,Spiele!$A$2:$D$15,3,FALSE)=$B206,"H","G"))</f>
        <v>G</v>
      </c>
      <c r="D206" s="17" t="str">
        <f>IF($B206="","",IF(VLOOKUP($A206,Spiele!$A$2:$F$15,3,FALSE)=$B206,VLOOKUP($A206,Spiele!$A$2:$F$15,4,FALSE),VLOOKUP($A206,Spiele!$A$2:$F$15,3,FALSE)))</f>
        <v>SSV</v>
      </c>
      <c r="E206" s="18">
        <f>IF(Abschlüsse[[#This Row],[Ergeb]]="ET",0,COUNTIFS($A$2:$A206,$A206,$B$2:$B206,$B206,$L$2:$L206,"&lt;&gt;ET"))</f>
        <v>9</v>
      </c>
      <c r="F206" s="11">
        <v>40</v>
      </c>
      <c r="G206" s="12">
        <v>1</v>
      </c>
      <c r="H206" s="18">
        <f>COUNTIFS('Rote Karten'!$A$2:$A$4,$A206,'Rote Karten'!$D$2:$D$4,"&lt;&gt;"&amp;$B206,'Rote Karten'!$B$2:$B$4,"&lt;"&amp;$F206,'Rote Karten'!$C$2:$C$4,"&lt;="&amp;$G206)-COUNTIFS('Rote Karten'!$A$2:$A$4,$A206,'Rote Karten'!$D$2:$D$4,$B206,'Rote Karten'!$B$2:$B$4,"&lt;"&amp;$F206,'Rote Karten'!$C$2:$C$4,"&lt;="&amp;$G206)</f>
        <v>0</v>
      </c>
      <c r="I206" s="17" t="str">
        <f>IF(OR($L206="Tor",$L206="ET"),_xlfn.IFNA(IF(VLOOKUP($A206,Spiele!$A$2:$C$15,3,FALSE)=$B206,COUNTIFS($L$2:$L206,"Tor",$B$2:$B206,$B206,$A$2:$A206,$A206)+COUNTIFS($L$2:$L206,"ET",$B$2:$B206,$B206,$A$2:$A206,$A206)&amp;":"&amp;COUNTIFS($L$2:$L206,"Tor",$B$2:$B206,"&lt;&gt;"&amp;$B206,$A$2:$A206,$A206)+COUNTIFS($L$2:$L206,"ET",$B$2:$B206,"&lt;&gt;"&amp;$B206,$A$2:$A206,$A206),COUNTIFS($L$2:$L206,"Tor",$B$2:$B206,"&lt;&gt;"&amp;$B206,$A$2:$A206,$A206)+COUNTIFS($L$2:$L206,"ET",$B$2:$B206,"&lt;&gt;"&amp;$B206,$A$2:$A206,$A206)&amp;":"&amp;COUNTIFS($L$2:$L206,"Tor",$B$2:$B206,$B206,$A$2:$A206,$A206)+COUNTIFS($L$2:$L206,"ET",$B$2:$B206,$B206,$A$2:$A206,$A206)),""),"")</f>
        <v/>
      </c>
      <c r="J206" s="18">
        <f>_xlfn.IFNA(IF(VLOOKUP($A206,Spiele!$A$2:$D$15,3,FALSE)=$B206,(COUNTIFS($L$1:$L205,"Tor",$B$1:$B205,$B206,$A$1:$A205,$A206)+COUNTIFS($L$1:$L205,"ET",$B$1:$B205,$B206,$A$1:$A205,$A206))-(COUNTIFS($L$1:$L205,"Tor",$B$1:$B205,"&lt;&gt;"&amp;$B206,$A$1:$A205,$A206)+COUNTIFS($L$1:$L205,"ET",$B$1:$B205,"&lt;&gt;"&amp;$B206,$A$1:$A205,$A206)),(COUNTIFS($L$1:$L205,"Tor",$B$1:$B205,$B206,$A$1:$A205,$A206)+COUNTIFS($L$1:$L205,"ET",$B$1:$B205,$B206,$A$1:$A205,$A206))-(COUNTIFS($L$1:$L205,"Tor",$B$1:$B205,"&lt;&gt;"&amp;$B206,$A$1:$A205,$A206)+COUNTIFS($L$1:$L205,"ET",$B$1:$B205,"&lt;&gt;"&amp;$B206,$A$1:$A205,$A206))),"")</f>
        <v>1</v>
      </c>
      <c r="K206" s="3">
        <v>10</v>
      </c>
      <c r="L206" s="17" t="s">
        <v>19</v>
      </c>
      <c r="M206" s="2" t="s">
        <v>147</v>
      </c>
      <c r="N206" s="2" t="s">
        <v>164</v>
      </c>
      <c r="O206" s="2">
        <v>26</v>
      </c>
      <c r="P206" s="2">
        <v>4</v>
      </c>
      <c r="Q206" s="2">
        <v>20</v>
      </c>
      <c r="R206" s="2">
        <v>16</v>
      </c>
      <c r="S206" s="2">
        <v>23</v>
      </c>
      <c r="X206" s="2" t="s">
        <v>151</v>
      </c>
      <c r="Y206" s="17" t="s">
        <v>143</v>
      </c>
      <c r="Z206" s="14" t="s">
        <v>150</v>
      </c>
      <c r="AA206" s="14" t="s">
        <v>145</v>
      </c>
      <c r="AB206" s="18">
        <v>16</v>
      </c>
      <c r="AC206" s="13">
        <v>15.5</v>
      </c>
      <c r="AD206" s="13">
        <v>25.5</v>
      </c>
      <c r="AE206" s="19">
        <f t="shared" si="12"/>
        <v>28.114686553472367</v>
      </c>
      <c r="AF206" s="19">
        <f t="shared" si="13"/>
        <v>12.01410579710266</v>
      </c>
      <c r="AG206" s="2" t="s">
        <v>146</v>
      </c>
      <c r="AH206" s="13">
        <v>1</v>
      </c>
      <c r="AI206" s="13">
        <v>3</v>
      </c>
      <c r="AJ206" s="19">
        <f>IF(Abschlüsse[[#This Row],[Ergeb]]="ET","",SQRT(($AC206-$AH206)^2+($AD206-$AI206)^2))</f>
        <v>26.767517628648346</v>
      </c>
      <c r="AK206" s="3">
        <v>1</v>
      </c>
      <c r="AL206" s="13">
        <v>13</v>
      </c>
      <c r="AM206" s="13">
        <v>25</v>
      </c>
      <c r="AN206" s="19">
        <f t="shared" si="14"/>
        <v>2.5495097567963922</v>
      </c>
      <c r="AO206" s="3">
        <v>2</v>
      </c>
      <c r="AP206" s="13">
        <v>11</v>
      </c>
      <c r="AQ206" s="13">
        <v>19.5</v>
      </c>
      <c r="AR206" s="19">
        <f t="shared" si="15"/>
        <v>7.5</v>
      </c>
    </row>
    <row r="207" spans="1:44" ht="25.05" customHeight="1">
      <c r="A207" s="3">
        <v>8</v>
      </c>
      <c r="B207" s="2" t="s">
        <v>51</v>
      </c>
      <c r="C207" s="17" t="str">
        <f>IF($A207="","",IF(VLOOKUP($A207,Spiele!$A$2:$D$15,3,FALSE)=$B207,"H","G"))</f>
        <v>H</v>
      </c>
      <c r="D207" s="17" t="str">
        <f>IF($B207="","",IF(VLOOKUP($A207,Spiele!$A$2:$F$15,3,FALSE)=$B207,VLOOKUP($A207,Spiele!$A$2:$F$15,4,FALSE),VLOOKUP($A207,Spiele!$A$2:$F$15,3,FALSE)))</f>
        <v>FCN</v>
      </c>
      <c r="E207" s="18">
        <f>IF(Abschlüsse[[#This Row],[Ergeb]]="ET",0,COUNTIFS($A$2:$A207,$A207,$B$2:$B207,$B207,$L$2:$L207,"&lt;&gt;ET"))</f>
        <v>4</v>
      </c>
      <c r="F207" s="11">
        <v>41</v>
      </c>
      <c r="G207" s="12">
        <v>2</v>
      </c>
      <c r="H207" s="18">
        <f>COUNTIFS('Rote Karten'!$A$2:$A$4,$A207,'Rote Karten'!$D$2:$D$4,"&lt;&gt;"&amp;$B207,'Rote Karten'!$B$2:$B$4,"&lt;"&amp;$F207,'Rote Karten'!$C$2:$C$4,"&lt;="&amp;$G207)-COUNTIFS('Rote Karten'!$A$2:$A$4,$A207,'Rote Karten'!$D$2:$D$4,$B207,'Rote Karten'!$B$2:$B$4,"&lt;"&amp;$F207,'Rote Karten'!$C$2:$C$4,"&lt;="&amp;$G207)</f>
        <v>0</v>
      </c>
      <c r="I207" s="17" t="str">
        <f>IF(OR($L207="Tor",$L207="ET"),_xlfn.IFNA(IF(VLOOKUP($A207,Spiele!$A$2:$C$15,3,FALSE)=$B207,COUNTIFS($L$2:$L207,"Tor",$B$2:$B207,$B207,$A$2:$A207,$A207)+COUNTIFS($L$2:$L207,"ET",$B$2:$B207,$B207,$A$2:$A207,$A207)&amp;":"&amp;COUNTIFS($L$2:$L207,"Tor",$B$2:$B207,"&lt;&gt;"&amp;$B207,$A$2:$A207,$A207)+COUNTIFS($L$2:$L207,"ET",$B$2:$B207,"&lt;&gt;"&amp;$B207,$A$2:$A207,$A207),COUNTIFS($L$2:$L207,"Tor",$B$2:$B207,"&lt;&gt;"&amp;$B207,$A$2:$A207,$A207)+COUNTIFS($L$2:$L207,"ET",$B$2:$B207,"&lt;&gt;"&amp;$B207,$A$2:$A207,$A207)&amp;":"&amp;COUNTIFS($L$2:$L207,"Tor",$B$2:$B207,$B207,$A$2:$A207,$A207)+COUNTIFS($L$2:$L207,"ET",$B$2:$B207,$B207,$A$2:$A207,$A207)),""),"")</f>
        <v/>
      </c>
      <c r="J207" s="18">
        <f>_xlfn.IFNA(IF(VLOOKUP($A207,Spiele!$A$2:$D$15,3,FALSE)=$B207,(COUNTIFS($L$1:$L206,"Tor",$B$1:$B206,$B207,$A$1:$A206,$A207)+COUNTIFS($L$1:$L206,"ET",$B$1:$B206,$B207,$A$1:$A206,$A207))-(COUNTIFS($L$1:$L206,"Tor",$B$1:$B206,"&lt;&gt;"&amp;$B207,$A$1:$A206,$A207)+COUNTIFS($L$1:$L206,"ET",$B$1:$B206,"&lt;&gt;"&amp;$B207,$A$1:$A206,$A207)),(COUNTIFS($L$1:$L206,"Tor",$B$1:$B206,$B207,$A$1:$A206,$A207)+COUNTIFS($L$1:$L206,"ET",$B$1:$B206,$B207,$A$1:$A206,$A207))-(COUNTIFS($L$1:$L206,"Tor",$B$1:$B206,"&lt;&gt;"&amp;$B207,$A$1:$A206,$A207)+COUNTIFS($L$1:$L206,"ET",$B$1:$B206,"&lt;&gt;"&amp;$B207,$A$1:$A206,$A207))),"")</f>
        <v>-1</v>
      </c>
      <c r="K207" s="3">
        <v>11</v>
      </c>
      <c r="L207" s="18" t="s">
        <v>170</v>
      </c>
      <c r="M207" s="3" t="s">
        <v>174</v>
      </c>
      <c r="X207" s="22" t="s">
        <v>142</v>
      </c>
      <c r="Y207" s="18" t="s">
        <v>143</v>
      </c>
      <c r="Z207" s="14" t="s">
        <v>150</v>
      </c>
      <c r="AA207" s="14" t="s">
        <v>145</v>
      </c>
      <c r="AB207" s="18"/>
      <c r="AC207" s="13">
        <v>0</v>
      </c>
      <c r="AD207" s="13">
        <v>45.5</v>
      </c>
      <c r="AE207" s="19">
        <f>IF($L207="ET","",IF($AC207&gt;3.66,SQRT($AD207^2+($AC207-(7.32/2))^2),IF($AC207&lt;-3.66,SQRT($AD207^2+($AC207+(7.32/2))^2),$AD207)))</f>
        <v>45.5</v>
      </c>
      <c r="AF207" s="19">
        <f>IF($L207="ET","",IF(DEGREES(ATAN((7.32*$AD207)/($AD207^2+$AC207^2-(7.32/2)^2)))&lt;=0,180+DEGREES(ATAN((7.32*$AD207)/($AD207^2+$AC207^2-(7.32/2)^2))),DEGREES(ATAN((7.32*$AD207)/($AD207^2+$AC207^2-(7.32/2)^2)))))</f>
        <v>9.1978903665112632</v>
      </c>
      <c r="AG207" s="3" t="s">
        <v>146</v>
      </c>
      <c r="AH207" s="13">
        <v>0</v>
      </c>
      <c r="AI207" s="13">
        <v>1</v>
      </c>
      <c r="AJ207" s="19">
        <f>IF(Abschlüsse[[#This Row],[Ergeb]]="ET","",SQRT(($AC207-$AH207)^2+($AD207-$AI207)^2))</f>
        <v>44.5</v>
      </c>
      <c r="AK207" s="3">
        <v>0</v>
      </c>
      <c r="AL207" s="13"/>
      <c r="AM207" s="13"/>
      <c r="AN207" s="19" t="str">
        <f>IF(AK207=0,"",SQRT(($AC207-$AL207)^2+($AD207-$AM207)^2))</f>
        <v/>
      </c>
      <c r="AO207" s="3">
        <v>2</v>
      </c>
      <c r="AP207" s="13">
        <v>1</v>
      </c>
      <c r="AQ207" s="13">
        <v>39</v>
      </c>
      <c r="AR207" s="19">
        <f>IF(AO207=0,"",SQRT(($AC207-$AP207)^2+($AD207-$AQ207)^2))</f>
        <v>6.5764732189829527</v>
      </c>
    </row>
    <row r="208" spans="1:44" ht="25.05" customHeight="1">
      <c r="A208" s="3">
        <v>8</v>
      </c>
      <c r="B208" s="2" t="s">
        <v>8</v>
      </c>
      <c r="C208" s="17" t="str">
        <f>IF($A208="","",IF(VLOOKUP($A208,Spiele!$A$2:$D$15,3,FALSE)=$B208,"H","G"))</f>
        <v>G</v>
      </c>
      <c r="D208" s="17" t="str">
        <f>IF($B208="","",IF(VLOOKUP($A208,Spiele!$A$2:$F$15,3,FALSE)=$B208,VLOOKUP($A208,Spiele!$A$2:$F$15,4,FALSE),VLOOKUP($A208,Spiele!$A$2:$F$15,3,FALSE)))</f>
        <v>SSV</v>
      </c>
      <c r="E208" s="18">
        <f>IF(Abschlüsse[[#This Row],[Ergeb]]="ET",0,COUNTIFS($A$2:$A208,$A208,$B$2:$B208,$B208,$L$2:$L208,"&lt;&gt;ET"))</f>
        <v>10</v>
      </c>
      <c r="F208" s="11">
        <v>42</v>
      </c>
      <c r="G208" s="12">
        <v>2</v>
      </c>
      <c r="H208" s="18">
        <f>COUNTIFS('Rote Karten'!$A$2:$A$4,$A208,'Rote Karten'!$D$2:$D$4,"&lt;&gt;"&amp;$B208,'Rote Karten'!$B$2:$B$4,"&lt;"&amp;$F208,'Rote Karten'!$C$2:$C$4,"&lt;="&amp;$G208)-COUNTIFS('Rote Karten'!$A$2:$A$4,$A208,'Rote Karten'!$D$2:$D$4,$B208,'Rote Karten'!$B$2:$B$4,"&lt;"&amp;$F208,'Rote Karten'!$C$2:$C$4,"&lt;="&amp;$G208)</f>
        <v>0</v>
      </c>
      <c r="I208" s="17" t="str">
        <f>IF(OR($L208="Tor",$L208="ET"),_xlfn.IFNA(IF(VLOOKUP($A208,Spiele!$A$2:$C$15,3,FALSE)=$B208,COUNTIFS($L$2:$L208,"Tor",$B$2:$B208,$B208,$A$2:$A208,$A208)+COUNTIFS($L$2:$L208,"ET",$B$2:$B208,$B208,$A$2:$A208,$A208)&amp;":"&amp;COUNTIFS($L$2:$L208,"Tor",$B$2:$B208,"&lt;&gt;"&amp;$B208,$A$2:$A208,$A208)+COUNTIFS($L$2:$L208,"ET",$B$2:$B208,"&lt;&gt;"&amp;$B208,$A$2:$A208,$A208),COUNTIFS($L$2:$L208,"Tor",$B$2:$B208,"&lt;&gt;"&amp;$B208,$A$2:$A208,$A208)+COUNTIFS($L$2:$L208,"ET",$B$2:$B208,"&lt;&gt;"&amp;$B208,$A$2:$A208,$A208)&amp;":"&amp;COUNTIFS($L$2:$L208,"Tor",$B$2:$B208,$B208,$A$2:$A208,$A208)+COUNTIFS($L$2:$L208,"ET",$B$2:$B208,$B208,$A$2:$A208,$A208)),""),"")</f>
        <v>1:3</v>
      </c>
      <c r="J208" s="18">
        <f>_xlfn.IFNA(IF(VLOOKUP($A208,Spiele!$A$2:$D$15,3,FALSE)=$B208,(COUNTIFS($L$1:$L207,"Tor",$B$1:$B207,$B208,$A$1:$A207,$A208)+COUNTIFS($L$1:$L207,"ET",$B$1:$B207,$B208,$A$1:$A207,$A208))-(COUNTIFS($L$1:$L207,"Tor",$B$1:$B207,"&lt;&gt;"&amp;$B208,$A$1:$A207,$A208)+COUNTIFS($L$1:$L207,"ET",$B$1:$B207,"&lt;&gt;"&amp;$B208,$A$1:$A207,$A208)),(COUNTIFS($L$1:$L207,"Tor",$B$1:$B207,$B208,$A$1:$A207,$A208)+COUNTIFS($L$1:$L207,"ET",$B$1:$B207,$B208,$A$1:$A207,$A208))-(COUNTIFS($L$1:$L207,"Tor",$B$1:$B207,"&lt;&gt;"&amp;$B208,$A$1:$A207,$A208)+COUNTIFS($L$1:$L207,"ET",$B$1:$B207,"&lt;&gt;"&amp;$B208,$A$1:$A207,$A208))),"")</f>
        <v>1</v>
      </c>
      <c r="K208" s="3">
        <v>12</v>
      </c>
      <c r="L208" s="17" t="s">
        <v>0</v>
      </c>
      <c r="M208" s="2" t="s">
        <v>163</v>
      </c>
      <c r="N208" s="2" t="s">
        <v>164</v>
      </c>
      <c r="O208" s="2">
        <v>10</v>
      </c>
      <c r="X208" s="2" t="s">
        <v>151</v>
      </c>
      <c r="Y208" s="17" t="s">
        <v>143</v>
      </c>
      <c r="Z208" s="14" t="s">
        <v>150</v>
      </c>
      <c r="AA208" s="14" t="s">
        <v>145</v>
      </c>
      <c r="AB208" s="18">
        <v>27</v>
      </c>
      <c r="AC208" s="13">
        <v>-10</v>
      </c>
      <c r="AD208" s="13">
        <v>8</v>
      </c>
      <c r="AE208" s="19">
        <f t="shared" si="12"/>
        <v>10.207624601247835</v>
      </c>
      <c r="AF208" s="19">
        <f t="shared" si="13"/>
        <v>21.247736920309759</v>
      </c>
      <c r="AG208" s="2" t="s">
        <v>146</v>
      </c>
      <c r="AH208" s="13">
        <v>-3.5</v>
      </c>
      <c r="AI208" s="13">
        <v>1</v>
      </c>
      <c r="AJ208" s="19">
        <f>IF(Abschlüsse[[#This Row],[Ergeb]]="ET","",SQRT(($AC208-$AH208)^2+($AD208-$AI208)^2))</f>
        <v>9.5524865872713995</v>
      </c>
      <c r="AK208" s="3">
        <v>2</v>
      </c>
      <c r="AL208" s="13">
        <v>-10</v>
      </c>
      <c r="AM208" s="13">
        <v>9</v>
      </c>
      <c r="AN208" s="19">
        <f t="shared" si="14"/>
        <v>1</v>
      </c>
      <c r="AO208" s="3">
        <v>0</v>
      </c>
      <c r="AR208" s="19" t="str">
        <f t="shared" si="15"/>
        <v/>
      </c>
    </row>
    <row r="209" spans="1:44" ht="25.05" customHeight="1">
      <c r="A209" s="3">
        <v>8</v>
      </c>
      <c r="B209" s="2" t="s">
        <v>51</v>
      </c>
      <c r="C209" s="17" t="str">
        <f>IF($A209="","",IF(VLOOKUP($A209,Spiele!$A$2:$D$15,3,FALSE)=$B209,"H","G"))</f>
        <v>H</v>
      </c>
      <c r="D209" s="17" t="str">
        <f>IF($B209="","",IF(VLOOKUP($A209,Spiele!$A$2:$F$15,3,FALSE)=$B209,VLOOKUP($A209,Spiele!$A$2:$F$15,4,FALSE),VLOOKUP($A209,Spiele!$A$2:$F$15,3,FALSE)))</f>
        <v>FCN</v>
      </c>
      <c r="E209" s="18">
        <f>IF(Abschlüsse[[#This Row],[Ergeb]]="ET",0,COUNTIFS($A$2:$A209,$A209,$B$2:$B209,$B209,$L$2:$L209,"&lt;&gt;ET"))</f>
        <v>5</v>
      </c>
      <c r="F209" s="11">
        <v>46</v>
      </c>
      <c r="G209" s="12">
        <v>2</v>
      </c>
      <c r="H209" s="18">
        <f>COUNTIFS('Rote Karten'!$A$2:$A$4,$A209,'Rote Karten'!$D$2:$D$4,"&lt;&gt;"&amp;$B209,'Rote Karten'!$B$2:$B$4,"&lt;"&amp;$F209,'Rote Karten'!$C$2:$C$4,"&lt;="&amp;$G209)-COUNTIFS('Rote Karten'!$A$2:$A$4,$A209,'Rote Karten'!$D$2:$D$4,$B209,'Rote Karten'!$B$2:$B$4,"&lt;"&amp;$F209,'Rote Karten'!$C$2:$C$4,"&lt;="&amp;$G209)</f>
        <v>0</v>
      </c>
      <c r="I209" s="17" t="str">
        <f>IF(OR($L209="Tor",$L209="ET"),_xlfn.IFNA(IF(VLOOKUP($A209,Spiele!$A$2:$C$15,3,FALSE)=$B209,COUNTIFS($L$2:$L209,"Tor",$B$2:$B209,$B209,$A$2:$A209,$A209)+COUNTIFS($L$2:$L209,"ET",$B$2:$B209,$B209,$A$2:$A209,$A209)&amp;":"&amp;COUNTIFS($L$2:$L209,"Tor",$B$2:$B209,"&lt;&gt;"&amp;$B209,$A$2:$A209,$A209)+COUNTIFS($L$2:$L209,"ET",$B$2:$B209,"&lt;&gt;"&amp;$B209,$A$2:$A209,$A209),COUNTIFS($L$2:$L209,"Tor",$B$2:$B209,"&lt;&gt;"&amp;$B209,$A$2:$A209,$A209)+COUNTIFS($L$2:$L209,"ET",$B$2:$B209,"&lt;&gt;"&amp;$B209,$A$2:$A209,$A209)&amp;":"&amp;COUNTIFS($L$2:$L209,"Tor",$B$2:$B209,$B209,$A$2:$A209,$A209)+COUNTIFS($L$2:$L209,"ET",$B$2:$B209,$B209,$A$2:$A209,$A209)),""),"")</f>
        <v/>
      </c>
      <c r="J209" s="18">
        <f>_xlfn.IFNA(IF(VLOOKUP($A209,Spiele!$A$2:$D$15,3,FALSE)=$B209,(COUNTIFS($L$1:$L208,"Tor",$B$1:$B208,$B209,$A$1:$A208,$A209)+COUNTIFS($L$1:$L208,"ET",$B$1:$B208,$B209,$A$1:$A208,$A209))-(COUNTIFS($L$1:$L208,"Tor",$B$1:$B208,"&lt;&gt;"&amp;$B209,$A$1:$A208,$A209)+COUNTIFS($L$1:$L208,"ET",$B$1:$B208,"&lt;&gt;"&amp;$B209,$A$1:$A208,$A209)),(COUNTIFS($L$1:$L208,"Tor",$B$1:$B208,$B209,$A$1:$A208,$A209)+COUNTIFS($L$1:$L208,"ET",$B$1:$B208,$B209,$A$1:$A208,$A209))-(COUNTIFS($L$1:$L208,"Tor",$B$1:$B208,"&lt;&gt;"&amp;$B209,$A$1:$A208,$A209)+COUNTIFS($L$1:$L208,"ET",$B$1:$B208,"&lt;&gt;"&amp;$B209,$A$1:$A208,$A209))),"")</f>
        <v>-2</v>
      </c>
      <c r="K209" s="3">
        <v>13</v>
      </c>
      <c r="L209" s="17" t="s">
        <v>19</v>
      </c>
      <c r="M209" s="2" t="s">
        <v>157</v>
      </c>
      <c r="N209" s="2" t="s">
        <v>3</v>
      </c>
      <c r="X209" s="2" t="s">
        <v>141</v>
      </c>
      <c r="Y209" s="17" t="s">
        <v>149</v>
      </c>
      <c r="Z209" s="14" t="s">
        <v>144</v>
      </c>
      <c r="AA209" s="14" t="s">
        <v>156</v>
      </c>
      <c r="AB209" s="18"/>
      <c r="AC209" s="13">
        <v>7</v>
      </c>
      <c r="AD209" s="13">
        <v>14</v>
      </c>
      <c r="AE209" s="19">
        <f t="shared" si="12"/>
        <v>14.392901027937349</v>
      </c>
      <c r="AF209" s="19">
        <f t="shared" si="13"/>
        <v>23.868366629530648</v>
      </c>
      <c r="AG209" s="2" t="s">
        <v>146</v>
      </c>
      <c r="AH209" s="13">
        <v>1</v>
      </c>
      <c r="AI209" s="13">
        <v>1</v>
      </c>
      <c r="AJ209" s="19">
        <f>IF(Abschlüsse[[#This Row],[Ergeb]]="ET","",SQRT(($AC209-$AH209)^2+($AD209-$AI209)^2))</f>
        <v>14.317821063276353</v>
      </c>
      <c r="AK209" s="3">
        <v>2</v>
      </c>
      <c r="AL209" s="13">
        <v>10.5</v>
      </c>
      <c r="AM209" s="13">
        <v>14</v>
      </c>
      <c r="AN209" s="19">
        <f t="shared" si="14"/>
        <v>3.5</v>
      </c>
      <c r="AO209" s="3">
        <v>1</v>
      </c>
      <c r="AP209" s="13">
        <v>1</v>
      </c>
      <c r="AQ209" s="13">
        <v>6.5</v>
      </c>
      <c r="AR209" s="19">
        <f t="shared" si="15"/>
        <v>9.6046863561492728</v>
      </c>
    </row>
    <row r="210" spans="1:44" ht="25.05" customHeight="1">
      <c r="A210" s="3">
        <v>8</v>
      </c>
      <c r="B210" s="2" t="s">
        <v>51</v>
      </c>
      <c r="C210" s="17" t="str">
        <f>IF($A210="","",IF(VLOOKUP($A210,Spiele!$A$2:$D$15,3,FALSE)=$B210,"H","G"))</f>
        <v>H</v>
      </c>
      <c r="D210" s="17" t="str">
        <f>IF($B210="","",IF(VLOOKUP($A210,Spiele!$A$2:$F$15,3,FALSE)=$B210,VLOOKUP($A210,Spiele!$A$2:$F$15,4,FALSE),VLOOKUP($A210,Spiele!$A$2:$F$15,3,FALSE)))</f>
        <v>FCN</v>
      </c>
      <c r="E210" s="18">
        <f>IF(Abschlüsse[[#This Row],[Ergeb]]="ET",0,COUNTIFS($A$2:$A210,$A210,$B$2:$B210,$B210,$L$2:$L210,"&lt;&gt;ET"))</f>
        <v>6</v>
      </c>
      <c r="F210" s="11">
        <v>46</v>
      </c>
      <c r="G210" s="12">
        <v>2</v>
      </c>
      <c r="H210" s="18">
        <f>COUNTIFS('Rote Karten'!$A$2:$A$4,$A210,'Rote Karten'!$D$2:$D$4,"&lt;&gt;"&amp;$B210,'Rote Karten'!$B$2:$B$4,"&lt;"&amp;$F210,'Rote Karten'!$C$2:$C$4,"&lt;="&amp;$G210)-COUNTIFS('Rote Karten'!$A$2:$A$4,$A210,'Rote Karten'!$D$2:$D$4,$B210,'Rote Karten'!$B$2:$B$4,"&lt;"&amp;$F210,'Rote Karten'!$C$2:$C$4,"&lt;="&amp;$G210)</f>
        <v>0</v>
      </c>
      <c r="I210" s="17" t="str">
        <f>IF(OR($L210="Tor",$L210="ET"),_xlfn.IFNA(IF(VLOOKUP($A210,Spiele!$A$2:$C$15,3,FALSE)=$B210,COUNTIFS($L$2:$L210,"Tor",$B$2:$B210,$B210,$A$2:$A210,$A210)+COUNTIFS($L$2:$L210,"ET",$B$2:$B210,$B210,$A$2:$A210,$A210)&amp;":"&amp;COUNTIFS($L$2:$L210,"Tor",$B$2:$B210,"&lt;&gt;"&amp;$B210,$A$2:$A210,$A210)+COUNTIFS($L$2:$L210,"ET",$B$2:$B210,"&lt;&gt;"&amp;$B210,$A$2:$A210,$A210),COUNTIFS($L$2:$L210,"Tor",$B$2:$B210,"&lt;&gt;"&amp;$B210,$A$2:$A210,$A210)+COUNTIFS($L$2:$L210,"ET",$B$2:$B210,"&lt;&gt;"&amp;$B210,$A$2:$A210,$A210)&amp;":"&amp;COUNTIFS($L$2:$L210,"Tor",$B$2:$B210,$B210,$A$2:$A210,$A210)+COUNTIFS($L$2:$L210,"ET",$B$2:$B210,$B210,$A$2:$A210,$A210)),""),"")</f>
        <v/>
      </c>
      <c r="J210" s="18">
        <f>_xlfn.IFNA(IF(VLOOKUP($A210,Spiele!$A$2:$D$15,3,FALSE)=$B210,(COUNTIFS($L$1:$L209,"Tor",$B$1:$B209,$B210,$A$1:$A209,$A210)+COUNTIFS($L$1:$L209,"ET",$B$1:$B209,$B210,$A$1:$A209,$A210))-(COUNTIFS($L$1:$L209,"Tor",$B$1:$B209,"&lt;&gt;"&amp;$B210,$A$1:$A209,$A210)+COUNTIFS($L$1:$L209,"ET",$B$1:$B209,"&lt;&gt;"&amp;$B210,$A$1:$A209,$A210)),(COUNTIFS($L$1:$L209,"Tor",$B$1:$B209,$B210,$A$1:$A209,$A210)+COUNTIFS($L$1:$L209,"ET",$B$1:$B209,$B210,$A$1:$A209,$A210))-(COUNTIFS($L$1:$L209,"Tor",$B$1:$B209,"&lt;&gt;"&amp;$B210,$A$1:$A209,$A210)+COUNTIFS($L$1:$L209,"ET",$B$1:$B209,"&lt;&gt;"&amp;$B210,$A$1:$A209,$A210))),"")</f>
        <v>-2</v>
      </c>
      <c r="K210" s="3">
        <v>13</v>
      </c>
      <c r="L210" s="17" t="s">
        <v>19</v>
      </c>
      <c r="M210" s="2" t="s">
        <v>157</v>
      </c>
      <c r="N210" s="2" t="s">
        <v>165</v>
      </c>
      <c r="X210" s="2" t="s">
        <v>141</v>
      </c>
      <c r="Y210" s="17" t="s">
        <v>149</v>
      </c>
      <c r="Z210" s="14" t="s">
        <v>144</v>
      </c>
      <c r="AA210" s="14" t="s">
        <v>156</v>
      </c>
      <c r="AB210" s="18"/>
      <c r="AC210" s="13">
        <v>1.5</v>
      </c>
      <c r="AD210" s="13">
        <v>16</v>
      </c>
      <c r="AE210" s="19">
        <f t="shared" si="12"/>
        <v>16</v>
      </c>
      <c r="AF210" s="19">
        <f t="shared" si="13"/>
        <v>25.562959137153186</v>
      </c>
      <c r="AG210" s="2" t="s">
        <v>146</v>
      </c>
      <c r="AH210" s="13">
        <v>0</v>
      </c>
      <c r="AI210" s="13">
        <v>1</v>
      </c>
      <c r="AJ210" s="19">
        <f>IF(Abschlüsse[[#This Row],[Ergeb]]="ET","",SQRT(($AC210-$AH210)^2+($AD210-$AI210)^2))</f>
        <v>15.074813431681335</v>
      </c>
      <c r="AK210" s="3">
        <v>1</v>
      </c>
      <c r="AL210" s="13">
        <v>4.5</v>
      </c>
      <c r="AM210" s="13">
        <v>15.5</v>
      </c>
      <c r="AN210" s="19">
        <f t="shared" si="14"/>
        <v>3.0413812651491097</v>
      </c>
      <c r="AO210" s="3">
        <v>2</v>
      </c>
      <c r="AP210" s="13">
        <v>1</v>
      </c>
      <c r="AQ210" s="13">
        <v>14</v>
      </c>
      <c r="AR210" s="19">
        <f t="shared" si="15"/>
        <v>2.0615528128088303</v>
      </c>
    </row>
    <row r="211" spans="1:44" ht="25.05" customHeight="1">
      <c r="A211" s="3">
        <v>8</v>
      </c>
      <c r="B211" s="2" t="s">
        <v>51</v>
      </c>
      <c r="C211" s="17" t="str">
        <f>IF($A211="","",IF(VLOOKUP($A211,Spiele!$A$2:$D$15,3,FALSE)=$B211,"H","G"))</f>
        <v>H</v>
      </c>
      <c r="D211" s="17" t="str">
        <f>IF($B211="","",IF(VLOOKUP($A211,Spiele!$A$2:$F$15,3,FALSE)=$B211,VLOOKUP($A211,Spiele!$A$2:$F$15,4,FALSE),VLOOKUP($A211,Spiele!$A$2:$F$15,3,FALSE)))</f>
        <v>FCN</v>
      </c>
      <c r="E211" s="18">
        <f>IF(Abschlüsse[[#This Row],[Ergeb]]="ET",0,COUNTIFS($A$2:$A211,$A211,$B$2:$B211,$B211,$L$2:$L211,"&lt;&gt;ET"))</f>
        <v>7</v>
      </c>
      <c r="F211" s="11">
        <v>46</v>
      </c>
      <c r="G211" s="12">
        <v>2</v>
      </c>
      <c r="H211" s="18">
        <f>COUNTIFS('Rote Karten'!$A$2:$A$4,$A211,'Rote Karten'!$D$2:$D$4,"&lt;&gt;"&amp;$B211,'Rote Karten'!$B$2:$B$4,"&lt;"&amp;$F211,'Rote Karten'!$C$2:$C$4,"&lt;="&amp;$G211)-COUNTIFS('Rote Karten'!$A$2:$A$4,$A211,'Rote Karten'!$D$2:$D$4,$B211,'Rote Karten'!$B$2:$B$4,"&lt;"&amp;$F211,'Rote Karten'!$C$2:$C$4,"&lt;="&amp;$G211)</f>
        <v>0</v>
      </c>
      <c r="I211" s="17" t="str">
        <f>IF(OR($L211="Tor",$L211="ET"),_xlfn.IFNA(IF(VLOOKUP($A211,Spiele!$A$2:$C$15,3,FALSE)=$B211,COUNTIFS($L$2:$L211,"Tor",$B$2:$B211,$B211,$A$2:$A211,$A211)+COUNTIFS($L$2:$L211,"ET",$B$2:$B211,$B211,$A$2:$A211,$A211)&amp;":"&amp;COUNTIFS($L$2:$L211,"Tor",$B$2:$B211,"&lt;&gt;"&amp;$B211,$A$2:$A211,$A211)+COUNTIFS($L$2:$L211,"ET",$B$2:$B211,"&lt;&gt;"&amp;$B211,$A$2:$A211,$A211),COUNTIFS($L$2:$L211,"Tor",$B$2:$B211,"&lt;&gt;"&amp;$B211,$A$2:$A211,$A211)+COUNTIFS($L$2:$L211,"ET",$B$2:$B211,"&lt;&gt;"&amp;$B211,$A$2:$A211,$A211)&amp;":"&amp;COUNTIFS($L$2:$L211,"Tor",$B$2:$B211,$B211,$A$2:$A211,$A211)+COUNTIFS($L$2:$L211,"ET",$B$2:$B211,$B211,$A$2:$A211,$A211)),""),"")</f>
        <v/>
      </c>
      <c r="J211" s="18">
        <f>_xlfn.IFNA(IF(VLOOKUP($A211,Spiele!$A$2:$D$15,3,FALSE)=$B211,(COUNTIFS($L$1:$L210,"Tor",$B$1:$B210,$B211,$A$1:$A210,$A211)+COUNTIFS($L$1:$L210,"ET",$B$1:$B210,$B211,$A$1:$A210,$A211))-(COUNTIFS($L$1:$L210,"Tor",$B$1:$B210,"&lt;&gt;"&amp;$B211,$A$1:$A210,$A211)+COUNTIFS($L$1:$L210,"ET",$B$1:$B210,"&lt;&gt;"&amp;$B211,$A$1:$A210,$A211)),(COUNTIFS($L$1:$L210,"Tor",$B$1:$B210,$B211,$A$1:$A210,$A211)+COUNTIFS($L$1:$L210,"ET",$B$1:$B210,$B211,$A$1:$A210,$A211))-(COUNTIFS($L$1:$L210,"Tor",$B$1:$B210,"&lt;&gt;"&amp;$B211,$A$1:$A210,$A211)+COUNTIFS($L$1:$L210,"ET",$B$1:$B210,"&lt;&gt;"&amp;$B211,$A$1:$A210,$A211))),"")</f>
        <v>-2</v>
      </c>
      <c r="K211" s="3">
        <v>13</v>
      </c>
      <c r="L211" s="17" t="s">
        <v>19</v>
      </c>
      <c r="M211" s="2" t="s">
        <v>157</v>
      </c>
      <c r="N211" s="2" t="s">
        <v>165</v>
      </c>
      <c r="X211" s="2" t="s">
        <v>151</v>
      </c>
      <c r="Y211" s="17" t="s">
        <v>143</v>
      </c>
      <c r="Z211" s="14" t="s">
        <v>150</v>
      </c>
      <c r="AA211" s="14" t="s">
        <v>145</v>
      </c>
      <c r="AB211" s="18"/>
      <c r="AC211" s="13">
        <v>3</v>
      </c>
      <c r="AD211" s="13">
        <v>14</v>
      </c>
      <c r="AE211" s="19">
        <f t="shared" si="12"/>
        <v>14</v>
      </c>
      <c r="AF211" s="19">
        <f t="shared" si="13"/>
        <v>28.140188848686396</v>
      </c>
      <c r="AG211" s="2" t="s">
        <v>146</v>
      </c>
      <c r="AH211" s="13">
        <v>0.5</v>
      </c>
      <c r="AI211" s="13">
        <v>0.5</v>
      </c>
      <c r="AJ211" s="19">
        <f>IF(Abschlüsse[[#This Row],[Ergeb]]="ET","",SQRT(($AC211-$AH211)^2+($AD211-$AI211)^2))</f>
        <v>13.729530217745982</v>
      </c>
      <c r="AK211" s="3">
        <v>1</v>
      </c>
      <c r="AL211" s="13">
        <v>1</v>
      </c>
      <c r="AM211" s="13">
        <v>15</v>
      </c>
      <c r="AN211" s="19">
        <f t="shared" si="14"/>
        <v>2.2360679774997898</v>
      </c>
      <c r="AO211" s="3">
        <v>2</v>
      </c>
      <c r="AP211" s="13">
        <v>2</v>
      </c>
      <c r="AQ211" s="13">
        <v>13</v>
      </c>
      <c r="AR211" s="19">
        <f t="shared" si="15"/>
        <v>1.4142135623730951</v>
      </c>
    </row>
    <row r="212" spans="1:44" ht="25.05" customHeight="1">
      <c r="A212" s="3">
        <v>8</v>
      </c>
      <c r="B212" s="2" t="s">
        <v>8</v>
      </c>
      <c r="C212" s="17" t="str">
        <f>IF($A212="","",IF(VLOOKUP($A212,Spiele!$A$2:$D$15,3,FALSE)=$B212,"H","G"))</f>
        <v>G</v>
      </c>
      <c r="D212" s="17" t="str">
        <f>IF($B212="","",IF(VLOOKUP($A212,Spiele!$A$2:$F$15,3,FALSE)=$B212,VLOOKUP($A212,Spiele!$A$2:$F$15,4,FALSE),VLOOKUP($A212,Spiele!$A$2:$F$15,3,FALSE)))</f>
        <v>SSV</v>
      </c>
      <c r="E212" s="18">
        <f>IF(Abschlüsse[[#This Row],[Ergeb]]="ET",0,COUNTIFS($A$2:$A212,$A212,$B$2:$B212,$B212,$L$2:$L212,"&lt;&gt;ET"))</f>
        <v>11</v>
      </c>
      <c r="F212" s="11">
        <v>49</v>
      </c>
      <c r="G212" s="12">
        <v>2</v>
      </c>
      <c r="H212" s="18">
        <f>COUNTIFS('Rote Karten'!$A$2:$A$4,$A212,'Rote Karten'!$D$2:$D$4,"&lt;&gt;"&amp;$B212,'Rote Karten'!$B$2:$B$4,"&lt;"&amp;$F212,'Rote Karten'!$C$2:$C$4,"&lt;="&amp;$G212)-COUNTIFS('Rote Karten'!$A$2:$A$4,$A212,'Rote Karten'!$D$2:$D$4,$B212,'Rote Karten'!$B$2:$B$4,"&lt;"&amp;$F212,'Rote Karten'!$C$2:$C$4,"&lt;="&amp;$G212)</f>
        <v>0</v>
      </c>
      <c r="I212" s="17" t="str">
        <f>IF(OR($L212="Tor",$L212="ET"),_xlfn.IFNA(IF(VLOOKUP($A212,Spiele!$A$2:$C$15,3,FALSE)=$B212,COUNTIFS($L$2:$L212,"Tor",$B$2:$B212,$B212,$A$2:$A212,$A212)+COUNTIFS($L$2:$L212,"ET",$B$2:$B212,$B212,$A$2:$A212,$A212)&amp;":"&amp;COUNTIFS($L$2:$L212,"Tor",$B$2:$B212,"&lt;&gt;"&amp;$B212,$A$2:$A212,$A212)+COUNTIFS($L$2:$L212,"ET",$B$2:$B212,"&lt;&gt;"&amp;$B212,$A$2:$A212,$A212),COUNTIFS($L$2:$L212,"Tor",$B$2:$B212,"&lt;&gt;"&amp;$B212,$A$2:$A212,$A212)+COUNTIFS($L$2:$L212,"ET",$B$2:$B212,"&lt;&gt;"&amp;$B212,$A$2:$A212,$A212)&amp;":"&amp;COUNTIFS($L$2:$L212,"Tor",$B$2:$B212,$B212,$A$2:$A212,$A212)+COUNTIFS($L$2:$L212,"ET",$B$2:$B212,$B212,$A$2:$A212,$A212)),""),"")</f>
        <v/>
      </c>
      <c r="J212" s="18">
        <f>_xlfn.IFNA(IF(VLOOKUP($A212,Spiele!$A$2:$D$15,3,FALSE)=$B212,(COUNTIFS($L$1:$L211,"Tor",$B$1:$B211,$B212,$A$1:$A211,$A212)+COUNTIFS($L$1:$L211,"ET",$B$1:$B211,$B212,$A$1:$A211,$A212))-(COUNTIFS($L$1:$L211,"Tor",$B$1:$B211,"&lt;&gt;"&amp;$B212,$A$1:$A211,$A212)+COUNTIFS($L$1:$L211,"ET",$B$1:$B211,"&lt;&gt;"&amp;$B212,$A$1:$A211,$A212)),(COUNTIFS($L$1:$L211,"Tor",$B$1:$B211,$B212,$A$1:$A211,$A212)+COUNTIFS($L$1:$L211,"ET",$B$1:$B211,$B212,$A$1:$A211,$A212))-(COUNTIFS($L$1:$L211,"Tor",$B$1:$B211,"&lt;&gt;"&amp;$B212,$A$1:$A211,$A212)+COUNTIFS($L$1:$L211,"ET",$B$1:$B211,"&lt;&gt;"&amp;$B212,$A$1:$A211,$A212))),"")</f>
        <v>2</v>
      </c>
      <c r="K212" s="3">
        <v>14</v>
      </c>
      <c r="L212" s="17" t="s">
        <v>18</v>
      </c>
      <c r="M212" s="2" t="s">
        <v>174</v>
      </c>
      <c r="X212" s="2" t="s">
        <v>142</v>
      </c>
      <c r="Y212" s="17" t="s">
        <v>143</v>
      </c>
      <c r="Z212" s="14" t="s">
        <v>150</v>
      </c>
      <c r="AA212" s="14" t="s">
        <v>145</v>
      </c>
      <c r="AB212" s="18">
        <v>8</v>
      </c>
      <c r="AC212" s="13">
        <v>-8</v>
      </c>
      <c r="AD212" s="13">
        <v>21.5</v>
      </c>
      <c r="AE212" s="19">
        <f t="shared" si="12"/>
        <v>21.933663624666082</v>
      </c>
      <c r="AF212" s="19">
        <f t="shared" si="13"/>
        <v>17.059716863006322</v>
      </c>
      <c r="AG212" s="2" t="s">
        <v>146</v>
      </c>
      <c r="AH212" s="13">
        <v>0.5</v>
      </c>
      <c r="AI212" s="13">
        <v>0.5</v>
      </c>
      <c r="AJ212" s="19">
        <f>IF(Abschlüsse[[#This Row],[Ergeb]]="ET","",SQRT(($AC212-$AH212)^2+($AD212-$AI212)^2))</f>
        <v>22.655021518418383</v>
      </c>
      <c r="AK212" s="3">
        <v>0</v>
      </c>
      <c r="AL212" s="13"/>
      <c r="AM212" s="13"/>
      <c r="AN212" s="19" t="str">
        <f t="shared" si="14"/>
        <v/>
      </c>
      <c r="AO212" s="3">
        <v>4</v>
      </c>
      <c r="AP212" s="13">
        <v>-5</v>
      </c>
      <c r="AQ212" s="13">
        <v>14.5</v>
      </c>
      <c r="AR212" s="19">
        <f t="shared" si="15"/>
        <v>7.6157731058639087</v>
      </c>
    </row>
    <row r="213" spans="1:44" ht="25.05" customHeight="1">
      <c r="A213" s="3">
        <v>8</v>
      </c>
      <c r="B213" s="2" t="s">
        <v>51</v>
      </c>
      <c r="C213" s="17" t="str">
        <f>IF($A213="","",IF(VLOOKUP($A213,Spiele!$A$2:$D$15,3,FALSE)=$B213,"H","G"))</f>
        <v>H</v>
      </c>
      <c r="D213" s="17" t="str">
        <f>IF($B213="","",IF(VLOOKUP($A213,Spiele!$A$2:$F$15,3,FALSE)=$B213,VLOOKUP($A213,Spiele!$A$2:$F$15,4,FALSE),VLOOKUP($A213,Spiele!$A$2:$F$15,3,FALSE)))</f>
        <v>FCN</v>
      </c>
      <c r="E213" s="18">
        <f>IF(Abschlüsse[[#This Row],[Ergeb]]="ET",0,COUNTIFS($A$2:$A213,$A213,$B$2:$B213,$B213,$L$2:$L213,"&lt;&gt;ET"))</f>
        <v>8</v>
      </c>
      <c r="F213" s="11">
        <v>50</v>
      </c>
      <c r="G213" s="12">
        <v>2</v>
      </c>
      <c r="H213" s="18">
        <f>COUNTIFS('Rote Karten'!$A$2:$A$4,$A213,'Rote Karten'!$D$2:$D$4,"&lt;&gt;"&amp;$B213,'Rote Karten'!$B$2:$B$4,"&lt;"&amp;$F213,'Rote Karten'!$C$2:$C$4,"&lt;="&amp;$G213)-COUNTIFS('Rote Karten'!$A$2:$A$4,$A213,'Rote Karten'!$D$2:$D$4,$B213,'Rote Karten'!$B$2:$B$4,"&lt;"&amp;$F213,'Rote Karten'!$C$2:$C$4,"&lt;="&amp;$G213)</f>
        <v>0</v>
      </c>
      <c r="I213" s="17" t="str">
        <f>IF(OR($L213="Tor",$L213="ET"),_xlfn.IFNA(IF(VLOOKUP($A213,Spiele!$A$2:$C$15,3,FALSE)=$B213,COUNTIFS($L$2:$L213,"Tor",$B$2:$B213,$B213,$A$2:$A213,$A213)+COUNTIFS($L$2:$L213,"ET",$B$2:$B213,$B213,$A$2:$A213,$A213)&amp;":"&amp;COUNTIFS($L$2:$L213,"Tor",$B$2:$B213,"&lt;&gt;"&amp;$B213,$A$2:$A213,$A213)+COUNTIFS($L$2:$L213,"ET",$B$2:$B213,"&lt;&gt;"&amp;$B213,$A$2:$A213,$A213),COUNTIFS($L$2:$L213,"Tor",$B$2:$B213,"&lt;&gt;"&amp;$B213,$A$2:$A213,$A213)+COUNTIFS($L$2:$L213,"ET",$B$2:$B213,"&lt;&gt;"&amp;$B213,$A$2:$A213,$A213)&amp;":"&amp;COUNTIFS($L$2:$L213,"Tor",$B$2:$B213,$B213,$A$2:$A213,$A213)+COUNTIFS($L$2:$L213,"ET",$B$2:$B213,$B213,$A$2:$A213,$A213)),""),"")</f>
        <v/>
      </c>
      <c r="J213" s="18">
        <f>_xlfn.IFNA(IF(VLOOKUP($A213,Spiele!$A$2:$D$15,3,FALSE)=$B213,(COUNTIFS($L$1:$L212,"Tor",$B$1:$B212,$B213,$A$1:$A212,$A213)+COUNTIFS($L$1:$L212,"ET",$B$1:$B212,$B213,$A$1:$A212,$A213))-(COUNTIFS($L$1:$L212,"Tor",$B$1:$B212,"&lt;&gt;"&amp;$B213,$A$1:$A212,$A213)+COUNTIFS($L$1:$L212,"ET",$B$1:$B212,"&lt;&gt;"&amp;$B213,$A$1:$A212,$A213)),(COUNTIFS($L$1:$L212,"Tor",$B$1:$B212,$B213,$A$1:$A212,$A213)+COUNTIFS($L$1:$L212,"ET",$B$1:$B212,$B213,$A$1:$A212,$A213))-(COUNTIFS($L$1:$L212,"Tor",$B$1:$B212,"&lt;&gt;"&amp;$B213,$A$1:$A212,$A213)+COUNTIFS($L$1:$L212,"ET",$B$1:$B212,"&lt;&gt;"&amp;$B213,$A$1:$A212,$A213))),"")</f>
        <v>-2</v>
      </c>
      <c r="K213" s="3">
        <v>15</v>
      </c>
      <c r="L213" s="17" t="s">
        <v>18</v>
      </c>
      <c r="M213" s="2" t="s">
        <v>163</v>
      </c>
      <c r="N213" s="2" t="s">
        <v>153</v>
      </c>
      <c r="X213" s="2" t="s">
        <v>154</v>
      </c>
      <c r="Y213" s="17" t="s">
        <v>160</v>
      </c>
      <c r="Z213" s="14" t="s">
        <v>161</v>
      </c>
      <c r="AA213" s="14" t="s">
        <v>156</v>
      </c>
      <c r="AB213" s="18"/>
      <c r="AC213" s="13">
        <v>2.5</v>
      </c>
      <c r="AD213" s="13">
        <v>12</v>
      </c>
      <c r="AE213" s="19">
        <f t="shared" si="12"/>
        <v>12</v>
      </c>
      <c r="AF213" s="19">
        <f t="shared" si="13"/>
        <v>32.694377561564657</v>
      </c>
      <c r="AG213" s="2" t="s">
        <v>146</v>
      </c>
      <c r="AH213" s="13">
        <v>0.5</v>
      </c>
      <c r="AI213" s="13">
        <v>3</v>
      </c>
      <c r="AJ213" s="19">
        <f>IF(Abschlüsse[[#This Row],[Ergeb]]="ET","",SQRT(($AC213-$AH213)^2+($AD213-$AI213)^2))</f>
        <v>9.2195444572928871</v>
      </c>
      <c r="AK213" s="3">
        <v>2</v>
      </c>
      <c r="AL213" s="13">
        <v>5</v>
      </c>
      <c r="AM213" s="13">
        <v>12</v>
      </c>
      <c r="AN213" s="19">
        <f t="shared" si="14"/>
        <v>2.5</v>
      </c>
      <c r="AO213" s="3">
        <v>0</v>
      </c>
      <c r="AR213" s="19" t="str">
        <f t="shared" si="15"/>
        <v/>
      </c>
    </row>
    <row r="214" spans="1:44" ht="25.05" customHeight="1">
      <c r="A214" s="3">
        <v>8</v>
      </c>
      <c r="B214" s="2" t="s">
        <v>8</v>
      </c>
      <c r="C214" s="17" t="str">
        <f>IF($A214="","",IF(VLOOKUP($A214,Spiele!$A$2:$D$15,3,FALSE)=$B214,"H","G"))</f>
        <v>G</v>
      </c>
      <c r="D214" s="17" t="str">
        <f>IF($B214="","",IF(VLOOKUP($A214,Spiele!$A$2:$F$15,3,FALSE)=$B214,VLOOKUP($A214,Spiele!$A$2:$F$15,4,FALSE),VLOOKUP($A214,Spiele!$A$2:$F$15,3,FALSE)))</f>
        <v>SSV</v>
      </c>
      <c r="E214" s="18">
        <f>IF(Abschlüsse[[#This Row],[Ergeb]]="ET",0,COUNTIFS($A$2:$A214,$A214,$B$2:$B214,$B214,$L$2:$L214,"&lt;&gt;ET"))</f>
        <v>12</v>
      </c>
      <c r="F214" s="11">
        <v>54</v>
      </c>
      <c r="G214" s="12">
        <v>2</v>
      </c>
      <c r="H214" s="18">
        <f>COUNTIFS('Rote Karten'!$A$2:$A$4,$A214,'Rote Karten'!$D$2:$D$4,"&lt;&gt;"&amp;$B214,'Rote Karten'!$B$2:$B$4,"&lt;"&amp;$F214,'Rote Karten'!$C$2:$C$4,"&lt;="&amp;$G214)-COUNTIFS('Rote Karten'!$A$2:$A$4,$A214,'Rote Karten'!$D$2:$D$4,$B214,'Rote Karten'!$B$2:$B$4,"&lt;"&amp;$F214,'Rote Karten'!$C$2:$C$4,"&lt;="&amp;$G214)</f>
        <v>0</v>
      </c>
      <c r="I214" s="17" t="str">
        <f>IF(OR($L214="Tor",$L214="ET"),_xlfn.IFNA(IF(VLOOKUP($A214,Spiele!$A$2:$C$15,3,FALSE)=$B214,COUNTIFS($L$2:$L214,"Tor",$B$2:$B214,$B214,$A$2:$A214,$A214)+COUNTIFS($L$2:$L214,"ET",$B$2:$B214,$B214,$A$2:$A214,$A214)&amp;":"&amp;COUNTIFS($L$2:$L214,"Tor",$B$2:$B214,"&lt;&gt;"&amp;$B214,$A$2:$A214,$A214)+COUNTIFS($L$2:$L214,"ET",$B$2:$B214,"&lt;&gt;"&amp;$B214,$A$2:$A214,$A214),COUNTIFS($L$2:$L214,"Tor",$B$2:$B214,"&lt;&gt;"&amp;$B214,$A$2:$A214,$A214)+COUNTIFS($L$2:$L214,"ET",$B$2:$B214,"&lt;&gt;"&amp;$B214,$A$2:$A214,$A214)&amp;":"&amp;COUNTIFS($L$2:$L214,"Tor",$B$2:$B214,$B214,$A$2:$A214,$A214)+COUNTIFS($L$2:$L214,"ET",$B$2:$B214,$B214,$A$2:$A214,$A214)),""),"")</f>
        <v/>
      </c>
      <c r="J214" s="18">
        <f>_xlfn.IFNA(IF(VLOOKUP($A214,Spiele!$A$2:$D$15,3,FALSE)=$B214,(COUNTIFS($L$1:$L213,"Tor",$B$1:$B213,$B214,$A$1:$A213,$A214)+COUNTIFS($L$1:$L213,"ET",$B$1:$B213,$B214,$A$1:$A213,$A214))-(COUNTIFS($L$1:$L213,"Tor",$B$1:$B213,"&lt;&gt;"&amp;$B214,$A$1:$A213,$A214)+COUNTIFS($L$1:$L213,"ET",$B$1:$B213,"&lt;&gt;"&amp;$B214,$A$1:$A213,$A214)),(COUNTIFS($L$1:$L213,"Tor",$B$1:$B213,$B214,$A$1:$A213,$A214)+COUNTIFS($L$1:$L213,"ET",$B$1:$B213,$B214,$A$1:$A213,$A214))-(COUNTIFS($L$1:$L213,"Tor",$B$1:$B213,"&lt;&gt;"&amp;$B214,$A$1:$A213,$A214)+COUNTIFS($L$1:$L213,"ET",$B$1:$B213,"&lt;&gt;"&amp;$B214,$A$1:$A213,$A214))),"")</f>
        <v>2</v>
      </c>
      <c r="K214" s="3">
        <v>16</v>
      </c>
      <c r="L214" s="17" t="s">
        <v>20</v>
      </c>
      <c r="M214" s="2" t="s">
        <v>163</v>
      </c>
      <c r="N214" s="2" t="s">
        <v>164</v>
      </c>
      <c r="O214" s="2">
        <v>7</v>
      </c>
      <c r="X214" s="2" t="s">
        <v>151</v>
      </c>
      <c r="Y214" s="17" t="s">
        <v>149</v>
      </c>
      <c r="Z214" s="14" t="s">
        <v>150</v>
      </c>
      <c r="AA214" s="14" t="s">
        <v>156</v>
      </c>
      <c r="AB214" s="18">
        <v>10</v>
      </c>
      <c r="AC214" s="13">
        <v>12.5</v>
      </c>
      <c r="AD214" s="13">
        <v>16</v>
      </c>
      <c r="AE214" s="19">
        <f t="shared" si="12"/>
        <v>18.279649887237994</v>
      </c>
      <c r="AF214" s="19">
        <f t="shared" si="13"/>
        <v>16.364400935432283</v>
      </c>
      <c r="AG214" s="2" t="s">
        <v>146</v>
      </c>
      <c r="AH214" s="13">
        <v>3</v>
      </c>
      <c r="AI214" s="13">
        <v>2</v>
      </c>
      <c r="AJ214" s="19">
        <f>IF(Abschlüsse[[#This Row],[Ergeb]]="ET","",SQRT(($AC214-$AH214)^2+($AD214-$AI214)^2))</f>
        <v>16.918924315688631</v>
      </c>
      <c r="AK214" s="3">
        <v>1</v>
      </c>
      <c r="AL214" s="13">
        <v>13.5</v>
      </c>
      <c r="AM214" s="13">
        <v>13.5</v>
      </c>
      <c r="AN214" s="19">
        <f t="shared" si="14"/>
        <v>2.6925824035672519</v>
      </c>
      <c r="AO214" s="3">
        <v>1</v>
      </c>
      <c r="AP214" s="13">
        <v>6.5</v>
      </c>
      <c r="AQ214" s="13">
        <v>10.5</v>
      </c>
      <c r="AR214" s="19">
        <f t="shared" si="15"/>
        <v>8.1394102980498531</v>
      </c>
    </row>
    <row r="215" spans="1:44" ht="25.05" customHeight="1">
      <c r="A215" s="3">
        <v>8</v>
      </c>
      <c r="B215" s="2" t="s">
        <v>8</v>
      </c>
      <c r="C215" s="17" t="str">
        <f>IF($A215="","",IF(VLOOKUP($A215,Spiele!$A$2:$D$15,3,FALSE)=$B215,"H","G"))</f>
        <v>G</v>
      </c>
      <c r="D215" s="17" t="str">
        <f>IF($B215="","",IF(VLOOKUP($A215,Spiele!$A$2:$F$15,3,FALSE)=$B215,VLOOKUP($A215,Spiele!$A$2:$F$15,4,FALSE),VLOOKUP($A215,Spiele!$A$2:$F$15,3,FALSE)))</f>
        <v>SSV</v>
      </c>
      <c r="E215" s="18">
        <f>IF(Abschlüsse[[#This Row],[Ergeb]]="ET",0,COUNTIFS($A$2:$A215,$A215,$B$2:$B215,$B215,$L$2:$L215,"&lt;&gt;ET"))</f>
        <v>13</v>
      </c>
      <c r="F215" s="11">
        <v>57</v>
      </c>
      <c r="G215" s="12">
        <v>2</v>
      </c>
      <c r="H215" s="18">
        <f>COUNTIFS('Rote Karten'!$A$2:$A$4,$A215,'Rote Karten'!$D$2:$D$4,"&lt;&gt;"&amp;$B215,'Rote Karten'!$B$2:$B$4,"&lt;"&amp;$F215,'Rote Karten'!$C$2:$C$4,"&lt;="&amp;$G215)-COUNTIFS('Rote Karten'!$A$2:$A$4,$A215,'Rote Karten'!$D$2:$D$4,$B215,'Rote Karten'!$B$2:$B$4,"&lt;"&amp;$F215,'Rote Karten'!$C$2:$C$4,"&lt;="&amp;$G215)</f>
        <v>0</v>
      </c>
      <c r="I215" s="17" t="str">
        <f>IF(OR($L215="Tor",$L215="ET"),_xlfn.IFNA(IF(VLOOKUP($A215,Spiele!$A$2:$C$15,3,FALSE)=$B215,COUNTIFS($L$2:$L215,"Tor",$B$2:$B215,$B215,$A$2:$A215,$A215)+COUNTIFS($L$2:$L215,"ET",$B$2:$B215,$B215,$A$2:$A215,$A215)&amp;":"&amp;COUNTIFS($L$2:$L215,"Tor",$B$2:$B215,"&lt;&gt;"&amp;$B215,$A$2:$A215,$A215)+COUNTIFS($L$2:$L215,"ET",$B$2:$B215,"&lt;&gt;"&amp;$B215,$A$2:$A215,$A215),COUNTIFS($L$2:$L215,"Tor",$B$2:$B215,"&lt;&gt;"&amp;$B215,$A$2:$A215,$A215)+COUNTIFS($L$2:$L215,"ET",$B$2:$B215,"&lt;&gt;"&amp;$B215,$A$2:$A215,$A215)&amp;":"&amp;COUNTIFS($L$2:$L215,"Tor",$B$2:$B215,$B215,$A$2:$A215,$A215)+COUNTIFS($L$2:$L215,"ET",$B$2:$B215,$B215,$A$2:$A215,$A215)),""),"")</f>
        <v/>
      </c>
      <c r="J215" s="18">
        <f>_xlfn.IFNA(IF(VLOOKUP($A215,Spiele!$A$2:$D$15,3,FALSE)=$B215,(COUNTIFS($L$1:$L214,"Tor",$B$1:$B214,$B215,$A$1:$A214,$A215)+COUNTIFS($L$1:$L214,"ET",$B$1:$B214,$B215,$A$1:$A214,$A215))-(COUNTIFS($L$1:$L214,"Tor",$B$1:$B214,"&lt;&gt;"&amp;$B215,$A$1:$A214,$A215)+COUNTIFS($L$1:$L214,"ET",$B$1:$B214,"&lt;&gt;"&amp;$B215,$A$1:$A214,$A215)),(COUNTIFS($L$1:$L214,"Tor",$B$1:$B214,$B215,$A$1:$A214,$A215)+COUNTIFS($L$1:$L214,"ET",$B$1:$B214,$B215,$A$1:$A214,$A215))-(COUNTIFS($L$1:$L214,"Tor",$B$1:$B214,"&lt;&gt;"&amp;$B215,$A$1:$A214,$A215)+COUNTIFS($L$1:$L214,"ET",$B$1:$B214,"&lt;&gt;"&amp;$B215,$A$1:$A214,$A215))),"")</f>
        <v>2</v>
      </c>
      <c r="K215" s="3">
        <v>17</v>
      </c>
      <c r="L215" s="17" t="s">
        <v>19</v>
      </c>
      <c r="M215" s="2" t="s">
        <v>157</v>
      </c>
      <c r="N215" s="2" t="s">
        <v>158</v>
      </c>
      <c r="O215" s="2">
        <v>7</v>
      </c>
      <c r="P215" s="2">
        <v>4</v>
      </c>
      <c r="X215" s="2" t="s">
        <v>141</v>
      </c>
      <c r="Y215" s="17" t="s">
        <v>143</v>
      </c>
      <c r="Z215" s="14" t="s">
        <v>144</v>
      </c>
      <c r="AA215" s="14" t="s">
        <v>145</v>
      </c>
      <c r="AB215" s="18">
        <v>27</v>
      </c>
      <c r="AC215" s="13">
        <v>-15</v>
      </c>
      <c r="AD215" s="13">
        <v>13.5</v>
      </c>
      <c r="AE215" s="19">
        <f t="shared" si="12"/>
        <v>17.630813934699667</v>
      </c>
      <c r="AF215" s="19">
        <f t="shared" si="13"/>
        <v>14.085030356677075</v>
      </c>
      <c r="AG215" s="2" t="s">
        <v>146</v>
      </c>
      <c r="AH215" s="13">
        <v>-2.5</v>
      </c>
      <c r="AI215" s="13">
        <v>2</v>
      </c>
      <c r="AJ215" s="19">
        <f>IF(Abschlüsse[[#This Row],[Ergeb]]="ET","",SQRT(($AC215-$AH215)^2+($AD215-$AI215)^2))</f>
        <v>16.98528775146303</v>
      </c>
      <c r="AK215" s="3">
        <v>1</v>
      </c>
      <c r="AL215" s="13">
        <v>-17</v>
      </c>
      <c r="AM215" s="13">
        <v>16.5</v>
      </c>
      <c r="AN215" s="19">
        <f t="shared" si="14"/>
        <v>3.6055512754639891</v>
      </c>
      <c r="AO215" s="3">
        <v>1</v>
      </c>
      <c r="AP215" s="13">
        <v>-12.5</v>
      </c>
      <c r="AQ215" s="13">
        <v>11.5</v>
      </c>
      <c r="AR215" s="19">
        <f t="shared" si="15"/>
        <v>3.2015621187164243</v>
      </c>
    </row>
    <row r="216" spans="1:44" ht="25.05" customHeight="1">
      <c r="A216" s="3">
        <v>8</v>
      </c>
      <c r="B216" s="2" t="s">
        <v>51</v>
      </c>
      <c r="C216" s="17" t="str">
        <f>IF($A216="","",IF(VLOOKUP($A216,Spiele!$A$2:$D$15,3,FALSE)=$B216,"H","G"))</f>
        <v>H</v>
      </c>
      <c r="D216" s="17" t="str">
        <f>IF($B216="","",IF(VLOOKUP($A216,Spiele!$A$2:$F$15,3,FALSE)=$B216,VLOOKUP($A216,Spiele!$A$2:$F$15,4,FALSE),VLOOKUP($A216,Spiele!$A$2:$F$15,3,FALSE)))</f>
        <v>FCN</v>
      </c>
      <c r="E216" s="18">
        <f>IF(Abschlüsse[[#This Row],[Ergeb]]="ET",0,COUNTIFS($A$2:$A216,$A216,$B$2:$B216,$B216,$L$2:$L216,"&lt;&gt;ET"))</f>
        <v>9</v>
      </c>
      <c r="F216" s="11">
        <v>62</v>
      </c>
      <c r="G216" s="12">
        <v>2</v>
      </c>
      <c r="H216" s="18">
        <f>COUNTIFS('Rote Karten'!$A$2:$A$4,$A216,'Rote Karten'!$D$2:$D$4,"&lt;&gt;"&amp;$B216,'Rote Karten'!$B$2:$B$4,"&lt;"&amp;$F216,'Rote Karten'!$C$2:$C$4,"&lt;="&amp;$G216)-COUNTIFS('Rote Karten'!$A$2:$A$4,$A216,'Rote Karten'!$D$2:$D$4,$B216,'Rote Karten'!$B$2:$B$4,"&lt;"&amp;$F216,'Rote Karten'!$C$2:$C$4,"&lt;="&amp;$G216)</f>
        <v>0</v>
      </c>
      <c r="I216" s="17" t="str">
        <f>IF(OR($L216="Tor",$L216="ET"),_xlfn.IFNA(IF(VLOOKUP($A216,Spiele!$A$2:$C$15,3,FALSE)=$B216,COUNTIFS($L$2:$L216,"Tor",$B$2:$B216,$B216,$A$2:$A216,$A216)+COUNTIFS($L$2:$L216,"ET",$B$2:$B216,$B216,$A$2:$A216,$A216)&amp;":"&amp;COUNTIFS($L$2:$L216,"Tor",$B$2:$B216,"&lt;&gt;"&amp;$B216,$A$2:$A216,$A216)+COUNTIFS($L$2:$L216,"ET",$B$2:$B216,"&lt;&gt;"&amp;$B216,$A$2:$A216,$A216),COUNTIFS($L$2:$L216,"Tor",$B$2:$B216,"&lt;&gt;"&amp;$B216,$A$2:$A216,$A216)+COUNTIFS($L$2:$L216,"ET",$B$2:$B216,"&lt;&gt;"&amp;$B216,$A$2:$A216,$A216)&amp;":"&amp;COUNTIFS($L$2:$L216,"Tor",$B$2:$B216,$B216,$A$2:$A216,$A216)+COUNTIFS($L$2:$L216,"ET",$B$2:$B216,$B216,$A$2:$A216,$A216)),""),"")</f>
        <v/>
      </c>
      <c r="J216" s="18">
        <f>_xlfn.IFNA(IF(VLOOKUP($A216,Spiele!$A$2:$D$15,3,FALSE)=$B216,(COUNTIFS($L$1:$L215,"Tor",$B$1:$B215,$B216,$A$1:$A215,$A216)+COUNTIFS($L$1:$L215,"ET",$B$1:$B215,$B216,$A$1:$A215,$A216))-(COUNTIFS($L$1:$L215,"Tor",$B$1:$B215,"&lt;&gt;"&amp;$B216,$A$1:$A215,$A216)+COUNTIFS($L$1:$L215,"ET",$B$1:$B215,"&lt;&gt;"&amp;$B216,$A$1:$A215,$A216)),(COUNTIFS($L$1:$L215,"Tor",$B$1:$B215,$B216,$A$1:$A215,$A216)+COUNTIFS($L$1:$L215,"ET",$B$1:$B215,$B216,$A$1:$A215,$A216))-(COUNTIFS($L$1:$L215,"Tor",$B$1:$B215,"&lt;&gt;"&amp;$B216,$A$1:$A215,$A216)+COUNTIFS($L$1:$L215,"ET",$B$1:$B215,"&lt;&gt;"&amp;$B216,$A$1:$A215,$A216))),"")</f>
        <v>-2</v>
      </c>
      <c r="K216" s="3">
        <v>18</v>
      </c>
      <c r="L216" s="17" t="s">
        <v>18</v>
      </c>
      <c r="M216" s="2" t="s">
        <v>174</v>
      </c>
      <c r="X216" s="2" t="s">
        <v>142</v>
      </c>
      <c r="Y216" s="17" t="s">
        <v>143</v>
      </c>
      <c r="Z216" s="14" t="s">
        <v>150</v>
      </c>
      <c r="AA216" s="14" t="s">
        <v>156</v>
      </c>
      <c r="AB216" s="18"/>
      <c r="AC216" s="13">
        <v>-25</v>
      </c>
      <c r="AD216" s="13">
        <v>14.5</v>
      </c>
      <c r="AE216" s="19">
        <f t="shared" si="12"/>
        <v>25.800108526903525</v>
      </c>
      <c r="AF216" s="19">
        <f t="shared" si="13"/>
        <v>7.3588437597607248</v>
      </c>
      <c r="AG216" s="2" t="s">
        <v>146</v>
      </c>
      <c r="AH216" s="13">
        <v>-1</v>
      </c>
      <c r="AI216" s="13">
        <v>0.5</v>
      </c>
      <c r="AJ216" s="19">
        <f>IF(Abschlüsse[[#This Row],[Ergeb]]="ET","",SQRT(($AC216-$AH216)^2+($AD216-$AI216)^2))</f>
        <v>27.784887978899608</v>
      </c>
      <c r="AK216" s="3">
        <v>0</v>
      </c>
      <c r="AL216" s="13"/>
      <c r="AM216" s="13"/>
      <c r="AN216" s="19" t="str">
        <f t="shared" si="14"/>
        <v/>
      </c>
      <c r="AO216" s="3">
        <v>1</v>
      </c>
      <c r="AP216" s="13">
        <v>-19</v>
      </c>
      <c r="AQ216" s="13">
        <v>8.5</v>
      </c>
      <c r="AR216" s="19">
        <f t="shared" si="15"/>
        <v>8.4852813742385695</v>
      </c>
    </row>
    <row r="217" spans="1:44" ht="25.05" customHeight="1">
      <c r="A217" s="3">
        <v>8</v>
      </c>
      <c r="B217" s="2" t="s">
        <v>51</v>
      </c>
      <c r="C217" s="17" t="str">
        <f>IF($A217="","",IF(VLOOKUP($A217,Spiele!$A$2:$D$15,3,FALSE)=$B217,"H","G"))</f>
        <v>H</v>
      </c>
      <c r="D217" s="17" t="str">
        <f>IF($B217="","",IF(VLOOKUP($A217,Spiele!$A$2:$F$15,3,FALSE)=$B217,VLOOKUP($A217,Spiele!$A$2:$F$15,4,FALSE),VLOOKUP($A217,Spiele!$A$2:$F$15,3,FALSE)))</f>
        <v>FCN</v>
      </c>
      <c r="E217" s="18">
        <f>IF(Abschlüsse[[#This Row],[Ergeb]]="ET",0,COUNTIFS($A$2:$A217,$A217,$B$2:$B217,$B217,$L$2:$L217,"&lt;&gt;ET"))</f>
        <v>10</v>
      </c>
      <c r="F217" s="11">
        <v>65</v>
      </c>
      <c r="G217" s="12">
        <v>2</v>
      </c>
      <c r="H217" s="18">
        <f>COUNTIFS('Rote Karten'!$A$2:$A$4,$A217,'Rote Karten'!$D$2:$D$4,"&lt;&gt;"&amp;$B217,'Rote Karten'!$B$2:$B$4,"&lt;"&amp;$F217,'Rote Karten'!$C$2:$C$4,"&lt;="&amp;$G217)-COUNTIFS('Rote Karten'!$A$2:$A$4,$A217,'Rote Karten'!$D$2:$D$4,$B217,'Rote Karten'!$B$2:$B$4,"&lt;"&amp;$F217,'Rote Karten'!$C$2:$C$4,"&lt;="&amp;$G217)</f>
        <v>0</v>
      </c>
      <c r="I217" s="17" t="str">
        <f>IF(OR($L217="Tor",$L217="ET"),_xlfn.IFNA(IF(VLOOKUP($A217,Spiele!$A$2:$C$15,3,FALSE)=$B217,COUNTIFS($L$2:$L217,"Tor",$B$2:$B217,$B217,$A$2:$A217,$A217)+COUNTIFS($L$2:$L217,"ET",$B$2:$B217,$B217,$A$2:$A217,$A217)&amp;":"&amp;COUNTIFS($L$2:$L217,"Tor",$B$2:$B217,"&lt;&gt;"&amp;$B217,$A$2:$A217,$A217)+COUNTIFS($L$2:$L217,"ET",$B$2:$B217,"&lt;&gt;"&amp;$B217,$A$2:$A217,$A217),COUNTIFS($L$2:$L217,"Tor",$B$2:$B217,"&lt;&gt;"&amp;$B217,$A$2:$A217,$A217)+COUNTIFS($L$2:$L217,"ET",$B$2:$B217,"&lt;&gt;"&amp;$B217,$A$2:$A217,$A217)&amp;":"&amp;COUNTIFS($L$2:$L217,"Tor",$B$2:$B217,$B217,$A$2:$A217,$A217)+COUNTIFS($L$2:$L217,"ET",$B$2:$B217,$B217,$A$2:$A217,$A217)),""),"")</f>
        <v/>
      </c>
      <c r="J217" s="18">
        <f>_xlfn.IFNA(IF(VLOOKUP($A217,Spiele!$A$2:$D$15,3,FALSE)=$B217,(COUNTIFS($L$1:$L216,"Tor",$B$1:$B216,$B217,$A$1:$A216,$A217)+COUNTIFS($L$1:$L216,"ET",$B$1:$B216,$B217,$A$1:$A216,$A217))-(COUNTIFS($L$1:$L216,"Tor",$B$1:$B216,"&lt;&gt;"&amp;$B217,$A$1:$A216,$A217)+COUNTIFS($L$1:$L216,"ET",$B$1:$B216,"&lt;&gt;"&amp;$B217,$A$1:$A216,$A217)),(COUNTIFS($L$1:$L216,"Tor",$B$1:$B216,$B217,$A$1:$A216,$A217)+COUNTIFS($L$1:$L216,"ET",$B$1:$B216,$B217,$A$1:$A216,$A217))-(COUNTIFS($L$1:$L216,"Tor",$B$1:$B216,"&lt;&gt;"&amp;$B217,$A$1:$A216,$A217)+COUNTIFS($L$1:$L216,"ET",$B$1:$B216,"&lt;&gt;"&amp;$B217,$A$1:$A216,$A217))),"")</f>
        <v>-2</v>
      </c>
      <c r="K217" s="3">
        <v>19</v>
      </c>
      <c r="L217" s="17" t="s">
        <v>18</v>
      </c>
      <c r="M217" s="2" t="s">
        <v>174</v>
      </c>
      <c r="X217" s="2" t="s">
        <v>142</v>
      </c>
      <c r="Y217" s="17" t="s">
        <v>143</v>
      </c>
      <c r="Z217" s="14" t="s">
        <v>150</v>
      </c>
      <c r="AA217" s="14" t="s">
        <v>145</v>
      </c>
      <c r="AB217" s="18"/>
      <c r="AC217" s="13">
        <v>-5</v>
      </c>
      <c r="AD217" s="13">
        <v>26</v>
      </c>
      <c r="AE217" s="19">
        <f t="shared" si="12"/>
        <v>26.034507869364461</v>
      </c>
      <c r="AF217" s="19">
        <f t="shared" si="13"/>
        <v>15.471399757937141</v>
      </c>
      <c r="AG217" s="2" t="s">
        <v>146</v>
      </c>
      <c r="AH217" s="13">
        <v>1</v>
      </c>
      <c r="AI217" s="13">
        <v>0.5</v>
      </c>
      <c r="AJ217" s="19">
        <f>IF(Abschlüsse[[#This Row],[Ergeb]]="ET","",SQRT(($AC217-$AH217)^2+($AD217-$AI217)^2))</f>
        <v>26.196373794859472</v>
      </c>
      <c r="AK217" s="3">
        <v>0</v>
      </c>
      <c r="AL217" s="13"/>
      <c r="AM217" s="13"/>
      <c r="AN217" s="19" t="str">
        <f t="shared" si="14"/>
        <v/>
      </c>
      <c r="AO217" s="3">
        <v>4</v>
      </c>
      <c r="AP217" s="13">
        <v>-4</v>
      </c>
      <c r="AQ217" s="13">
        <v>19</v>
      </c>
      <c r="AR217" s="19">
        <f t="shared" si="15"/>
        <v>7.0710678118654755</v>
      </c>
    </row>
    <row r="218" spans="1:44" ht="25.05" customHeight="1">
      <c r="A218" s="3">
        <v>8</v>
      </c>
      <c r="B218" s="2" t="s">
        <v>51</v>
      </c>
      <c r="C218" s="17" t="str">
        <f>IF($A218="","",IF(VLOOKUP($A218,Spiele!$A$2:$D$15,3,FALSE)=$B218,"H","G"))</f>
        <v>H</v>
      </c>
      <c r="D218" s="17" t="str">
        <f>IF($B218="","",IF(VLOOKUP($A218,Spiele!$A$2:$F$15,3,FALSE)=$B218,VLOOKUP($A218,Spiele!$A$2:$F$15,4,FALSE),VLOOKUP($A218,Spiele!$A$2:$F$15,3,FALSE)))</f>
        <v>FCN</v>
      </c>
      <c r="E218" s="18">
        <f>IF(Abschlüsse[[#This Row],[Ergeb]]="ET",0,COUNTIFS($A$2:$A218,$A218,$B$2:$B218,$B218,$L$2:$L218,"&lt;&gt;ET"))</f>
        <v>11</v>
      </c>
      <c r="F218" s="11">
        <v>65</v>
      </c>
      <c r="G218" s="12">
        <v>2</v>
      </c>
      <c r="H218" s="18">
        <f>COUNTIFS('Rote Karten'!$A$2:$A$4,$A218,'Rote Karten'!$D$2:$D$4,"&lt;&gt;"&amp;$B218,'Rote Karten'!$B$2:$B$4,"&lt;"&amp;$F218,'Rote Karten'!$C$2:$C$4,"&lt;="&amp;$G218)-COUNTIFS('Rote Karten'!$A$2:$A$4,$A218,'Rote Karten'!$D$2:$D$4,$B218,'Rote Karten'!$B$2:$B$4,"&lt;"&amp;$F218,'Rote Karten'!$C$2:$C$4,"&lt;="&amp;$G218)</f>
        <v>0</v>
      </c>
      <c r="I218" s="17" t="str">
        <f>IF(OR($L218="Tor",$L218="ET"),_xlfn.IFNA(IF(VLOOKUP($A218,Spiele!$A$2:$C$15,3,FALSE)=$B218,COUNTIFS($L$2:$L218,"Tor",$B$2:$B218,$B218,$A$2:$A218,$A218)+COUNTIFS($L$2:$L218,"ET",$B$2:$B218,$B218,$A$2:$A218,$A218)&amp;":"&amp;COUNTIFS($L$2:$L218,"Tor",$B$2:$B218,"&lt;&gt;"&amp;$B218,$A$2:$A218,$A218)+COUNTIFS($L$2:$L218,"ET",$B$2:$B218,"&lt;&gt;"&amp;$B218,$A$2:$A218,$A218),COUNTIFS($L$2:$L218,"Tor",$B$2:$B218,"&lt;&gt;"&amp;$B218,$A$2:$A218,$A218)+COUNTIFS($L$2:$L218,"ET",$B$2:$B218,"&lt;&gt;"&amp;$B218,$A$2:$A218,$A218)&amp;":"&amp;COUNTIFS($L$2:$L218,"Tor",$B$2:$B218,$B218,$A$2:$A218,$A218)+COUNTIFS($L$2:$L218,"ET",$B$2:$B218,$B218,$A$2:$A218,$A218)),""),"")</f>
        <v/>
      </c>
      <c r="J218" s="18">
        <f>_xlfn.IFNA(IF(VLOOKUP($A218,Spiele!$A$2:$D$15,3,FALSE)=$B218,(COUNTIFS($L$1:$L217,"Tor",$B$1:$B217,$B218,$A$1:$A217,$A218)+COUNTIFS($L$1:$L217,"ET",$B$1:$B217,$B218,$A$1:$A217,$A218))-(COUNTIFS($L$1:$L217,"Tor",$B$1:$B217,"&lt;&gt;"&amp;$B218,$A$1:$A217,$A218)+COUNTIFS($L$1:$L217,"ET",$B$1:$B217,"&lt;&gt;"&amp;$B218,$A$1:$A217,$A218)),(COUNTIFS($L$1:$L217,"Tor",$B$1:$B217,$B218,$A$1:$A217,$A218)+COUNTIFS($L$1:$L217,"ET",$B$1:$B217,$B218,$A$1:$A217,$A218))-(COUNTIFS($L$1:$L217,"Tor",$B$1:$B217,"&lt;&gt;"&amp;$B218,$A$1:$A217,$A218)+COUNTIFS($L$1:$L217,"ET",$B$1:$B217,"&lt;&gt;"&amp;$B218,$A$1:$A217,$A218))),"")</f>
        <v>-2</v>
      </c>
      <c r="K218" s="3">
        <v>19</v>
      </c>
      <c r="L218" s="17" t="s">
        <v>18</v>
      </c>
      <c r="M218" s="2" t="s">
        <v>140</v>
      </c>
      <c r="N218" s="2" t="s">
        <v>165</v>
      </c>
      <c r="X218" s="2" t="s">
        <v>142</v>
      </c>
      <c r="Y218" s="17" t="s">
        <v>149</v>
      </c>
      <c r="Z218" s="14" t="s">
        <v>150</v>
      </c>
      <c r="AA218" s="14" t="s">
        <v>145</v>
      </c>
      <c r="AB218" s="18"/>
      <c r="AC218" s="13">
        <v>-8.5</v>
      </c>
      <c r="AD218" s="13">
        <v>6</v>
      </c>
      <c r="AE218" s="19">
        <f t="shared" si="12"/>
        <v>7.708800166044</v>
      </c>
      <c r="AF218" s="19">
        <f t="shared" si="13"/>
        <v>24.845336733081307</v>
      </c>
      <c r="AG218" s="2" t="s">
        <v>146</v>
      </c>
      <c r="AH218" s="13">
        <v>-6</v>
      </c>
      <c r="AI218" s="13">
        <v>4</v>
      </c>
      <c r="AJ218" s="19">
        <f>IF(Abschlüsse[[#This Row],[Ergeb]]="ET","",SQRT(($AC218-$AH218)^2+($AD218-$AI218)^2))</f>
        <v>3.2015621187164243</v>
      </c>
      <c r="AK218" s="3">
        <v>0</v>
      </c>
      <c r="AL218" s="13"/>
      <c r="AM218" s="13"/>
      <c r="AN218" s="19" t="str">
        <f t="shared" si="14"/>
        <v/>
      </c>
      <c r="AO218" s="3">
        <v>0</v>
      </c>
      <c r="AR218" s="19" t="str">
        <f t="shared" si="15"/>
        <v/>
      </c>
    </row>
    <row r="219" spans="1:44" ht="25.05" customHeight="1">
      <c r="A219" s="3">
        <v>8</v>
      </c>
      <c r="B219" s="2" t="s">
        <v>8</v>
      </c>
      <c r="C219" s="17" t="str">
        <f>IF($A219="","",IF(VLOOKUP($A219,Spiele!$A$2:$D$15,3,FALSE)=$B219,"H","G"))</f>
        <v>G</v>
      </c>
      <c r="D219" s="17" t="str">
        <f>IF($B219="","",IF(VLOOKUP($A219,Spiele!$A$2:$F$15,3,FALSE)=$B219,VLOOKUP($A219,Spiele!$A$2:$F$15,4,FALSE),VLOOKUP($A219,Spiele!$A$2:$F$15,3,FALSE)))</f>
        <v>SSV</v>
      </c>
      <c r="E219" s="18">
        <f>IF(Abschlüsse[[#This Row],[Ergeb]]="ET",0,COUNTIFS($A$2:$A219,$A219,$B$2:$B219,$B219,$L$2:$L219,"&lt;&gt;ET"))</f>
        <v>14</v>
      </c>
      <c r="F219" s="11">
        <v>65</v>
      </c>
      <c r="G219" s="12">
        <v>2</v>
      </c>
      <c r="H219" s="18">
        <f>COUNTIFS('Rote Karten'!$A$2:$A$4,$A219,'Rote Karten'!$D$2:$D$4,"&lt;&gt;"&amp;$B219,'Rote Karten'!$B$2:$B$4,"&lt;"&amp;$F219,'Rote Karten'!$C$2:$C$4,"&lt;="&amp;$G219)-COUNTIFS('Rote Karten'!$A$2:$A$4,$A219,'Rote Karten'!$D$2:$D$4,$B219,'Rote Karten'!$B$2:$B$4,"&lt;"&amp;$F219,'Rote Karten'!$C$2:$C$4,"&lt;="&amp;$G219)</f>
        <v>0</v>
      </c>
      <c r="I219" s="17" t="str">
        <f>IF(OR($L219="Tor",$L219="ET"),_xlfn.IFNA(IF(VLOOKUP($A219,Spiele!$A$2:$C$15,3,FALSE)=$B219,COUNTIFS($L$2:$L219,"Tor",$B$2:$B219,$B219,$A$2:$A219,$A219)+COUNTIFS($L$2:$L219,"ET",$B$2:$B219,$B219,$A$2:$A219,$A219)&amp;":"&amp;COUNTIFS($L$2:$L219,"Tor",$B$2:$B219,"&lt;&gt;"&amp;$B219,$A$2:$A219,$A219)+COUNTIFS($L$2:$L219,"ET",$B$2:$B219,"&lt;&gt;"&amp;$B219,$A$2:$A219,$A219),COUNTIFS($L$2:$L219,"Tor",$B$2:$B219,"&lt;&gt;"&amp;$B219,$A$2:$A219,$A219)+COUNTIFS($L$2:$L219,"ET",$B$2:$B219,"&lt;&gt;"&amp;$B219,$A$2:$A219,$A219)&amp;":"&amp;COUNTIFS($L$2:$L219,"Tor",$B$2:$B219,$B219,$A$2:$A219,$A219)+COUNTIFS($L$2:$L219,"ET",$B$2:$B219,$B219,$A$2:$A219,$A219)),""),"")</f>
        <v/>
      </c>
      <c r="J219" s="18">
        <f>_xlfn.IFNA(IF(VLOOKUP($A219,Spiele!$A$2:$D$15,3,FALSE)=$B219,(COUNTIFS($L$1:$L218,"Tor",$B$1:$B218,$B219,$A$1:$A218,$A219)+COUNTIFS($L$1:$L218,"ET",$B$1:$B218,$B219,$A$1:$A218,$A219))-(COUNTIFS($L$1:$L218,"Tor",$B$1:$B218,"&lt;&gt;"&amp;$B219,$A$1:$A218,$A219)+COUNTIFS($L$1:$L218,"ET",$B$1:$B218,"&lt;&gt;"&amp;$B219,$A$1:$A218,$A219)),(COUNTIFS($L$1:$L218,"Tor",$B$1:$B218,$B219,$A$1:$A218,$A219)+COUNTIFS($L$1:$L218,"ET",$B$1:$B218,$B219,$A$1:$A218,$A219))-(COUNTIFS($L$1:$L218,"Tor",$B$1:$B218,"&lt;&gt;"&amp;$B219,$A$1:$A218,$A219)+COUNTIFS($L$1:$L218,"ET",$B$1:$B218,"&lt;&gt;"&amp;$B219,$A$1:$A218,$A219))),"")</f>
        <v>2</v>
      </c>
      <c r="K219" s="3">
        <v>20</v>
      </c>
      <c r="L219" s="17" t="s">
        <v>19</v>
      </c>
      <c r="M219" s="2" t="s">
        <v>163</v>
      </c>
      <c r="N219" s="2" t="s">
        <v>152</v>
      </c>
      <c r="O219" s="2">
        <v>7</v>
      </c>
      <c r="P219" s="2">
        <v>20</v>
      </c>
      <c r="X219" s="2" t="s">
        <v>142</v>
      </c>
      <c r="Y219" s="17" t="s">
        <v>149</v>
      </c>
      <c r="Z219" s="14" t="s">
        <v>150</v>
      </c>
      <c r="AA219" s="14" t="s">
        <v>145</v>
      </c>
      <c r="AB219" s="18">
        <v>13</v>
      </c>
      <c r="AC219" s="13">
        <v>-12.5</v>
      </c>
      <c r="AD219" s="13">
        <v>20.5</v>
      </c>
      <c r="AE219" s="19">
        <f t="shared" si="12"/>
        <v>22.324775474794812</v>
      </c>
      <c r="AF219" s="19">
        <f t="shared" si="13"/>
        <v>14.921805822022099</v>
      </c>
      <c r="AG219" s="2" t="s">
        <v>146</v>
      </c>
      <c r="AH219" s="13">
        <v>-1.5</v>
      </c>
      <c r="AI219" s="13">
        <v>4</v>
      </c>
      <c r="AJ219" s="19">
        <f>IF(Abschlüsse[[#This Row],[Ergeb]]="ET","",SQRT(($AC219-$AH219)^2+($AD219-$AI219)^2))</f>
        <v>19.83053201505194</v>
      </c>
      <c r="AK219" s="3">
        <v>1</v>
      </c>
      <c r="AL219" s="13">
        <v>-10.5</v>
      </c>
      <c r="AM219" s="13">
        <v>20</v>
      </c>
      <c r="AN219" s="19">
        <f t="shared" si="14"/>
        <v>2.0615528128088303</v>
      </c>
      <c r="AO219" s="3">
        <v>0</v>
      </c>
      <c r="AR219" s="19" t="str">
        <f t="shared" si="15"/>
        <v/>
      </c>
    </row>
    <row r="220" spans="1:44" ht="25.05" customHeight="1">
      <c r="A220" s="3">
        <v>8</v>
      </c>
      <c r="B220" s="2" t="s">
        <v>8</v>
      </c>
      <c r="C220" s="17" t="str">
        <f>IF($A220="","",IF(VLOOKUP($A220,Spiele!$A$2:$D$15,3,FALSE)=$B220,"H","G"))</f>
        <v>G</v>
      </c>
      <c r="D220" s="17" t="str">
        <f>IF($B220="","",IF(VLOOKUP($A220,Spiele!$A$2:$F$15,3,FALSE)=$B220,VLOOKUP($A220,Spiele!$A$2:$F$15,4,FALSE),VLOOKUP($A220,Spiele!$A$2:$F$15,3,FALSE)))</f>
        <v>SSV</v>
      </c>
      <c r="E220" s="18">
        <f>IF(Abschlüsse[[#This Row],[Ergeb]]="ET",0,COUNTIFS($A$2:$A220,$A220,$B$2:$B220,$B220,$L$2:$L220,"&lt;&gt;ET"))</f>
        <v>15</v>
      </c>
      <c r="F220" s="11">
        <v>69</v>
      </c>
      <c r="G220" s="12">
        <v>2</v>
      </c>
      <c r="H220" s="18">
        <f>COUNTIFS('Rote Karten'!$A$2:$A$4,$A220,'Rote Karten'!$D$2:$D$4,"&lt;&gt;"&amp;$B220,'Rote Karten'!$B$2:$B$4,"&lt;"&amp;$F220,'Rote Karten'!$C$2:$C$4,"&lt;="&amp;$G220)-COUNTIFS('Rote Karten'!$A$2:$A$4,$A220,'Rote Karten'!$D$2:$D$4,$B220,'Rote Karten'!$B$2:$B$4,"&lt;"&amp;$F220,'Rote Karten'!$C$2:$C$4,"&lt;="&amp;$G220)</f>
        <v>0</v>
      </c>
      <c r="I220" s="17" t="str">
        <f>IF(OR($L220="Tor",$L220="ET"),_xlfn.IFNA(IF(VLOOKUP($A220,Spiele!$A$2:$C$15,3,FALSE)=$B220,COUNTIFS($L$2:$L220,"Tor",$B$2:$B220,$B220,$A$2:$A220,$A220)+COUNTIFS($L$2:$L220,"ET",$B$2:$B220,$B220,$A$2:$A220,$A220)&amp;":"&amp;COUNTIFS($L$2:$L220,"Tor",$B$2:$B220,"&lt;&gt;"&amp;$B220,$A$2:$A220,$A220)+COUNTIFS($L$2:$L220,"ET",$B$2:$B220,"&lt;&gt;"&amp;$B220,$A$2:$A220,$A220),COUNTIFS($L$2:$L220,"Tor",$B$2:$B220,"&lt;&gt;"&amp;$B220,$A$2:$A220,$A220)+COUNTIFS($L$2:$L220,"ET",$B$2:$B220,"&lt;&gt;"&amp;$B220,$A$2:$A220,$A220)&amp;":"&amp;COUNTIFS($L$2:$L220,"Tor",$B$2:$B220,$B220,$A$2:$A220,$A220)+COUNTIFS($L$2:$L220,"ET",$B$2:$B220,$B220,$A$2:$A220,$A220)),""),"")</f>
        <v/>
      </c>
      <c r="J220" s="18">
        <f>_xlfn.IFNA(IF(VLOOKUP($A220,Spiele!$A$2:$D$15,3,FALSE)=$B220,(COUNTIFS($L$1:$L219,"Tor",$B$1:$B219,$B220,$A$1:$A219,$A220)+COUNTIFS($L$1:$L219,"ET",$B$1:$B219,$B220,$A$1:$A219,$A220))-(COUNTIFS($L$1:$L219,"Tor",$B$1:$B219,"&lt;&gt;"&amp;$B220,$A$1:$A219,$A220)+COUNTIFS($L$1:$L219,"ET",$B$1:$B219,"&lt;&gt;"&amp;$B220,$A$1:$A219,$A220)),(COUNTIFS($L$1:$L219,"Tor",$B$1:$B219,$B220,$A$1:$A219,$A220)+COUNTIFS($L$1:$L219,"ET",$B$1:$B219,$B220,$A$1:$A219,$A220))-(COUNTIFS($L$1:$L219,"Tor",$B$1:$B219,"&lt;&gt;"&amp;$B220,$A$1:$A219,$A220)+COUNTIFS($L$1:$L219,"ET",$B$1:$B219,"&lt;&gt;"&amp;$B220,$A$1:$A219,$A220))),"")</f>
        <v>2</v>
      </c>
      <c r="K220" s="3">
        <v>21</v>
      </c>
      <c r="L220" s="17" t="s">
        <v>19</v>
      </c>
      <c r="M220" s="2" t="s">
        <v>163</v>
      </c>
      <c r="N220" s="2" t="s">
        <v>3</v>
      </c>
      <c r="X220" s="2" t="s">
        <v>142</v>
      </c>
      <c r="Y220" s="17" t="s">
        <v>143</v>
      </c>
      <c r="Z220" s="14" t="s">
        <v>150</v>
      </c>
      <c r="AA220" s="14" t="s">
        <v>156</v>
      </c>
      <c r="AB220" s="18">
        <v>26</v>
      </c>
      <c r="AC220" s="13">
        <v>4</v>
      </c>
      <c r="AD220" s="13">
        <v>25</v>
      </c>
      <c r="AE220" s="19">
        <f t="shared" si="12"/>
        <v>25.002311893103006</v>
      </c>
      <c r="AF220" s="19">
        <f t="shared" si="13"/>
        <v>16.255889866256815</v>
      </c>
      <c r="AG220" s="2" t="s">
        <v>146</v>
      </c>
      <c r="AH220" s="13">
        <v>0.5</v>
      </c>
      <c r="AI220" s="13">
        <v>1.5</v>
      </c>
      <c r="AJ220" s="19">
        <f>IF(Abschlüsse[[#This Row],[Ergeb]]="ET","",SQRT(($AC220-$AH220)^2+($AD220-$AI220)^2))</f>
        <v>23.759208741033444</v>
      </c>
      <c r="AK220" s="3">
        <v>1</v>
      </c>
      <c r="AL220" s="13">
        <v>1</v>
      </c>
      <c r="AM220" s="13">
        <v>25.5</v>
      </c>
      <c r="AN220" s="19">
        <f t="shared" si="14"/>
        <v>3.0413812651491097</v>
      </c>
      <c r="AO220" s="3">
        <v>2</v>
      </c>
      <c r="AP220" s="13">
        <v>2</v>
      </c>
      <c r="AQ220" s="13">
        <v>22</v>
      </c>
      <c r="AR220" s="19">
        <f t="shared" si="15"/>
        <v>3.6055512754639891</v>
      </c>
    </row>
    <row r="221" spans="1:44" ht="25.05" customHeight="1">
      <c r="A221" s="3">
        <v>8</v>
      </c>
      <c r="B221" s="2" t="s">
        <v>8</v>
      </c>
      <c r="C221" s="17" t="str">
        <f>IF($A221="","",IF(VLOOKUP($A221,Spiele!$A$2:$D$15,3,FALSE)=$B221,"H","G"))</f>
        <v>G</v>
      </c>
      <c r="D221" s="17" t="str">
        <f>IF($B221="","",IF(VLOOKUP($A221,Spiele!$A$2:$F$15,3,FALSE)=$B221,VLOOKUP($A221,Spiele!$A$2:$F$15,4,FALSE),VLOOKUP($A221,Spiele!$A$2:$F$15,3,FALSE)))</f>
        <v>SSV</v>
      </c>
      <c r="E221" s="18">
        <f>IF(Abschlüsse[[#This Row],[Ergeb]]="ET",0,COUNTIFS($A$2:$A221,$A221,$B$2:$B221,$B221,$L$2:$L221,"&lt;&gt;ET"))</f>
        <v>16</v>
      </c>
      <c r="F221" s="11">
        <v>72</v>
      </c>
      <c r="G221" s="12">
        <v>2</v>
      </c>
      <c r="H221" s="18">
        <f>COUNTIFS('Rote Karten'!$A$2:$A$4,$A221,'Rote Karten'!$D$2:$D$4,"&lt;&gt;"&amp;$B221,'Rote Karten'!$B$2:$B$4,"&lt;"&amp;$F221,'Rote Karten'!$C$2:$C$4,"&lt;="&amp;$G221)-COUNTIFS('Rote Karten'!$A$2:$A$4,$A221,'Rote Karten'!$D$2:$D$4,$B221,'Rote Karten'!$B$2:$B$4,"&lt;"&amp;$F221,'Rote Karten'!$C$2:$C$4,"&lt;="&amp;$G221)</f>
        <v>0</v>
      </c>
      <c r="I221" s="17" t="str">
        <f>IF(OR($L221="Tor",$L221="ET"),_xlfn.IFNA(IF(VLOOKUP($A221,Spiele!$A$2:$C$15,3,FALSE)=$B221,COUNTIFS($L$2:$L221,"Tor",$B$2:$B221,$B221,$A$2:$A221,$A221)+COUNTIFS($L$2:$L221,"ET",$B$2:$B221,$B221,$A$2:$A221,$A221)&amp;":"&amp;COUNTIFS($L$2:$L221,"Tor",$B$2:$B221,"&lt;&gt;"&amp;$B221,$A$2:$A221,$A221)+COUNTIFS($L$2:$L221,"ET",$B$2:$B221,"&lt;&gt;"&amp;$B221,$A$2:$A221,$A221),COUNTIFS($L$2:$L221,"Tor",$B$2:$B221,"&lt;&gt;"&amp;$B221,$A$2:$A221,$A221)+COUNTIFS($L$2:$L221,"ET",$B$2:$B221,"&lt;&gt;"&amp;$B221,$A$2:$A221,$A221)&amp;":"&amp;COUNTIFS($L$2:$L221,"Tor",$B$2:$B221,$B221,$A$2:$A221,$A221)+COUNTIFS($L$2:$L221,"ET",$B$2:$B221,$B221,$A$2:$A221,$A221)),""),"")</f>
        <v/>
      </c>
      <c r="J221" s="18">
        <f>_xlfn.IFNA(IF(VLOOKUP($A221,Spiele!$A$2:$D$15,3,FALSE)=$B221,(COUNTIFS($L$1:$L220,"Tor",$B$1:$B220,$B221,$A$1:$A220,$A221)+COUNTIFS($L$1:$L220,"ET",$B$1:$B220,$B221,$A$1:$A220,$A221))-(COUNTIFS($L$1:$L220,"Tor",$B$1:$B220,"&lt;&gt;"&amp;$B221,$A$1:$A220,$A221)+COUNTIFS($L$1:$L220,"ET",$B$1:$B220,"&lt;&gt;"&amp;$B221,$A$1:$A220,$A221)),(COUNTIFS($L$1:$L220,"Tor",$B$1:$B220,$B221,$A$1:$A220,$A221)+COUNTIFS($L$1:$L220,"ET",$B$1:$B220,$B221,$A$1:$A220,$A221))-(COUNTIFS($L$1:$L220,"Tor",$B$1:$B220,"&lt;&gt;"&amp;$B221,$A$1:$A220,$A221)+COUNTIFS($L$1:$L220,"ET",$B$1:$B220,"&lt;&gt;"&amp;$B221,$A$1:$A220,$A221))),"")</f>
        <v>2</v>
      </c>
      <c r="K221" s="3">
        <v>22</v>
      </c>
      <c r="L221" s="17" t="s">
        <v>20</v>
      </c>
      <c r="M221" s="2" t="s">
        <v>159</v>
      </c>
      <c r="N221" s="2" t="s">
        <v>176</v>
      </c>
      <c r="O221" s="2">
        <v>25</v>
      </c>
      <c r="P221" s="2">
        <v>4</v>
      </c>
      <c r="X221" s="2" t="s">
        <v>154</v>
      </c>
      <c r="Y221" s="17" t="s">
        <v>149</v>
      </c>
      <c r="Z221" s="14" t="s">
        <v>144</v>
      </c>
      <c r="AA221" s="14" t="s">
        <v>156</v>
      </c>
      <c r="AB221" s="18">
        <v>10</v>
      </c>
      <c r="AC221" s="13">
        <v>-2.5</v>
      </c>
      <c r="AD221" s="13">
        <v>11.5</v>
      </c>
      <c r="AE221" s="19">
        <f t="shared" si="12"/>
        <v>11.5</v>
      </c>
      <c r="AF221" s="19">
        <f t="shared" si="13"/>
        <v>33.935742874009215</v>
      </c>
      <c r="AG221" s="2" t="s">
        <v>146</v>
      </c>
      <c r="AH221" s="13">
        <v>-1.5</v>
      </c>
      <c r="AI221" s="13">
        <v>1</v>
      </c>
      <c r="AJ221" s="19">
        <f>IF(Abschlüsse[[#This Row],[Ergeb]]="ET","",SQRT(($AC221-$AH221)^2+($AD221-$AI221)^2))</f>
        <v>10.547511554864494</v>
      </c>
      <c r="AK221" s="3">
        <v>0</v>
      </c>
      <c r="AL221" s="13"/>
      <c r="AM221" s="13"/>
      <c r="AN221" s="19" t="str">
        <f t="shared" si="14"/>
        <v/>
      </c>
      <c r="AO221" s="3">
        <v>2</v>
      </c>
      <c r="AP221" s="13">
        <v>-2.5</v>
      </c>
      <c r="AQ221" s="13">
        <v>11</v>
      </c>
      <c r="AR221" s="19">
        <f t="shared" si="15"/>
        <v>0.5</v>
      </c>
    </row>
    <row r="222" spans="1:44" ht="25.05" customHeight="1">
      <c r="A222" s="3">
        <v>8</v>
      </c>
      <c r="B222" s="2" t="s">
        <v>51</v>
      </c>
      <c r="C222" s="17" t="str">
        <f>IF($A222="","",IF(VLOOKUP($A222,Spiele!$A$2:$D$15,3,FALSE)=$B222,"H","G"))</f>
        <v>H</v>
      </c>
      <c r="D222" s="17" t="str">
        <f>IF($B222="","",IF(VLOOKUP($A222,Spiele!$A$2:$F$15,3,FALSE)=$B222,VLOOKUP($A222,Spiele!$A$2:$F$15,4,FALSE),VLOOKUP($A222,Spiele!$A$2:$F$15,3,FALSE)))</f>
        <v>FCN</v>
      </c>
      <c r="E222" s="18">
        <f>IF(Abschlüsse[[#This Row],[Ergeb]]="ET",0,COUNTIFS($A$2:$A222,$A222,$B$2:$B222,$B222,$L$2:$L222,"&lt;&gt;ET"))</f>
        <v>12</v>
      </c>
      <c r="F222" s="11">
        <v>75</v>
      </c>
      <c r="G222" s="12">
        <v>2</v>
      </c>
      <c r="H222" s="18">
        <f>COUNTIFS('Rote Karten'!$A$2:$A$4,$A222,'Rote Karten'!$D$2:$D$4,"&lt;&gt;"&amp;$B222,'Rote Karten'!$B$2:$B$4,"&lt;"&amp;$F222,'Rote Karten'!$C$2:$C$4,"&lt;="&amp;$G222)-COUNTIFS('Rote Karten'!$A$2:$A$4,$A222,'Rote Karten'!$D$2:$D$4,$B222,'Rote Karten'!$B$2:$B$4,"&lt;"&amp;$F222,'Rote Karten'!$C$2:$C$4,"&lt;="&amp;$G222)</f>
        <v>0</v>
      </c>
      <c r="I222" s="17" t="str">
        <f>IF(OR($L222="Tor",$L222="ET"),_xlfn.IFNA(IF(VLOOKUP($A222,Spiele!$A$2:$C$15,3,FALSE)=$B222,COUNTIFS($L$2:$L222,"Tor",$B$2:$B222,$B222,$A$2:$A222,$A222)+COUNTIFS($L$2:$L222,"ET",$B$2:$B222,$B222,$A$2:$A222,$A222)&amp;":"&amp;COUNTIFS($L$2:$L222,"Tor",$B$2:$B222,"&lt;&gt;"&amp;$B222,$A$2:$A222,$A222)+COUNTIFS($L$2:$L222,"ET",$B$2:$B222,"&lt;&gt;"&amp;$B222,$A$2:$A222,$A222),COUNTIFS($L$2:$L222,"Tor",$B$2:$B222,"&lt;&gt;"&amp;$B222,$A$2:$A222,$A222)+COUNTIFS($L$2:$L222,"ET",$B$2:$B222,"&lt;&gt;"&amp;$B222,$A$2:$A222,$A222)&amp;":"&amp;COUNTIFS($L$2:$L222,"Tor",$B$2:$B222,$B222,$A$2:$A222,$A222)+COUNTIFS($L$2:$L222,"ET",$B$2:$B222,$B222,$A$2:$A222,$A222)),""),"")</f>
        <v>2:3</v>
      </c>
      <c r="J222" s="18">
        <f>_xlfn.IFNA(IF(VLOOKUP($A222,Spiele!$A$2:$D$15,3,FALSE)=$B222,(COUNTIFS($L$1:$L221,"Tor",$B$1:$B221,$B222,$A$1:$A221,$A222)+COUNTIFS($L$1:$L221,"ET",$B$1:$B221,$B222,$A$1:$A221,$A222))-(COUNTIFS($L$1:$L221,"Tor",$B$1:$B221,"&lt;&gt;"&amp;$B222,$A$1:$A221,$A222)+COUNTIFS($L$1:$L221,"ET",$B$1:$B221,"&lt;&gt;"&amp;$B222,$A$1:$A221,$A222)),(COUNTIFS($L$1:$L221,"Tor",$B$1:$B221,$B222,$A$1:$A221,$A222)+COUNTIFS($L$1:$L221,"ET",$B$1:$B221,$B222,$A$1:$A221,$A222))-(COUNTIFS($L$1:$L221,"Tor",$B$1:$B221,"&lt;&gt;"&amp;$B222,$A$1:$A221,$A222)+COUNTIFS($L$1:$L221,"ET",$B$1:$B221,"&lt;&gt;"&amp;$B222,$A$1:$A221,$A222))),"")</f>
        <v>-2</v>
      </c>
      <c r="K222" s="3">
        <v>23</v>
      </c>
      <c r="L222" s="17" t="s">
        <v>0</v>
      </c>
      <c r="M222" s="2" t="s">
        <v>163</v>
      </c>
      <c r="N222" s="2" t="s">
        <v>158</v>
      </c>
      <c r="X222" s="2" t="s">
        <v>142</v>
      </c>
      <c r="Y222" s="17" t="s">
        <v>143</v>
      </c>
      <c r="Z222" s="14" t="s">
        <v>150</v>
      </c>
      <c r="AA222" s="14" t="s">
        <v>145</v>
      </c>
      <c r="AB222" s="18"/>
      <c r="AC222" s="13">
        <v>2</v>
      </c>
      <c r="AD222" s="13">
        <v>9.5</v>
      </c>
      <c r="AE222" s="19">
        <f t="shared" si="12"/>
        <v>9.5</v>
      </c>
      <c r="AF222" s="19">
        <f t="shared" si="13"/>
        <v>40.697655718401577</v>
      </c>
      <c r="AG222" s="2" t="s">
        <v>146</v>
      </c>
      <c r="AH222" s="13">
        <v>1.5</v>
      </c>
      <c r="AI222" s="13">
        <v>2</v>
      </c>
      <c r="AJ222" s="19">
        <f>IF(Abschlüsse[[#This Row],[Ergeb]]="ET","",SQRT(($AC222-$AH222)^2+($AD222-$AI222)^2))</f>
        <v>7.5166481891864541</v>
      </c>
      <c r="AK222" s="3">
        <v>1</v>
      </c>
      <c r="AL222" s="13">
        <v>3.5</v>
      </c>
      <c r="AM222" s="13">
        <v>8.5</v>
      </c>
      <c r="AN222" s="19">
        <f t="shared" si="14"/>
        <v>1.8027756377319946</v>
      </c>
      <c r="AO222" s="3">
        <v>1</v>
      </c>
      <c r="AP222" s="13">
        <v>0</v>
      </c>
      <c r="AQ222" s="13">
        <v>3.5</v>
      </c>
      <c r="AR222" s="19">
        <f t="shared" si="15"/>
        <v>6.324555320336759</v>
      </c>
    </row>
    <row r="223" spans="1:44" ht="25.05" customHeight="1">
      <c r="A223" s="3">
        <v>8</v>
      </c>
      <c r="B223" s="2" t="s">
        <v>8</v>
      </c>
      <c r="C223" s="17" t="str">
        <f>IF($A223="","",IF(VLOOKUP($A223,Spiele!$A$2:$D$15,3,FALSE)=$B223,"H","G"))</f>
        <v>G</v>
      </c>
      <c r="D223" s="17" t="str">
        <f>IF($B223="","",IF(VLOOKUP($A223,Spiele!$A$2:$F$15,3,FALSE)=$B223,VLOOKUP($A223,Spiele!$A$2:$F$15,4,FALSE),VLOOKUP($A223,Spiele!$A$2:$F$15,3,FALSE)))</f>
        <v>SSV</v>
      </c>
      <c r="E223" s="18">
        <f>IF(Abschlüsse[[#This Row],[Ergeb]]="ET",0,COUNTIFS($A$2:$A223,$A223,$B$2:$B223,$B223,$L$2:$L223,"&lt;&gt;ET"))</f>
        <v>17</v>
      </c>
      <c r="F223" s="11">
        <v>79</v>
      </c>
      <c r="G223" s="12">
        <v>2</v>
      </c>
      <c r="H223" s="18">
        <f>COUNTIFS('Rote Karten'!$A$2:$A$4,$A223,'Rote Karten'!$D$2:$D$4,"&lt;&gt;"&amp;$B223,'Rote Karten'!$B$2:$B$4,"&lt;"&amp;$F223,'Rote Karten'!$C$2:$C$4,"&lt;="&amp;$G223)-COUNTIFS('Rote Karten'!$A$2:$A$4,$A223,'Rote Karten'!$D$2:$D$4,$B223,'Rote Karten'!$B$2:$B$4,"&lt;"&amp;$F223,'Rote Karten'!$C$2:$C$4,"&lt;="&amp;$G223)</f>
        <v>0</v>
      </c>
      <c r="I223" s="17" t="str">
        <f>IF(OR($L223="Tor",$L223="ET"),_xlfn.IFNA(IF(VLOOKUP($A223,Spiele!$A$2:$C$15,3,FALSE)=$B223,COUNTIFS($L$2:$L223,"Tor",$B$2:$B223,$B223,$A$2:$A223,$A223)+COUNTIFS($L$2:$L223,"ET",$B$2:$B223,$B223,$A$2:$A223,$A223)&amp;":"&amp;COUNTIFS($L$2:$L223,"Tor",$B$2:$B223,"&lt;&gt;"&amp;$B223,$A$2:$A223,$A223)+COUNTIFS($L$2:$L223,"ET",$B$2:$B223,"&lt;&gt;"&amp;$B223,$A$2:$A223,$A223),COUNTIFS($L$2:$L223,"Tor",$B$2:$B223,"&lt;&gt;"&amp;$B223,$A$2:$A223,$A223)+COUNTIFS($L$2:$L223,"ET",$B$2:$B223,"&lt;&gt;"&amp;$B223,$A$2:$A223,$A223)&amp;":"&amp;COUNTIFS($L$2:$L223,"Tor",$B$2:$B223,$B223,$A$2:$A223,$A223)+COUNTIFS($L$2:$L223,"ET",$B$2:$B223,$B223,$A$2:$A223,$A223)),""),"")</f>
        <v/>
      </c>
      <c r="J223" s="18">
        <f>_xlfn.IFNA(IF(VLOOKUP($A223,Spiele!$A$2:$D$15,3,FALSE)=$B223,(COUNTIFS($L$1:$L222,"Tor",$B$1:$B222,$B223,$A$1:$A222,$A223)+COUNTIFS($L$1:$L222,"ET",$B$1:$B222,$B223,$A$1:$A222,$A223))-(COUNTIFS($L$1:$L222,"Tor",$B$1:$B222,"&lt;&gt;"&amp;$B223,$A$1:$A222,$A223)+COUNTIFS($L$1:$L222,"ET",$B$1:$B222,"&lt;&gt;"&amp;$B223,$A$1:$A222,$A223)),(COUNTIFS($L$1:$L222,"Tor",$B$1:$B222,$B223,$A$1:$A222,$A223)+COUNTIFS($L$1:$L222,"ET",$B$1:$B222,$B223,$A$1:$A222,$A223))-(COUNTIFS($L$1:$L222,"Tor",$B$1:$B222,"&lt;&gt;"&amp;$B223,$A$1:$A222,$A223)+COUNTIFS($L$1:$L222,"ET",$B$1:$B222,"&lt;&gt;"&amp;$B223,$A$1:$A222,$A223))),"")</f>
        <v>1</v>
      </c>
      <c r="K223" s="3">
        <v>24</v>
      </c>
      <c r="L223" s="17" t="s">
        <v>19</v>
      </c>
      <c r="M223" s="2" t="s">
        <v>163</v>
      </c>
      <c r="N223" s="2" t="s">
        <v>158</v>
      </c>
      <c r="O223" s="2">
        <v>13</v>
      </c>
      <c r="P223" s="2">
        <v>8</v>
      </c>
      <c r="Q223" s="2">
        <v>20</v>
      </c>
      <c r="X223" s="2" t="s">
        <v>151</v>
      </c>
      <c r="Y223" s="17" t="s">
        <v>143</v>
      </c>
      <c r="Z223" s="14" t="s">
        <v>150</v>
      </c>
      <c r="AA223" s="14" t="s">
        <v>145</v>
      </c>
      <c r="AB223" s="18">
        <v>26</v>
      </c>
      <c r="AC223" s="13">
        <v>-14.5</v>
      </c>
      <c r="AD223" s="13">
        <v>37</v>
      </c>
      <c r="AE223" s="19">
        <f t="shared" si="12"/>
        <v>38.555227920477918</v>
      </c>
      <c r="AF223" s="19">
        <f t="shared" si="13"/>
        <v>9.8131451437535286</v>
      </c>
      <c r="AG223" s="2" t="s">
        <v>169</v>
      </c>
      <c r="AH223" s="13">
        <v>-1</v>
      </c>
      <c r="AI223" s="13">
        <v>11</v>
      </c>
      <c r="AJ223" s="19">
        <f>IF(Abschlüsse[[#This Row],[Ergeb]]="ET","",SQRT(($AC223-$AH223)^2+($AD223-$AI223)^2))</f>
        <v>29.295904150580505</v>
      </c>
      <c r="AK223" s="3">
        <v>1</v>
      </c>
      <c r="AL223" s="13">
        <v>-15</v>
      </c>
      <c r="AM223" s="13">
        <v>38</v>
      </c>
      <c r="AN223" s="19">
        <f t="shared" si="14"/>
        <v>1.1180339887498949</v>
      </c>
      <c r="AO223" s="3">
        <v>0</v>
      </c>
      <c r="AR223" s="19" t="str">
        <f t="shared" si="15"/>
        <v/>
      </c>
    </row>
    <row r="224" spans="1:44" ht="25.05" customHeight="1">
      <c r="A224" s="3">
        <v>8</v>
      </c>
      <c r="B224" s="2" t="s">
        <v>8</v>
      </c>
      <c r="C224" s="17" t="str">
        <f>IF($A224="","",IF(VLOOKUP($A224,Spiele!$A$2:$D$15,3,FALSE)=$B224,"H","G"))</f>
        <v>G</v>
      </c>
      <c r="D224" s="17" t="str">
        <f>IF($B224="","",IF(VLOOKUP($A224,Spiele!$A$2:$F$15,3,FALSE)=$B224,VLOOKUP($A224,Spiele!$A$2:$F$15,4,FALSE),VLOOKUP($A224,Spiele!$A$2:$F$15,3,FALSE)))</f>
        <v>SSV</v>
      </c>
      <c r="E224" s="18">
        <f>IF(Abschlüsse[[#This Row],[Ergeb]]="ET",0,COUNTIFS($A$2:$A224,$A224,$B$2:$B224,$B224,$L$2:$L224,"&lt;&gt;ET"))</f>
        <v>18</v>
      </c>
      <c r="F224" s="11">
        <v>80</v>
      </c>
      <c r="G224" s="12">
        <v>2</v>
      </c>
      <c r="H224" s="18">
        <f>COUNTIFS('Rote Karten'!$A$2:$A$4,$A224,'Rote Karten'!$D$2:$D$4,"&lt;&gt;"&amp;$B224,'Rote Karten'!$B$2:$B$4,"&lt;"&amp;$F224,'Rote Karten'!$C$2:$C$4,"&lt;="&amp;$G224)-COUNTIFS('Rote Karten'!$A$2:$A$4,$A224,'Rote Karten'!$D$2:$D$4,$B224,'Rote Karten'!$B$2:$B$4,"&lt;"&amp;$F224,'Rote Karten'!$C$2:$C$4,"&lt;="&amp;$G224)</f>
        <v>0</v>
      </c>
      <c r="I224" s="17" t="str">
        <f>IF(OR($L224="Tor",$L224="ET"),_xlfn.IFNA(IF(VLOOKUP($A224,Spiele!$A$2:$C$15,3,FALSE)=$B224,COUNTIFS($L$2:$L224,"Tor",$B$2:$B224,$B224,$A$2:$A224,$A224)+COUNTIFS($L$2:$L224,"ET",$B$2:$B224,$B224,$A$2:$A224,$A224)&amp;":"&amp;COUNTIFS($L$2:$L224,"Tor",$B$2:$B224,"&lt;&gt;"&amp;$B224,$A$2:$A224,$A224)+COUNTIFS($L$2:$L224,"ET",$B$2:$B224,"&lt;&gt;"&amp;$B224,$A$2:$A224,$A224),COUNTIFS($L$2:$L224,"Tor",$B$2:$B224,"&lt;&gt;"&amp;$B224,$A$2:$A224,$A224)+COUNTIFS($L$2:$L224,"ET",$B$2:$B224,"&lt;&gt;"&amp;$B224,$A$2:$A224,$A224)&amp;":"&amp;COUNTIFS($L$2:$L224,"Tor",$B$2:$B224,$B224,$A$2:$A224,$A224)+COUNTIFS($L$2:$L224,"ET",$B$2:$B224,$B224,$A$2:$A224,$A224)),""),"")</f>
        <v/>
      </c>
      <c r="J224" s="18">
        <f>_xlfn.IFNA(IF(VLOOKUP($A224,Spiele!$A$2:$D$15,3,FALSE)=$B224,(COUNTIFS($L$1:$L223,"Tor",$B$1:$B223,$B224,$A$1:$A223,$A224)+COUNTIFS($L$1:$L223,"ET",$B$1:$B223,$B224,$A$1:$A223,$A224))-(COUNTIFS($L$1:$L223,"Tor",$B$1:$B223,"&lt;&gt;"&amp;$B224,$A$1:$A223,$A224)+COUNTIFS($L$1:$L223,"ET",$B$1:$B223,"&lt;&gt;"&amp;$B224,$A$1:$A223,$A224)),(COUNTIFS($L$1:$L223,"Tor",$B$1:$B223,$B224,$A$1:$A223,$A224)+COUNTIFS($L$1:$L223,"ET",$B$1:$B223,$B224,$A$1:$A223,$A224))-(COUNTIFS($L$1:$L223,"Tor",$B$1:$B223,"&lt;&gt;"&amp;$B224,$A$1:$A223,$A224)+COUNTIFS($L$1:$L223,"ET",$B$1:$B223,"&lt;&gt;"&amp;$B224,$A$1:$A223,$A224))),"")</f>
        <v>1</v>
      </c>
      <c r="K224" s="3">
        <v>25</v>
      </c>
      <c r="L224" s="17" t="s">
        <v>18</v>
      </c>
      <c r="M224" s="2" t="s">
        <v>163</v>
      </c>
      <c r="N224" s="2" t="s">
        <v>172</v>
      </c>
      <c r="O224" s="2">
        <v>25</v>
      </c>
      <c r="P224" s="2">
        <v>13</v>
      </c>
      <c r="X224" s="2" t="s">
        <v>141</v>
      </c>
      <c r="Y224" s="17" t="s">
        <v>149</v>
      </c>
      <c r="Z224" s="14" t="s">
        <v>144</v>
      </c>
      <c r="AA224" s="14" t="s">
        <v>156</v>
      </c>
      <c r="AB224" s="18">
        <v>10</v>
      </c>
      <c r="AC224" s="13">
        <v>-2.5</v>
      </c>
      <c r="AD224" s="13">
        <v>8.5</v>
      </c>
      <c r="AE224" s="19">
        <f t="shared" si="12"/>
        <v>8.5</v>
      </c>
      <c r="AF224" s="19">
        <f t="shared" si="13"/>
        <v>43.702246514345354</v>
      </c>
      <c r="AG224" s="2" t="s">
        <v>146</v>
      </c>
      <c r="AH224" s="13">
        <v>-2</v>
      </c>
      <c r="AI224" s="13">
        <v>4</v>
      </c>
      <c r="AJ224" s="19">
        <f>IF(Abschlüsse[[#This Row],[Ergeb]]="ET","",SQRT(($AC224-$AH224)^2+($AD224-$AI224)^2))</f>
        <v>4.5276925690687087</v>
      </c>
      <c r="AK224" s="3">
        <v>1</v>
      </c>
      <c r="AL224" s="13">
        <v>-5</v>
      </c>
      <c r="AM224" s="13">
        <v>11</v>
      </c>
      <c r="AN224" s="19">
        <f t="shared" si="14"/>
        <v>3.5355339059327378</v>
      </c>
      <c r="AO224" s="3">
        <v>0</v>
      </c>
      <c r="AR224" s="19" t="str">
        <f t="shared" si="15"/>
        <v/>
      </c>
    </row>
    <row r="225" spans="1:44" ht="25.05" customHeight="1">
      <c r="A225" s="3">
        <v>8</v>
      </c>
      <c r="B225" s="2" t="s">
        <v>51</v>
      </c>
      <c r="C225" s="17" t="str">
        <f>IF($A225="","",IF(VLOOKUP($A225,Spiele!$A$2:$D$15,3,FALSE)=$B225,"H","G"))</f>
        <v>H</v>
      </c>
      <c r="D225" s="17" t="str">
        <f>IF($B225="","",IF(VLOOKUP($A225,Spiele!$A$2:$F$15,3,FALSE)=$B225,VLOOKUP($A225,Spiele!$A$2:$F$15,4,FALSE),VLOOKUP($A225,Spiele!$A$2:$F$15,3,FALSE)))</f>
        <v>FCN</v>
      </c>
      <c r="E225" s="18">
        <f>IF(Abschlüsse[[#This Row],[Ergeb]]="ET",0,COUNTIFS($A$2:$A225,$A225,$B$2:$B225,$B225,$L$2:$L225,"&lt;&gt;ET"))</f>
        <v>13</v>
      </c>
      <c r="F225" s="11">
        <v>81</v>
      </c>
      <c r="G225" s="12">
        <v>2</v>
      </c>
      <c r="H225" s="18">
        <f>COUNTIFS('Rote Karten'!$A$2:$A$4,$A225,'Rote Karten'!$D$2:$D$4,"&lt;&gt;"&amp;$B225,'Rote Karten'!$B$2:$B$4,"&lt;"&amp;$F225,'Rote Karten'!$C$2:$C$4,"&lt;="&amp;$G225)-COUNTIFS('Rote Karten'!$A$2:$A$4,$A225,'Rote Karten'!$D$2:$D$4,$B225,'Rote Karten'!$B$2:$B$4,"&lt;"&amp;$F225,'Rote Karten'!$C$2:$C$4,"&lt;="&amp;$G225)</f>
        <v>0</v>
      </c>
      <c r="I225" s="17" t="str">
        <f>IF(OR($L225="Tor",$L225="ET"),_xlfn.IFNA(IF(VLOOKUP($A225,Spiele!$A$2:$C$15,3,FALSE)=$B225,COUNTIFS($L$2:$L225,"Tor",$B$2:$B225,$B225,$A$2:$A225,$A225)+COUNTIFS($L$2:$L225,"ET",$B$2:$B225,$B225,$A$2:$A225,$A225)&amp;":"&amp;COUNTIFS($L$2:$L225,"Tor",$B$2:$B225,"&lt;&gt;"&amp;$B225,$A$2:$A225,$A225)+COUNTIFS($L$2:$L225,"ET",$B$2:$B225,"&lt;&gt;"&amp;$B225,$A$2:$A225,$A225),COUNTIFS($L$2:$L225,"Tor",$B$2:$B225,"&lt;&gt;"&amp;$B225,$A$2:$A225,$A225)+COUNTIFS($L$2:$L225,"ET",$B$2:$B225,"&lt;&gt;"&amp;$B225,$A$2:$A225,$A225)&amp;":"&amp;COUNTIFS($L$2:$L225,"Tor",$B$2:$B225,$B225,$A$2:$A225,$A225)+COUNTIFS($L$2:$L225,"ET",$B$2:$B225,$B225,$A$2:$A225,$A225)),""),"")</f>
        <v/>
      </c>
      <c r="J225" s="18">
        <f>_xlfn.IFNA(IF(VLOOKUP($A225,Spiele!$A$2:$D$15,3,FALSE)=$B225,(COUNTIFS($L$1:$L224,"Tor",$B$1:$B224,$B225,$A$1:$A224,$A225)+COUNTIFS($L$1:$L224,"ET",$B$1:$B224,$B225,$A$1:$A224,$A225))-(COUNTIFS($L$1:$L224,"Tor",$B$1:$B224,"&lt;&gt;"&amp;$B225,$A$1:$A224,$A225)+COUNTIFS($L$1:$L224,"ET",$B$1:$B224,"&lt;&gt;"&amp;$B225,$A$1:$A224,$A225)),(COUNTIFS($L$1:$L224,"Tor",$B$1:$B224,$B225,$A$1:$A224,$A225)+COUNTIFS($L$1:$L224,"ET",$B$1:$B224,$B225,$A$1:$A224,$A225))-(COUNTIFS($L$1:$L224,"Tor",$B$1:$B224,"&lt;&gt;"&amp;$B225,$A$1:$A224,$A225)+COUNTIFS($L$1:$L224,"ET",$B$1:$B224,"&lt;&gt;"&amp;$B225,$A$1:$A224,$A225))),"")</f>
        <v>-1</v>
      </c>
      <c r="K225" s="3">
        <v>26</v>
      </c>
      <c r="L225" s="17" t="s">
        <v>19</v>
      </c>
      <c r="M225" s="2" t="s">
        <v>163</v>
      </c>
      <c r="N225" s="2" t="s">
        <v>158</v>
      </c>
      <c r="X225" s="2" t="s">
        <v>151</v>
      </c>
      <c r="Y225" s="17" t="s">
        <v>149</v>
      </c>
      <c r="Z225" s="14" t="s">
        <v>150</v>
      </c>
      <c r="AA225" s="14" t="s">
        <v>156</v>
      </c>
      <c r="AB225" s="18"/>
      <c r="AC225" s="13">
        <v>3</v>
      </c>
      <c r="AD225" s="13">
        <v>26.5</v>
      </c>
      <c r="AE225" s="19">
        <f t="shared" si="12"/>
        <v>26.5</v>
      </c>
      <c r="AF225" s="19">
        <f t="shared" si="13"/>
        <v>15.53413786875184</v>
      </c>
      <c r="AG225" s="2" t="s">
        <v>146</v>
      </c>
      <c r="AH225" s="13">
        <v>0</v>
      </c>
      <c r="AI225" s="13">
        <v>3</v>
      </c>
      <c r="AJ225" s="19">
        <f>IF(Abschlüsse[[#This Row],[Ergeb]]="ET","",SQRT(($AC225-$AH225)^2+($AD225-$AI225)^2))</f>
        <v>23.690715480964268</v>
      </c>
      <c r="AK225" s="3">
        <v>1</v>
      </c>
      <c r="AL225" s="13">
        <v>5</v>
      </c>
      <c r="AM225" s="13">
        <v>25</v>
      </c>
      <c r="AN225" s="19">
        <f t="shared" si="14"/>
        <v>2.5</v>
      </c>
      <c r="AO225" s="3">
        <v>2</v>
      </c>
      <c r="AP225" s="13">
        <v>1.5</v>
      </c>
      <c r="AQ225" s="13">
        <v>21</v>
      </c>
      <c r="AR225" s="19">
        <f t="shared" si="15"/>
        <v>5.7008771254956896</v>
      </c>
    </row>
    <row r="226" spans="1:44" ht="25.05" customHeight="1">
      <c r="A226" s="3">
        <v>13</v>
      </c>
      <c r="B226" s="2" t="s">
        <v>76</v>
      </c>
      <c r="C226" s="17" t="str">
        <f>IF($A226="","",IF(VLOOKUP($A226,Spiele!$A$2:$D$15,3,FALSE)=$B226,"H","G"))</f>
        <v>G</v>
      </c>
      <c r="D226" s="17" t="str">
        <f>IF($B226="","",IF(VLOOKUP($A226,Spiele!$A$2:$F$15,3,FALSE)=$B226,VLOOKUP($A226,Spiele!$A$2:$F$15,4,FALSE),VLOOKUP($A226,Spiele!$A$2:$F$15,3,FALSE)))</f>
        <v>FCN</v>
      </c>
      <c r="E226" s="18">
        <f>IF(Abschlüsse[[#This Row],[Ergeb]]="ET",0,COUNTIFS($A$2:$A226,$A226,$B$2:$B226,$B226,$L$2:$L226,"&lt;&gt;ET"))</f>
        <v>1</v>
      </c>
      <c r="F226" s="11">
        <v>7</v>
      </c>
      <c r="G226" s="12">
        <v>1</v>
      </c>
      <c r="H226" s="18">
        <f>COUNTIFS('Rote Karten'!$A$2:$A$4,$A226,'Rote Karten'!$D$2:$D$4,"&lt;&gt;"&amp;$B226,'Rote Karten'!$B$2:$B$4,"&lt;"&amp;$F226,'Rote Karten'!$C$2:$C$4,"&lt;="&amp;$G226)-COUNTIFS('Rote Karten'!$A$2:$A$4,$A226,'Rote Karten'!$D$2:$D$4,$B226,'Rote Karten'!$B$2:$B$4,"&lt;"&amp;$F226,'Rote Karten'!$C$2:$C$4,"&lt;="&amp;$G226)</f>
        <v>0</v>
      </c>
      <c r="I226" s="17" t="str">
        <f>IF(OR($L226="Tor",$L226="ET"),_xlfn.IFNA(IF(VLOOKUP($A226,Spiele!$A$2:$C$15,3,FALSE)=$B226,COUNTIFS($L$2:$L226,"Tor",$B$2:$B226,$B226,$A$2:$A226,$A226)+COUNTIFS($L$2:$L226,"ET",$B$2:$B226,$B226,$A$2:$A226,$A226)&amp;":"&amp;COUNTIFS($L$2:$L226,"Tor",$B$2:$B226,"&lt;&gt;"&amp;$B226,$A$2:$A226,$A226)+COUNTIFS($L$2:$L226,"ET",$B$2:$B226,"&lt;&gt;"&amp;$B226,$A$2:$A226,$A226),COUNTIFS($L$2:$L226,"Tor",$B$2:$B226,"&lt;&gt;"&amp;$B226,$A$2:$A226,$A226)+COUNTIFS($L$2:$L226,"ET",$B$2:$B226,"&lt;&gt;"&amp;$B226,$A$2:$A226,$A226)&amp;":"&amp;COUNTIFS($L$2:$L226,"Tor",$B$2:$B226,$B226,$A$2:$A226,$A226)+COUNTIFS($L$2:$L226,"ET",$B$2:$B226,$B226,$A$2:$A226,$A226)),""),"")</f>
        <v/>
      </c>
      <c r="J226" s="18">
        <f>_xlfn.IFNA(IF(VLOOKUP($A226,Spiele!$A$2:$D$15,3,FALSE)=$B226,(COUNTIFS($L$1:$L225,"Tor",$B$1:$B225,$B226,$A$1:$A225,$A226)+COUNTIFS($L$1:$L225,"ET",$B$1:$B225,$B226,$A$1:$A225,$A226))-(COUNTIFS($L$1:$L225,"Tor",$B$1:$B225,"&lt;&gt;"&amp;$B226,$A$1:$A225,$A226)+COUNTIFS($L$1:$L225,"ET",$B$1:$B225,"&lt;&gt;"&amp;$B226,$A$1:$A225,$A226)),(COUNTIFS($L$1:$L225,"Tor",$B$1:$B225,$B226,$A$1:$A225,$A226)+COUNTIFS($L$1:$L225,"ET",$B$1:$B225,$B226,$A$1:$A225,$A226))-(COUNTIFS($L$1:$L225,"Tor",$B$1:$B225,"&lt;&gt;"&amp;$B226,$A$1:$A225,$A226)+COUNTIFS($L$1:$L225,"ET",$B$1:$B225,"&lt;&gt;"&amp;$B226,$A$1:$A225,$A226))),"")</f>
        <v>0</v>
      </c>
      <c r="K226" s="3">
        <v>1</v>
      </c>
      <c r="L226" s="17" t="s">
        <v>20</v>
      </c>
      <c r="M226" s="2" t="s">
        <v>163</v>
      </c>
      <c r="N226" s="2" t="s">
        <v>158</v>
      </c>
      <c r="X226" s="2" t="s">
        <v>142</v>
      </c>
      <c r="Y226" s="17" t="s">
        <v>149</v>
      </c>
      <c r="Z226" s="14" t="s">
        <v>150</v>
      </c>
      <c r="AA226" s="14" t="s">
        <v>156</v>
      </c>
      <c r="AB226" s="18"/>
      <c r="AC226" s="13">
        <v>-2</v>
      </c>
      <c r="AD226" s="13">
        <v>17.5</v>
      </c>
      <c r="AE226" s="19">
        <f t="shared" ref="AE226:AE254" si="16">IF($L226="ET","",IF($AC226&gt;3.66,SQRT($AD226^2+($AC226-(7.32/2))^2),IF($AC226&lt;-3.66,SQRT($AD226^2+($AC226+(7.32/2))^2),$AD226)))</f>
        <v>17.5</v>
      </c>
      <c r="AF226" s="19">
        <f t="shared" ref="AF226:AF254" si="17">IF($L226="ET","",IF(DEGREES(ATAN((7.32*$AD226)/($AD226^2+$AC226^2-(7.32/2)^2)))&lt;=0,180+DEGREES(ATAN((7.32*$AD226)/($AD226^2+$AC226^2-(7.32/2)^2))),DEGREES(ATAN((7.32*$AD226)/($AD226^2+$AC226^2-(7.32/2)^2)))))</f>
        <v>23.341389828691302</v>
      </c>
      <c r="AG226" s="2" t="s">
        <v>146</v>
      </c>
      <c r="AH226" s="13">
        <v>-0.5</v>
      </c>
      <c r="AI226" s="13">
        <v>0.5</v>
      </c>
      <c r="AJ226" s="19">
        <f>IF(Abschlüsse[[#This Row],[Ergeb]]="ET","",SQRT(($AC226-$AH226)^2+($AD226-$AI226)^2))</f>
        <v>17.066048165876012</v>
      </c>
      <c r="AK226" s="3">
        <v>1</v>
      </c>
      <c r="AL226" s="13">
        <v>-2.5</v>
      </c>
      <c r="AM226" s="13">
        <v>17</v>
      </c>
      <c r="AN226" s="19">
        <f t="shared" ref="AN226:AN254" si="18">IF(AK226=0,"",SQRT(($AC226-$AL226)^2+($AD226-$AM226)^2))</f>
        <v>0.70710678118654757</v>
      </c>
      <c r="AO226" s="3">
        <v>2</v>
      </c>
      <c r="AP226" s="13">
        <v>-2</v>
      </c>
      <c r="AQ226" s="13">
        <v>14</v>
      </c>
      <c r="AR226" s="19">
        <f t="shared" ref="AR226:AR254" si="19">IF(AO226=0,"",SQRT(($AC226-$AP226)^2+($AD226-$AQ226)^2))</f>
        <v>3.5</v>
      </c>
    </row>
    <row r="227" spans="1:44" ht="25.05" customHeight="1">
      <c r="A227" s="3">
        <v>13</v>
      </c>
      <c r="B227" s="2" t="s">
        <v>76</v>
      </c>
      <c r="C227" s="17" t="str">
        <f>IF($A227="","",IF(VLOOKUP($A227,Spiele!$A$2:$D$15,3,FALSE)=$B227,"H","G"))</f>
        <v>G</v>
      </c>
      <c r="D227" s="17" t="str">
        <f>IF($B227="","",IF(VLOOKUP($A227,Spiele!$A$2:$F$15,3,FALSE)=$B227,VLOOKUP($A227,Spiele!$A$2:$F$15,4,FALSE),VLOOKUP($A227,Spiele!$A$2:$F$15,3,FALSE)))</f>
        <v>FCN</v>
      </c>
      <c r="E227" s="18">
        <f>IF(Abschlüsse[[#This Row],[Ergeb]]="ET",0,COUNTIFS($A$2:$A227,$A227,$B$2:$B227,$B227,$L$2:$L227,"&lt;&gt;ET"))</f>
        <v>2</v>
      </c>
      <c r="F227" s="11">
        <v>7</v>
      </c>
      <c r="G227" s="12">
        <v>1</v>
      </c>
      <c r="H227" s="18">
        <f>COUNTIFS('Rote Karten'!$A$2:$A$4,$A227,'Rote Karten'!$D$2:$D$4,"&lt;&gt;"&amp;$B227,'Rote Karten'!$B$2:$B$4,"&lt;"&amp;$F227,'Rote Karten'!$C$2:$C$4,"&lt;="&amp;$G227)-COUNTIFS('Rote Karten'!$A$2:$A$4,$A227,'Rote Karten'!$D$2:$D$4,$B227,'Rote Karten'!$B$2:$B$4,"&lt;"&amp;$F227,'Rote Karten'!$C$2:$C$4,"&lt;="&amp;$G227)</f>
        <v>0</v>
      </c>
      <c r="I227" s="17" t="str">
        <f>IF(OR($L227="Tor",$L227="ET"),_xlfn.IFNA(IF(VLOOKUP($A227,Spiele!$A$2:$C$15,3,FALSE)=$B227,COUNTIFS($L$2:$L227,"Tor",$B$2:$B227,$B227,$A$2:$A227,$A227)+COUNTIFS($L$2:$L227,"ET",$B$2:$B227,$B227,$A$2:$A227,$A227)&amp;":"&amp;COUNTIFS($L$2:$L227,"Tor",$B$2:$B227,"&lt;&gt;"&amp;$B227,$A$2:$A227,$A227)+COUNTIFS($L$2:$L227,"ET",$B$2:$B227,"&lt;&gt;"&amp;$B227,$A$2:$A227,$A227),COUNTIFS($L$2:$L227,"Tor",$B$2:$B227,"&lt;&gt;"&amp;$B227,$A$2:$A227,$A227)+COUNTIFS($L$2:$L227,"ET",$B$2:$B227,"&lt;&gt;"&amp;$B227,$A$2:$A227,$A227)&amp;":"&amp;COUNTIFS($L$2:$L227,"Tor",$B$2:$B227,$B227,$A$2:$A227,$A227)+COUNTIFS($L$2:$L227,"ET",$B$2:$B227,$B227,$A$2:$A227,$A227)),""),"")</f>
        <v/>
      </c>
      <c r="J227" s="18">
        <f>_xlfn.IFNA(IF(VLOOKUP($A227,Spiele!$A$2:$D$15,3,FALSE)=$B227,(COUNTIFS($L$1:$L226,"Tor",$B$1:$B226,$B227,$A$1:$A226,$A227)+COUNTIFS($L$1:$L226,"ET",$B$1:$B226,$B227,$A$1:$A226,$A227))-(COUNTIFS($L$1:$L226,"Tor",$B$1:$B226,"&lt;&gt;"&amp;$B227,$A$1:$A226,$A227)+COUNTIFS($L$1:$L226,"ET",$B$1:$B226,"&lt;&gt;"&amp;$B227,$A$1:$A226,$A227)),(COUNTIFS($L$1:$L226,"Tor",$B$1:$B226,$B227,$A$1:$A226,$A227)+COUNTIFS($L$1:$L226,"ET",$B$1:$B226,$B227,$A$1:$A226,$A227))-(COUNTIFS($L$1:$L226,"Tor",$B$1:$B226,"&lt;&gt;"&amp;$B227,$A$1:$A226,$A227)+COUNTIFS($L$1:$L226,"ET",$B$1:$B226,"&lt;&gt;"&amp;$B227,$A$1:$A226,$A227))),"")</f>
        <v>0</v>
      </c>
      <c r="K227" s="3">
        <v>1</v>
      </c>
      <c r="L227" s="17" t="s">
        <v>19</v>
      </c>
      <c r="M227" s="2" t="s">
        <v>163</v>
      </c>
      <c r="N227" s="2" t="s">
        <v>165</v>
      </c>
      <c r="X227" s="2" t="s">
        <v>154</v>
      </c>
      <c r="Y227" s="17" t="s">
        <v>143</v>
      </c>
      <c r="Z227" s="14" t="s">
        <v>161</v>
      </c>
      <c r="AA227" s="14" t="s">
        <v>162</v>
      </c>
      <c r="AB227" s="18"/>
      <c r="AC227" s="13">
        <v>-12</v>
      </c>
      <c r="AD227" s="13">
        <v>15.5</v>
      </c>
      <c r="AE227" s="19">
        <f t="shared" si="16"/>
        <v>17.601295406872758</v>
      </c>
      <c r="AF227" s="19">
        <f t="shared" si="17"/>
        <v>17.011080950867086</v>
      </c>
      <c r="AG227" s="2" t="s">
        <v>146</v>
      </c>
      <c r="AH227" s="13">
        <v>-2</v>
      </c>
      <c r="AI227" s="13">
        <v>1</v>
      </c>
      <c r="AJ227" s="19">
        <f>IF(Abschlüsse[[#This Row],[Ergeb]]="ET","",SQRT(($AC227-$AH227)^2+($AD227-$AI227)^2))</f>
        <v>17.613914953808536</v>
      </c>
      <c r="AK227" s="3">
        <v>0</v>
      </c>
      <c r="AL227" s="13"/>
      <c r="AM227" s="13"/>
      <c r="AN227" s="19" t="str">
        <f t="shared" si="18"/>
        <v/>
      </c>
      <c r="AO227" s="3">
        <v>2</v>
      </c>
      <c r="AP227" s="13">
        <v>-10.5</v>
      </c>
      <c r="AQ227" s="13">
        <v>13.5</v>
      </c>
      <c r="AR227" s="19">
        <f t="shared" si="19"/>
        <v>2.5</v>
      </c>
    </row>
    <row r="228" spans="1:44" ht="25.05" customHeight="1">
      <c r="A228" s="3">
        <v>13</v>
      </c>
      <c r="B228" s="2" t="s">
        <v>8</v>
      </c>
      <c r="C228" s="17" t="str">
        <f>IF($A228="","",IF(VLOOKUP($A228,Spiele!$A$2:$D$15,3,FALSE)=$B228,"H","G"))</f>
        <v>H</v>
      </c>
      <c r="D228" s="17" t="str">
        <f>IF($B228="","",IF(VLOOKUP($A228,Spiele!$A$2:$F$15,3,FALSE)=$B228,VLOOKUP($A228,Spiele!$A$2:$F$15,4,FALSE),VLOOKUP($A228,Spiele!$A$2:$F$15,3,FALSE)))</f>
        <v>60M</v>
      </c>
      <c r="E228" s="18">
        <f>IF(Abschlüsse[[#This Row],[Ergeb]]="ET",0,COUNTIFS($A$2:$A228,$A228,$B$2:$B228,$B228,$L$2:$L228,"&lt;&gt;ET"))</f>
        <v>1</v>
      </c>
      <c r="F228" s="11">
        <v>8</v>
      </c>
      <c r="G228" s="12">
        <v>1</v>
      </c>
      <c r="H228" s="18">
        <f>COUNTIFS('Rote Karten'!$A$2:$A$4,$A228,'Rote Karten'!$D$2:$D$4,"&lt;&gt;"&amp;$B228,'Rote Karten'!$B$2:$B$4,"&lt;"&amp;$F228,'Rote Karten'!$C$2:$C$4,"&lt;="&amp;$G228)-COUNTIFS('Rote Karten'!$A$2:$A$4,$A228,'Rote Karten'!$D$2:$D$4,$B228,'Rote Karten'!$B$2:$B$4,"&lt;"&amp;$F228,'Rote Karten'!$C$2:$C$4,"&lt;="&amp;$G228)</f>
        <v>0</v>
      </c>
      <c r="I228" s="17" t="str">
        <f>IF(OR($L228="Tor",$L228="ET"),_xlfn.IFNA(IF(VLOOKUP($A228,Spiele!$A$2:$C$15,3,FALSE)=$B228,COUNTIFS($L$2:$L228,"Tor",$B$2:$B228,$B228,$A$2:$A228,$A228)+COUNTIFS($L$2:$L228,"ET",$B$2:$B228,$B228,$A$2:$A228,$A228)&amp;":"&amp;COUNTIFS($L$2:$L228,"Tor",$B$2:$B228,"&lt;&gt;"&amp;$B228,$A$2:$A228,$A228)+COUNTIFS($L$2:$L228,"ET",$B$2:$B228,"&lt;&gt;"&amp;$B228,$A$2:$A228,$A228),COUNTIFS($L$2:$L228,"Tor",$B$2:$B228,"&lt;&gt;"&amp;$B228,$A$2:$A228,$A228)+COUNTIFS($L$2:$L228,"ET",$B$2:$B228,"&lt;&gt;"&amp;$B228,$A$2:$A228,$A228)&amp;":"&amp;COUNTIFS($L$2:$L228,"Tor",$B$2:$B228,$B228,$A$2:$A228,$A228)+COUNTIFS($L$2:$L228,"ET",$B$2:$B228,$B228,$A$2:$A228,$A228)),""),"")</f>
        <v/>
      </c>
      <c r="J228" s="18">
        <f>_xlfn.IFNA(IF(VLOOKUP($A228,Spiele!$A$2:$D$15,3,FALSE)=$B228,(COUNTIFS($L$1:$L227,"Tor",$B$1:$B227,$B228,$A$1:$A227,$A228)+COUNTIFS($L$1:$L227,"ET",$B$1:$B227,$B228,$A$1:$A227,$A228))-(COUNTIFS($L$1:$L227,"Tor",$B$1:$B227,"&lt;&gt;"&amp;$B228,$A$1:$A227,$A228)+COUNTIFS($L$1:$L227,"ET",$B$1:$B227,"&lt;&gt;"&amp;$B228,$A$1:$A227,$A228)),(COUNTIFS($L$1:$L227,"Tor",$B$1:$B227,$B228,$A$1:$A227,$A228)+COUNTIFS($L$1:$L227,"ET",$B$1:$B227,$B228,$A$1:$A227,$A228))-(COUNTIFS($L$1:$L227,"Tor",$B$1:$B227,"&lt;&gt;"&amp;$B228,$A$1:$A227,$A228)+COUNTIFS($L$1:$L227,"ET",$B$1:$B227,"&lt;&gt;"&amp;$B228,$A$1:$A227,$A228))),"")</f>
        <v>0</v>
      </c>
      <c r="K228" s="3">
        <v>2</v>
      </c>
      <c r="L228" s="17" t="s">
        <v>19</v>
      </c>
      <c r="M228" s="2" t="s">
        <v>163</v>
      </c>
      <c r="N228" s="2" t="s">
        <v>164</v>
      </c>
      <c r="O228" s="2">
        <v>8</v>
      </c>
      <c r="X228" s="2" t="s">
        <v>151</v>
      </c>
      <c r="Y228" s="17" t="s">
        <v>143</v>
      </c>
      <c r="Z228" s="14" t="s">
        <v>150</v>
      </c>
      <c r="AA228" s="14" t="s">
        <v>156</v>
      </c>
      <c r="AB228" s="18">
        <v>9</v>
      </c>
      <c r="AC228" s="13">
        <v>-3.5</v>
      </c>
      <c r="AD228" s="13">
        <v>11.5</v>
      </c>
      <c r="AE228" s="19">
        <f t="shared" si="16"/>
        <v>11.5</v>
      </c>
      <c r="AF228" s="19">
        <f t="shared" si="17"/>
        <v>32.703859314557576</v>
      </c>
      <c r="AG228" s="2" t="s">
        <v>146</v>
      </c>
      <c r="AH228" s="13">
        <v>-1.5</v>
      </c>
      <c r="AI228" s="13">
        <v>3.5</v>
      </c>
      <c r="AJ228" s="19">
        <f>IF(Abschlüsse[[#This Row],[Ergeb]]="ET","",SQRT(($AC228-$AH228)^2+($AD228-$AI228)^2))</f>
        <v>8.2462112512353212</v>
      </c>
      <c r="AK228" s="3">
        <v>0</v>
      </c>
      <c r="AL228" s="13"/>
      <c r="AM228" s="13"/>
      <c r="AN228" s="19" t="str">
        <f t="shared" si="18"/>
        <v/>
      </c>
      <c r="AO228" s="3">
        <v>1</v>
      </c>
      <c r="AP228" s="13">
        <v>-3.5</v>
      </c>
      <c r="AQ228" s="13">
        <v>9.5</v>
      </c>
      <c r="AR228" s="19">
        <f t="shared" si="19"/>
        <v>2</v>
      </c>
    </row>
    <row r="229" spans="1:44" ht="25.05" customHeight="1">
      <c r="A229" s="3">
        <v>13</v>
      </c>
      <c r="B229" s="2" t="s">
        <v>76</v>
      </c>
      <c r="C229" s="17" t="str">
        <f>IF($A229="","",IF(VLOOKUP($A229,Spiele!$A$2:$D$15,3,FALSE)=$B229,"H","G"))</f>
        <v>G</v>
      </c>
      <c r="D229" s="17" t="str">
        <f>IF($B229="","",IF(VLOOKUP($A229,Spiele!$A$2:$F$15,3,FALSE)=$B229,VLOOKUP($A229,Spiele!$A$2:$F$15,4,FALSE),VLOOKUP($A229,Spiele!$A$2:$F$15,3,FALSE)))</f>
        <v>FCN</v>
      </c>
      <c r="E229" s="18">
        <f>IF(Abschlüsse[[#This Row],[Ergeb]]="ET",0,COUNTIFS($A$2:$A229,$A229,$B$2:$B229,$B229,$L$2:$L229,"&lt;&gt;ET"))</f>
        <v>3</v>
      </c>
      <c r="F229" s="11">
        <v>9</v>
      </c>
      <c r="G229" s="12">
        <v>1</v>
      </c>
      <c r="H229" s="18">
        <f>COUNTIFS('Rote Karten'!$A$2:$A$4,$A229,'Rote Karten'!$D$2:$D$4,"&lt;&gt;"&amp;$B229,'Rote Karten'!$B$2:$B$4,"&lt;"&amp;$F229,'Rote Karten'!$C$2:$C$4,"&lt;="&amp;$G229)-COUNTIFS('Rote Karten'!$A$2:$A$4,$A229,'Rote Karten'!$D$2:$D$4,$B229,'Rote Karten'!$B$2:$B$4,"&lt;"&amp;$F229,'Rote Karten'!$C$2:$C$4,"&lt;="&amp;$G229)</f>
        <v>0</v>
      </c>
      <c r="I229" s="17" t="str">
        <f>IF(OR($L229="Tor",$L229="ET"),_xlfn.IFNA(IF(VLOOKUP($A229,Spiele!$A$2:$C$15,3,FALSE)=$B229,COUNTIFS($L$2:$L229,"Tor",$B$2:$B229,$B229,$A$2:$A229,$A229)+COUNTIFS($L$2:$L229,"ET",$B$2:$B229,$B229,$A$2:$A229,$A229)&amp;":"&amp;COUNTIFS($L$2:$L229,"Tor",$B$2:$B229,"&lt;&gt;"&amp;$B229,$A$2:$A229,$A229)+COUNTIFS($L$2:$L229,"ET",$B$2:$B229,"&lt;&gt;"&amp;$B229,$A$2:$A229,$A229),COUNTIFS($L$2:$L229,"Tor",$B$2:$B229,"&lt;&gt;"&amp;$B229,$A$2:$A229,$A229)+COUNTIFS($L$2:$L229,"ET",$B$2:$B229,"&lt;&gt;"&amp;$B229,$A$2:$A229,$A229)&amp;":"&amp;COUNTIFS($L$2:$L229,"Tor",$B$2:$B229,$B229,$A$2:$A229,$A229)+COUNTIFS($L$2:$L229,"ET",$B$2:$B229,$B229,$A$2:$A229,$A229)),""),"")</f>
        <v/>
      </c>
      <c r="J229" s="18">
        <f>_xlfn.IFNA(IF(VLOOKUP($A229,Spiele!$A$2:$D$15,3,FALSE)=$B229,(COUNTIFS($L$1:$L228,"Tor",$B$1:$B228,$B229,$A$1:$A228,$A229)+COUNTIFS($L$1:$L228,"ET",$B$1:$B228,$B229,$A$1:$A228,$A229))-(COUNTIFS($L$1:$L228,"Tor",$B$1:$B228,"&lt;&gt;"&amp;$B229,$A$1:$A228,$A229)+COUNTIFS($L$1:$L228,"ET",$B$1:$B228,"&lt;&gt;"&amp;$B229,$A$1:$A228,$A229)),(COUNTIFS($L$1:$L228,"Tor",$B$1:$B228,$B229,$A$1:$A228,$A229)+COUNTIFS($L$1:$L228,"ET",$B$1:$B228,$B229,$A$1:$A228,$A229))-(COUNTIFS($L$1:$L228,"Tor",$B$1:$B228,"&lt;&gt;"&amp;$B229,$A$1:$A228,$A229)+COUNTIFS($L$1:$L228,"ET",$B$1:$B228,"&lt;&gt;"&amp;$B229,$A$1:$A228,$A229))),"")</f>
        <v>0</v>
      </c>
      <c r="K229" s="3">
        <v>3</v>
      </c>
      <c r="L229" s="17" t="s">
        <v>18</v>
      </c>
      <c r="M229" s="2" t="s">
        <v>147</v>
      </c>
      <c r="N229" s="2" t="s">
        <v>158</v>
      </c>
      <c r="X229" s="2" t="s">
        <v>154</v>
      </c>
      <c r="Y229" s="17" t="s">
        <v>143</v>
      </c>
      <c r="Z229" s="14" t="s">
        <v>144</v>
      </c>
      <c r="AA229" s="14" t="s">
        <v>156</v>
      </c>
      <c r="AB229" s="18"/>
      <c r="AC229" s="13">
        <v>-0.5</v>
      </c>
      <c r="AD229" s="13">
        <v>15.5</v>
      </c>
      <c r="AE229" s="19">
        <f t="shared" si="16"/>
        <v>15.5</v>
      </c>
      <c r="AF229" s="19">
        <f t="shared" si="17"/>
        <v>26.546439371443093</v>
      </c>
      <c r="AG229" s="2" t="s">
        <v>146</v>
      </c>
      <c r="AH229" s="13">
        <v>0.5</v>
      </c>
      <c r="AI229" s="13">
        <v>0.5</v>
      </c>
      <c r="AJ229" s="19">
        <f>IF(Abschlüsse[[#This Row],[Ergeb]]="ET","",SQRT(($AC229-$AH229)^2+($AD229-$AI229)^2))</f>
        <v>15.033296378372908</v>
      </c>
      <c r="AK229" s="3">
        <v>0</v>
      </c>
      <c r="AL229" s="13"/>
      <c r="AM229" s="13"/>
      <c r="AN229" s="19" t="str">
        <f t="shared" si="18"/>
        <v/>
      </c>
      <c r="AO229" s="3">
        <v>2</v>
      </c>
      <c r="AP229" s="13">
        <v>-1</v>
      </c>
      <c r="AQ229" s="13">
        <v>9.5</v>
      </c>
      <c r="AR229" s="19">
        <f t="shared" si="19"/>
        <v>6.0207972893961479</v>
      </c>
    </row>
    <row r="230" spans="1:44" ht="25.05" customHeight="1">
      <c r="A230" s="3">
        <v>13</v>
      </c>
      <c r="B230" s="2" t="s">
        <v>8</v>
      </c>
      <c r="C230" s="17" t="str">
        <f>IF($A230="","",IF(VLOOKUP($A230,Spiele!$A$2:$D$15,3,FALSE)=$B230,"H","G"))</f>
        <v>H</v>
      </c>
      <c r="D230" s="17" t="str">
        <f>IF($B230="","",IF(VLOOKUP($A230,Spiele!$A$2:$F$15,3,FALSE)=$B230,VLOOKUP($A230,Spiele!$A$2:$F$15,4,FALSE),VLOOKUP($A230,Spiele!$A$2:$F$15,3,FALSE)))</f>
        <v>60M</v>
      </c>
      <c r="E230" s="18">
        <f>IF(Abschlüsse[[#This Row],[Ergeb]]="ET",0,COUNTIFS($A$2:$A230,$A230,$B$2:$B230,$B230,$L$2:$L230,"&lt;&gt;ET"))</f>
        <v>2</v>
      </c>
      <c r="F230" s="11">
        <v>10</v>
      </c>
      <c r="G230" s="12">
        <v>1</v>
      </c>
      <c r="H230" s="18">
        <f>COUNTIFS('Rote Karten'!$A$2:$A$4,$A230,'Rote Karten'!$D$2:$D$4,"&lt;&gt;"&amp;$B230,'Rote Karten'!$B$2:$B$4,"&lt;"&amp;$F230,'Rote Karten'!$C$2:$C$4,"&lt;="&amp;$G230)-COUNTIFS('Rote Karten'!$A$2:$A$4,$A230,'Rote Karten'!$D$2:$D$4,$B230,'Rote Karten'!$B$2:$B$4,"&lt;"&amp;$F230,'Rote Karten'!$C$2:$C$4,"&lt;="&amp;$G230)</f>
        <v>0</v>
      </c>
      <c r="I230" s="17" t="str">
        <f>IF(OR($L230="Tor",$L230="ET"),_xlfn.IFNA(IF(VLOOKUP($A230,Spiele!$A$2:$C$15,3,FALSE)=$B230,COUNTIFS($L$2:$L230,"Tor",$B$2:$B230,$B230,$A$2:$A230,$A230)+COUNTIFS($L$2:$L230,"ET",$B$2:$B230,$B230,$A$2:$A230,$A230)&amp;":"&amp;COUNTIFS($L$2:$L230,"Tor",$B$2:$B230,"&lt;&gt;"&amp;$B230,$A$2:$A230,$A230)+COUNTIFS($L$2:$L230,"ET",$B$2:$B230,"&lt;&gt;"&amp;$B230,$A$2:$A230,$A230),COUNTIFS($L$2:$L230,"Tor",$B$2:$B230,"&lt;&gt;"&amp;$B230,$A$2:$A230,$A230)+COUNTIFS($L$2:$L230,"ET",$B$2:$B230,"&lt;&gt;"&amp;$B230,$A$2:$A230,$A230)&amp;":"&amp;COUNTIFS($L$2:$L230,"Tor",$B$2:$B230,$B230,$A$2:$A230,$A230)+COUNTIFS($L$2:$L230,"ET",$B$2:$B230,$B230,$A$2:$A230,$A230)),""),"")</f>
        <v/>
      </c>
      <c r="J230" s="18">
        <f>_xlfn.IFNA(IF(VLOOKUP($A230,Spiele!$A$2:$D$15,3,FALSE)=$B230,(COUNTIFS($L$1:$L229,"Tor",$B$1:$B229,$B230,$A$1:$A229,$A230)+COUNTIFS($L$1:$L229,"ET",$B$1:$B229,$B230,$A$1:$A229,$A230))-(COUNTIFS($L$1:$L229,"Tor",$B$1:$B229,"&lt;&gt;"&amp;$B230,$A$1:$A229,$A230)+COUNTIFS($L$1:$L229,"ET",$B$1:$B229,"&lt;&gt;"&amp;$B230,$A$1:$A229,$A230)),(COUNTIFS($L$1:$L229,"Tor",$B$1:$B229,$B230,$A$1:$A229,$A230)+COUNTIFS($L$1:$L229,"ET",$B$1:$B229,$B230,$A$1:$A229,$A230))-(COUNTIFS($L$1:$L229,"Tor",$B$1:$B229,"&lt;&gt;"&amp;$B230,$A$1:$A229,$A230)+COUNTIFS($L$1:$L229,"ET",$B$1:$B229,"&lt;&gt;"&amp;$B230,$A$1:$A229,$A230))),"")</f>
        <v>0</v>
      </c>
      <c r="K230" s="3">
        <v>4</v>
      </c>
      <c r="L230" s="17" t="s">
        <v>19</v>
      </c>
      <c r="M230" s="2" t="s">
        <v>163</v>
      </c>
      <c r="N230" s="2" t="s">
        <v>152</v>
      </c>
      <c r="O230" s="2">
        <v>9</v>
      </c>
      <c r="P230" s="2">
        <v>6</v>
      </c>
      <c r="Q230" s="2">
        <v>7</v>
      </c>
      <c r="R230" s="2">
        <v>23</v>
      </c>
      <c r="X230" s="2" t="s">
        <v>151</v>
      </c>
      <c r="Y230" s="17" t="s">
        <v>143</v>
      </c>
      <c r="Z230" s="14" t="s">
        <v>150</v>
      </c>
      <c r="AA230" s="14" t="s">
        <v>145</v>
      </c>
      <c r="AB230" s="18">
        <v>7</v>
      </c>
      <c r="AC230" s="13">
        <v>15</v>
      </c>
      <c r="AD230" s="13">
        <v>7.5</v>
      </c>
      <c r="AE230" s="19">
        <f t="shared" si="16"/>
        <v>13.595793467098565</v>
      </c>
      <c r="AF230" s="19">
        <f t="shared" si="17"/>
        <v>11.583042211219654</v>
      </c>
      <c r="AG230" s="2" t="s">
        <v>146</v>
      </c>
      <c r="AH230" s="13">
        <v>4</v>
      </c>
      <c r="AI230" s="13">
        <v>1.5</v>
      </c>
      <c r="AJ230" s="19">
        <f>IF(Abschlüsse[[#This Row],[Ergeb]]="ET","",SQRT(($AC230-$AH230)^2+($AD230-$AI230)^2))</f>
        <v>12.529964086141668</v>
      </c>
      <c r="AK230" s="3">
        <v>1</v>
      </c>
      <c r="AL230" s="13">
        <v>13.5</v>
      </c>
      <c r="AM230" s="13">
        <v>8.5</v>
      </c>
      <c r="AN230" s="19">
        <f t="shared" si="18"/>
        <v>1.8027756377319946</v>
      </c>
      <c r="AO230" s="3">
        <v>0</v>
      </c>
      <c r="AR230" s="19" t="str">
        <f t="shared" si="19"/>
        <v/>
      </c>
    </row>
    <row r="231" spans="1:44" ht="25.05" customHeight="1">
      <c r="A231" s="3">
        <v>13</v>
      </c>
      <c r="B231" s="2" t="s">
        <v>76</v>
      </c>
      <c r="C231" s="17" t="str">
        <f>IF($A231="","",IF(VLOOKUP($A231,Spiele!$A$2:$D$15,3,FALSE)=$B231,"H","G"))</f>
        <v>G</v>
      </c>
      <c r="D231" s="17" t="str">
        <f>IF($B231="","",IF(VLOOKUP($A231,Spiele!$A$2:$F$15,3,FALSE)=$B231,VLOOKUP($A231,Spiele!$A$2:$F$15,4,FALSE),VLOOKUP($A231,Spiele!$A$2:$F$15,3,FALSE)))</f>
        <v>FCN</v>
      </c>
      <c r="E231" s="18">
        <f>IF(Abschlüsse[[#This Row],[Ergeb]]="ET",0,COUNTIFS($A$2:$A231,$A231,$B$2:$B231,$B231,$L$2:$L231,"&lt;&gt;ET"))</f>
        <v>4</v>
      </c>
      <c r="F231" s="11">
        <v>14</v>
      </c>
      <c r="G231" s="12">
        <v>1</v>
      </c>
      <c r="H231" s="18">
        <f>COUNTIFS('Rote Karten'!$A$2:$A$4,$A231,'Rote Karten'!$D$2:$D$4,"&lt;&gt;"&amp;$B231,'Rote Karten'!$B$2:$B$4,"&lt;"&amp;$F231,'Rote Karten'!$C$2:$C$4,"&lt;="&amp;$G231)-COUNTIFS('Rote Karten'!$A$2:$A$4,$A231,'Rote Karten'!$D$2:$D$4,$B231,'Rote Karten'!$B$2:$B$4,"&lt;"&amp;$F231,'Rote Karten'!$C$2:$C$4,"&lt;="&amp;$G231)</f>
        <v>0</v>
      </c>
      <c r="I231" s="17" t="str">
        <f>IF(OR($L231="Tor",$L231="ET"),_xlfn.IFNA(IF(VLOOKUP($A231,Spiele!$A$2:$C$15,3,FALSE)=$B231,COUNTIFS($L$2:$L231,"Tor",$B$2:$B231,$B231,$A$2:$A231,$A231)+COUNTIFS($L$2:$L231,"ET",$B$2:$B231,$B231,$A$2:$A231,$A231)&amp;":"&amp;COUNTIFS($L$2:$L231,"Tor",$B$2:$B231,"&lt;&gt;"&amp;$B231,$A$2:$A231,$A231)+COUNTIFS($L$2:$L231,"ET",$B$2:$B231,"&lt;&gt;"&amp;$B231,$A$2:$A231,$A231),COUNTIFS($L$2:$L231,"Tor",$B$2:$B231,"&lt;&gt;"&amp;$B231,$A$2:$A231,$A231)+COUNTIFS($L$2:$L231,"ET",$B$2:$B231,"&lt;&gt;"&amp;$B231,$A$2:$A231,$A231)&amp;":"&amp;COUNTIFS($L$2:$L231,"Tor",$B$2:$B231,$B231,$A$2:$A231,$A231)+COUNTIFS($L$2:$L231,"ET",$B$2:$B231,$B231,$A$2:$A231,$A231)),""),"")</f>
        <v/>
      </c>
      <c r="J231" s="18">
        <f>_xlfn.IFNA(IF(VLOOKUP($A231,Spiele!$A$2:$D$15,3,FALSE)=$B231,(COUNTIFS($L$1:$L230,"Tor",$B$1:$B230,$B231,$A$1:$A230,$A231)+COUNTIFS($L$1:$L230,"ET",$B$1:$B230,$B231,$A$1:$A230,$A231))-(COUNTIFS($L$1:$L230,"Tor",$B$1:$B230,"&lt;&gt;"&amp;$B231,$A$1:$A230,$A231)+COUNTIFS($L$1:$L230,"ET",$B$1:$B230,"&lt;&gt;"&amp;$B231,$A$1:$A230,$A231)),(COUNTIFS($L$1:$L230,"Tor",$B$1:$B230,$B231,$A$1:$A230,$A231)+COUNTIFS($L$1:$L230,"ET",$B$1:$B230,$B231,$A$1:$A230,$A231))-(COUNTIFS($L$1:$L230,"Tor",$B$1:$B230,"&lt;&gt;"&amp;$B231,$A$1:$A230,$A231)+COUNTIFS($L$1:$L230,"ET",$B$1:$B230,"&lt;&gt;"&amp;$B231,$A$1:$A230,$A231))),"")</f>
        <v>0</v>
      </c>
      <c r="K231" s="3">
        <v>5</v>
      </c>
      <c r="L231" s="17" t="s">
        <v>20</v>
      </c>
      <c r="M231" s="2" t="s">
        <v>147</v>
      </c>
      <c r="N231" s="2" t="s">
        <v>153</v>
      </c>
      <c r="X231" s="2" t="s">
        <v>154</v>
      </c>
      <c r="Y231" s="17" t="s">
        <v>160</v>
      </c>
      <c r="Z231" s="14" t="s">
        <v>161</v>
      </c>
      <c r="AA231" s="14" t="s">
        <v>156</v>
      </c>
      <c r="AB231" s="18"/>
      <c r="AC231" s="13">
        <v>7.5</v>
      </c>
      <c r="AD231" s="13">
        <v>13</v>
      </c>
      <c r="AE231" s="19">
        <f t="shared" si="16"/>
        <v>13.555279414309393</v>
      </c>
      <c r="AF231" s="19">
        <f t="shared" si="17"/>
        <v>24.188491715950388</v>
      </c>
      <c r="AG231" s="2" t="s">
        <v>146</v>
      </c>
      <c r="AH231" s="13">
        <v>1</v>
      </c>
      <c r="AI231" s="13">
        <v>0.5</v>
      </c>
      <c r="AJ231" s="19">
        <f>IF(Abschlüsse[[#This Row],[Ergeb]]="ET","",SQRT(($AC231-$AH231)^2+($AD231-$AI231)^2))</f>
        <v>14.089002803605371</v>
      </c>
      <c r="AK231" s="3">
        <v>0</v>
      </c>
      <c r="AL231" s="13"/>
      <c r="AM231" s="13"/>
      <c r="AN231" s="19" t="str">
        <f t="shared" si="18"/>
        <v/>
      </c>
      <c r="AO231" s="3">
        <v>2</v>
      </c>
      <c r="AP231" s="13">
        <v>7</v>
      </c>
      <c r="AQ231" s="13">
        <v>12</v>
      </c>
      <c r="AR231" s="19">
        <f t="shared" si="19"/>
        <v>1.1180339887498949</v>
      </c>
    </row>
    <row r="232" spans="1:44" ht="25.05" customHeight="1">
      <c r="A232" s="3">
        <v>13</v>
      </c>
      <c r="B232" s="2" t="s">
        <v>76</v>
      </c>
      <c r="C232" s="17" t="str">
        <f>IF($A232="","",IF(VLOOKUP($A232,Spiele!$A$2:$D$15,3,FALSE)=$B232,"H","G"))</f>
        <v>G</v>
      </c>
      <c r="D232" s="17" t="str">
        <f>IF($B232="","",IF(VLOOKUP($A232,Spiele!$A$2:$F$15,3,FALSE)=$B232,VLOOKUP($A232,Spiele!$A$2:$F$15,4,FALSE),VLOOKUP($A232,Spiele!$A$2:$F$15,3,FALSE)))</f>
        <v>FCN</v>
      </c>
      <c r="E232" s="18">
        <f>IF(Abschlüsse[[#This Row],[Ergeb]]="ET",0,COUNTIFS($A$2:$A232,$A232,$B$2:$B232,$B232,$L$2:$L232,"&lt;&gt;ET"))</f>
        <v>5</v>
      </c>
      <c r="F232" s="11">
        <v>18</v>
      </c>
      <c r="G232" s="12">
        <v>1</v>
      </c>
      <c r="H232" s="18">
        <f>COUNTIFS('Rote Karten'!$A$2:$A$4,$A232,'Rote Karten'!$D$2:$D$4,"&lt;&gt;"&amp;$B232,'Rote Karten'!$B$2:$B$4,"&lt;"&amp;$F232,'Rote Karten'!$C$2:$C$4,"&lt;="&amp;$G232)-COUNTIFS('Rote Karten'!$A$2:$A$4,$A232,'Rote Karten'!$D$2:$D$4,$B232,'Rote Karten'!$B$2:$B$4,"&lt;"&amp;$F232,'Rote Karten'!$C$2:$C$4,"&lt;="&amp;$G232)</f>
        <v>0</v>
      </c>
      <c r="I232" s="17" t="str">
        <f>IF(OR($L232="Tor",$L232="ET"),_xlfn.IFNA(IF(VLOOKUP($A232,Spiele!$A$2:$C$15,3,FALSE)=$B232,COUNTIFS($L$2:$L232,"Tor",$B$2:$B232,$B232,$A$2:$A232,$A232)+COUNTIFS($L$2:$L232,"ET",$B$2:$B232,$B232,$A$2:$A232,$A232)&amp;":"&amp;COUNTIFS($L$2:$L232,"Tor",$B$2:$B232,"&lt;&gt;"&amp;$B232,$A$2:$A232,$A232)+COUNTIFS($L$2:$L232,"ET",$B$2:$B232,"&lt;&gt;"&amp;$B232,$A$2:$A232,$A232),COUNTIFS($L$2:$L232,"Tor",$B$2:$B232,"&lt;&gt;"&amp;$B232,$A$2:$A232,$A232)+COUNTIFS($L$2:$L232,"ET",$B$2:$B232,"&lt;&gt;"&amp;$B232,$A$2:$A232,$A232)&amp;":"&amp;COUNTIFS($L$2:$L232,"Tor",$B$2:$B232,$B232,$A$2:$A232,$A232)+COUNTIFS($L$2:$L232,"ET",$B$2:$B232,$B232,$A$2:$A232,$A232)),""),"")</f>
        <v/>
      </c>
      <c r="J232" s="18">
        <f>_xlfn.IFNA(IF(VLOOKUP($A232,Spiele!$A$2:$D$15,3,FALSE)=$B232,(COUNTIFS($L$1:$L231,"Tor",$B$1:$B231,$B232,$A$1:$A231,$A232)+COUNTIFS($L$1:$L231,"ET",$B$1:$B231,$B232,$A$1:$A231,$A232))-(COUNTIFS($L$1:$L231,"Tor",$B$1:$B231,"&lt;&gt;"&amp;$B232,$A$1:$A231,$A232)+COUNTIFS($L$1:$L231,"ET",$B$1:$B231,"&lt;&gt;"&amp;$B232,$A$1:$A231,$A232)),(COUNTIFS($L$1:$L231,"Tor",$B$1:$B231,$B232,$A$1:$A231,$A232)+COUNTIFS($L$1:$L231,"ET",$B$1:$B231,$B232,$A$1:$A231,$A232))-(COUNTIFS($L$1:$L231,"Tor",$B$1:$B231,"&lt;&gt;"&amp;$B232,$A$1:$A231,$A232)+COUNTIFS($L$1:$L231,"ET",$B$1:$B231,"&lt;&gt;"&amp;$B232,$A$1:$A231,$A232))),"")</f>
        <v>0</v>
      </c>
      <c r="K232" s="3">
        <v>6</v>
      </c>
      <c r="L232" s="17" t="s">
        <v>20</v>
      </c>
      <c r="M232" s="2" t="s">
        <v>163</v>
      </c>
      <c r="N232" s="2" t="s">
        <v>3</v>
      </c>
      <c r="X232" s="2" t="s">
        <v>141</v>
      </c>
      <c r="Y232" s="17" t="s">
        <v>149</v>
      </c>
      <c r="Z232" s="14" t="s">
        <v>150</v>
      </c>
      <c r="AA232" s="14" t="s">
        <v>145</v>
      </c>
      <c r="AB232" s="18"/>
      <c r="AC232" s="13">
        <v>1</v>
      </c>
      <c r="AD232" s="13">
        <v>19</v>
      </c>
      <c r="AE232" s="19">
        <f t="shared" si="16"/>
        <v>19</v>
      </c>
      <c r="AF232" s="19">
        <f t="shared" si="17"/>
        <v>21.750134253188115</v>
      </c>
      <c r="AG232" s="2" t="s">
        <v>146</v>
      </c>
      <c r="AH232" s="13">
        <v>0</v>
      </c>
      <c r="AI232" s="13">
        <v>0.5</v>
      </c>
      <c r="AJ232" s="19">
        <f>IF(Abschlüsse[[#This Row],[Ergeb]]="ET","",SQRT(($AC232-$AH232)^2+($AD232-$AI232)^2))</f>
        <v>18.527007313648905</v>
      </c>
      <c r="AK232" s="3">
        <v>1</v>
      </c>
      <c r="AL232" s="13">
        <v>-1.5</v>
      </c>
      <c r="AM232" s="13">
        <v>18</v>
      </c>
      <c r="AN232" s="19">
        <f t="shared" si="18"/>
        <v>2.6925824035672519</v>
      </c>
      <c r="AO232" s="3">
        <v>2</v>
      </c>
      <c r="AP232" s="13">
        <v>1</v>
      </c>
      <c r="AQ232" s="13">
        <v>14</v>
      </c>
      <c r="AR232" s="19">
        <f t="shared" si="19"/>
        <v>5</v>
      </c>
    </row>
    <row r="233" spans="1:44" ht="25.05" customHeight="1">
      <c r="A233" s="3">
        <v>13</v>
      </c>
      <c r="B233" s="2" t="s">
        <v>76</v>
      </c>
      <c r="C233" s="17" t="str">
        <f>IF($A233="","",IF(VLOOKUP($A233,Spiele!$A$2:$D$15,3,FALSE)=$B233,"H","G"))</f>
        <v>G</v>
      </c>
      <c r="D233" s="17" t="str">
        <f>IF($B233="","",IF(VLOOKUP($A233,Spiele!$A$2:$F$15,3,FALSE)=$B233,VLOOKUP($A233,Spiele!$A$2:$F$15,4,FALSE),VLOOKUP($A233,Spiele!$A$2:$F$15,3,FALSE)))</f>
        <v>FCN</v>
      </c>
      <c r="E233" s="18">
        <f>IF(Abschlüsse[[#This Row],[Ergeb]]="ET",0,COUNTIFS($A$2:$A233,$A233,$B$2:$B233,$B233,$L$2:$L233,"&lt;&gt;ET"))</f>
        <v>6</v>
      </c>
      <c r="F233" s="11">
        <v>18</v>
      </c>
      <c r="G233" s="12">
        <v>1</v>
      </c>
      <c r="H233" s="18">
        <f>COUNTIFS('Rote Karten'!$A$2:$A$4,$A233,'Rote Karten'!$D$2:$D$4,"&lt;&gt;"&amp;$B233,'Rote Karten'!$B$2:$B$4,"&lt;"&amp;$F233,'Rote Karten'!$C$2:$C$4,"&lt;="&amp;$G233)-COUNTIFS('Rote Karten'!$A$2:$A$4,$A233,'Rote Karten'!$D$2:$D$4,$B233,'Rote Karten'!$B$2:$B$4,"&lt;"&amp;$F233,'Rote Karten'!$C$2:$C$4,"&lt;="&amp;$G233)</f>
        <v>0</v>
      </c>
      <c r="I233" s="17" t="str">
        <f>IF(OR($L233="Tor",$L233="ET"),_xlfn.IFNA(IF(VLOOKUP($A233,Spiele!$A$2:$C$15,3,FALSE)=$B233,COUNTIFS($L$2:$L233,"Tor",$B$2:$B233,$B233,$A$2:$A233,$A233)+COUNTIFS($L$2:$L233,"ET",$B$2:$B233,$B233,$A$2:$A233,$A233)&amp;":"&amp;COUNTIFS($L$2:$L233,"Tor",$B$2:$B233,"&lt;&gt;"&amp;$B233,$A$2:$A233,$A233)+COUNTIFS($L$2:$L233,"ET",$B$2:$B233,"&lt;&gt;"&amp;$B233,$A$2:$A233,$A233),COUNTIFS($L$2:$L233,"Tor",$B$2:$B233,"&lt;&gt;"&amp;$B233,$A$2:$A233,$A233)+COUNTIFS($L$2:$L233,"ET",$B$2:$B233,"&lt;&gt;"&amp;$B233,$A$2:$A233,$A233)&amp;":"&amp;COUNTIFS($L$2:$L233,"Tor",$B$2:$B233,$B233,$A$2:$A233,$A233)+COUNTIFS($L$2:$L233,"ET",$B$2:$B233,$B233,$A$2:$A233,$A233)),""),"")</f>
        <v/>
      </c>
      <c r="J233" s="18">
        <f>_xlfn.IFNA(IF(VLOOKUP($A233,Spiele!$A$2:$D$15,3,FALSE)=$B233,(COUNTIFS($L$1:$L232,"Tor",$B$1:$B232,$B233,$A$1:$A232,$A233)+COUNTIFS($L$1:$L232,"ET",$B$1:$B232,$B233,$A$1:$A232,$A233))-(COUNTIFS($L$1:$L232,"Tor",$B$1:$B232,"&lt;&gt;"&amp;$B233,$A$1:$A232,$A233)+COUNTIFS($L$1:$L232,"ET",$B$1:$B232,"&lt;&gt;"&amp;$B233,$A$1:$A232,$A233)),(COUNTIFS($L$1:$L232,"Tor",$B$1:$B232,$B233,$A$1:$A232,$A233)+COUNTIFS($L$1:$L232,"ET",$B$1:$B232,$B233,$A$1:$A232,$A233))-(COUNTIFS($L$1:$L232,"Tor",$B$1:$B232,"&lt;&gt;"&amp;$B233,$A$1:$A232,$A233)+COUNTIFS($L$1:$L232,"ET",$B$1:$B232,"&lt;&gt;"&amp;$B233,$A$1:$A232,$A233))),"")</f>
        <v>0</v>
      </c>
      <c r="K233" s="3">
        <v>6</v>
      </c>
      <c r="L233" s="17" t="s">
        <v>20</v>
      </c>
      <c r="M233" s="2" t="s">
        <v>163</v>
      </c>
      <c r="N233" s="2" t="s">
        <v>3</v>
      </c>
      <c r="X233" s="2" t="s">
        <v>142</v>
      </c>
      <c r="Y233" s="17" t="s">
        <v>149</v>
      </c>
      <c r="Z233" s="14" t="s">
        <v>150</v>
      </c>
      <c r="AA233" s="14" t="s">
        <v>145</v>
      </c>
      <c r="AB233" s="18"/>
      <c r="AC233" s="13">
        <v>6.5</v>
      </c>
      <c r="AD233" s="13">
        <v>14.5</v>
      </c>
      <c r="AE233" s="19">
        <f t="shared" si="16"/>
        <v>14.775506759498978</v>
      </c>
      <c r="AF233" s="19">
        <f t="shared" si="17"/>
        <v>23.936746455580142</v>
      </c>
      <c r="AG233" s="2" t="s">
        <v>146</v>
      </c>
      <c r="AH233" s="13">
        <v>0.5</v>
      </c>
      <c r="AI233" s="13">
        <v>0.5</v>
      </c>
      <c r="AJ233" s="19">
        <f>IF(Abschlüsse[[#This Row],[Ergeb]]="ET","",SQRT(($AC233-$AH233)^2+($AD233-$AI233)^2))</f>
        <v>15.231546211727817</v>
      </c>
      <c r="AK233" s="3">
        <v>2</v>
      </c>
      <c r="AL233" s="13">
        <v>3</v>
      </c>
      <c r="AM233" s="13">
        <v>14.5</v>
      </c>
      <c r="AN233" s="19">
        <f t="shared" si="18"/>
        <v>3.5</v>
      </c>
      <c r="AO233" s="3">
        <v>2</v>
      </c>
      <c r="AP233" s="13">
        <v>6</v>
      </c>
      <c r="AQ233" s="13">
        <v>13.5</v>
      </c>
      <c r="AR233" s="19">
        <f t="shared" si="19"/>
        <v>1.1180339887498949</v>
      </c>
    </row>
    <row r="234" spans="1:44" ht="25.05" customHeight="1">
      <c r="A234" s="3">
        <v>13</v>
      </c>
      <c r="B234" s="2" t="s">
        <v>8</v>
      </c>
      <c r="C234" s="17" t="str">
        <f>IF($A234="","",IF(VLOOKUP($A234,Spiele!$A$2:$D$15,3,FALSE)=$B234,"H","G"))</f>
        <v>H</v>
      </c>
      <c r="D234" s="17" t="str">
        <f>IF($B234="","",IF(VLOOKUP($A234,Spiele!$A$2:$F$15,3,FALSE)=$B234,VLOOKUP($A234,Spiele!$A$2:$F$15,4,FALSE),VLOOKUP($A234,Spiele!$A$2:$F$15,3,FALSE)))</f>
        <v>60M</v>
      </c>
      <c r="E234" s="18">
        <f>IF(Abschlüsse[[#This Row],[Ergeb]]="ET",0,COUNTIFS($A$2:$A234,$A234,$B$2:$B234,$B234,$L$2:$L234,"&lt;&gt;ET"))</f>
        <v>3</v>
      </c>
      <c r="F234" s="11">
        <v>18</v>
      </c>
      <c r="G234" s="12">
        <v>1</v>
      </c>
      <c r="H234" s="18">
        <f>COUNTIFS('Rote Karten'!$A$2:$A$4,$A234,'Rote Karten'!$D$2:$D$4,"&lt;&gt;"&amp;$B234,'Rote Karten'!$B$2:$B$4,"&lt;"&amp;$F234,'Rote Karten'!$C$2:$C$4,"&lt;="&amp;$G234)-COUNTIFS('Rote Karten'!$A$2:$A$4,$A234,'Rote Karten'!$D$2:$D$4,$B234,'Rote Karten'!$B$2:$B$4,"&lt;"&amp;$F234,'Rote Karten'!$C$2:$C$4,"&lt;="&amp;$G234)</f>
        <v>0</v>
      </c>
      <c r="I234" s="17" t="str">
        <f>IF(OR($L234="Tor",$L234="ET"),_xlfn.IFNA(IF(VLOOKUP($A234,Spiele!$A$2:$C$15,3,FALSE)=$B234,COUNTIFS($L$2:$L234,"Tor",$B$2:$B234,$B234,$A$2:$A234,$A234)+COUNTIFS($L$2:$L234,"ET",$B$2:$B234,$B234,$A$2:$A234,$A234)&amp;":"&amp;COUNTIFS($L$2:$L234,"Tor",$B$2:$B234,"&lt;&gt;"&amp;$B234,$A$2:$A234,$A234)+COUNTIFS($L$2:$L234,"ET",$B$2:$B234,"&lt;&gt;"&amp;$B234,$A$2:$A234,$A234),COUNTIFS($L$2:$L234,"Tor",$B$2:$B234,"&lt;&gt;"&amp;$B234,$A$2:$A234,$A234)+COUNTIFS($L$2:$L234,"ET",$B$2:$B234,"&lt;&gt;"&amp;$B234,$A$2:$A234,$A234)&amp;":"&amp;COUNTIFS($L$2:$L234,"Tor",$B$2:$B234,$B234,$A$2:$A234,$A234)+COUNTIFS($L$2:$L234,"ET",$B$2:$B234,$B234,$A$2:$A234,$A234)),""),"")</f>
        <v/>
      </c>
      <c r="J234" s="18">
        <f>_xlfn.IFNA(IF(VLOOKUP($A234,Spiele!$A$2:$D$15,3,FALSE)=$B234,(COUNTIFS($L$1:$L233,"Tor",$B$1:$B233,$B234,$A$1:$A233,$A234)+COUNTIFS($L$1:$L233,"ET",$B$1:$B233,$B234,$A$1:$A233,$A234))-(COUNTIFS($L$1:$L233,"Tor",$B$1:$B233,"&lt;&gt;"&amp;$B234,$A$1:$A233,$A234)+COUNTIFS($L$1:$L233,"ET",$B$1:$B233,"&lt;&gt;"&amp;$B234,$A$1:$A233,$A234)),(COUNTIFS($L$1:$L233,"Tor",$B$1:$B233,$B234,$A$1:$A233,$A234)+COUNTIFS($L$1:$L233,"ET",$B$1:$B233,$B234,$A$1:$A233,$A234))-(COUNTIFS($L$1:$L233,"Tor",$B$1:$B233,"&lt;&gt;"&amp;$B234,$A$1:$A233,$A234)+COUNTIFS($L$1:$L233,"ET",$B$1:$B233,"&lt;&gt;"&amp;$B234,$A$1:$A233,$A234))),"")</f>
        <v>0</v>
      </c>
      <c r="K234" s="3">
        <v>7</v>
      </c>
      <c r="L234" s="17" t="s">
        <v>19</v>
      </c>
      <c r="M234" s="2" t="s">
        <v>163</v>
      </c>
      <c r="N234" s="2" t="s">
        <v>158</v>
      </c>
      <c r="O234" s="2">
        <v>7</v>
      </c>
      <c r="X234" s="2" t="s">
        <v>151</v>
      </c>
      <c r="Y234" s="17" t="s">
        <v>149</v>
      </c>
      <c r="Z234" s="14" t="s">
        <v>150</v>
      </c>
      <c r="AA234" s="14" t="s">
        <v>145</v>
      </c>
      <c r="AB234" s="18">
        <v>8</v>
      </c>
      <c r="AC234" s="13">
        <v>4.5</v>
      </c>
      <c r="AD234" s="13">
        <v>14.5</v>
      </c>
      <c r="AE234" s="19">
        <f t="shared" si="16"/>
        <v>14.524310654898565</v>
      </c>
      <c r="AF234" s="19">
        <f t="shared" si="17"/>
        <v>26.053510457112758</v>
      </c>
      <c r="AG234" s="2" t="s">
        <v>146</v>
      </c>
      <c r="AH234" s="13">
        <v>1.5</v>
      </c>
      <c r="AI234" s="13">
        <v>3.5</v>
      </c>
      <c r="AJ234" s="19">
        <f>IF(Abschlüsse[[#This Row],[Ergeb]]="ET","",SQRT(($AC234-$AH234)^2+($AD234-$AI234)^2))</f>
        <v>11.401754250991379</v>
      </c>
      <c r="AK234" s="3">
        <v>1</v>
      </c>
      <c r="AL234" s="13">
        <v>7</v>
      </c>
      <c r="AM234" s="13">
        <v>11.5</v>
      </c>
      <c r="AN234" s="19">
        <f t="shared" si="18"/>
        <v>3.905124837953327</v>
      </c>
      <c r="AO234" s="3">
        <v>2</v>
      </c>
      <c r="AP234" s="13">
        <v>4</v>
      </c>
      <c r="AQ234" s="13">
        <v>10.5</v>
      </c>
      <c r="AR234" s="19">
        <f t="shared" si="19"/>
        <v>4.0311288741492746</v>
      </c>
    </row>
    <row r="235" spans="1:44" ht="25.05" customHeight="1">
      <c r="A235" s="3">
        <v>13</v>
      </c>
      <c r="B235" s="2" t="s">
        <v>8</v>
      </c>
      <c r="C235" s="17" t="str">
        <f>IF($A235="","",IF(VLOOKUP($A235,Spiele!$A$2:$D$15,3,FALSE)=$B235,"H","G"))</f>
        <v>H</v>
      </c>
      <c r="D235" s="17" t="str">
        <f>IF($B235="","",IF(VLOOKUP($A235,Spiele!$A$2:$F$15,3,FALSE)=$B235,VLOOKUP($A235,Spiele!$A$2:$F$15,4,FALSE),VLOOKUP($A235,Spiele!$A$2:$F$15,3,FALSE)))</f>
        <v>60M</v>
      </c>
      <c r="E235" s="18">
        <f>IF(Abschlüsse[[#This Row],[Ergeb]]="ET",0,COUNTIFS($A$2:$A235,$A235,$B$2:$B235,$B235,$L$2:$L235,"&lt;&gt;ET"))</f>
        <v>4</v>
      </c>
      <c r="F235" s="11">
        <v>22</v>
      </c>
      <c r="G235" s="12">
        <v>1</v>
      </c>
      <c r="H235" s="18">
        <f>COUNTIFS('Rote Karten'!$A$2:$A$4,$A235,'Rote Karten'!$D$2:$D$4,"&lt;&gt;"&amp;$B235,'Rote Karten'!$B$2:$B$4,"&lt;"&amp;$F235,'Rote Karten'!$C$2:$C$4,"&lt;="&amp;$G235)-COUNTIFS('Rote Karten'!$A$2:$A$4,$A235,'Rote Karten'!$D$2:$D$4,$B235,'Rote Karten'!$B$2:$B$4,"&lt;"&amp;$F235,'Rote Karten'!$C$2:$C$4,"&lt;="&amp;$G235)</f>
        <v>0</v>
      </c>
      <c r="I235" s="17" t="str">
        <f>IF(OR($L235="Tor",$L235="ET"),_xlfn.IFNA(IF(VLOOKUP($A235,Spiele!$A$2:$C$15,3,FALSE)=$B235,COUNTIFS($L$2:$L235,"Tor",$B$2:$B235,$B235,$A$2:$A235,$A235)+COUNTIFS($L$2:$L235,"ET",$B$2:$B235,$B235,$A$2:$A235,$A235)&amp;":"&amp;COUNTIFS($L$2:$L235,"Tor",$B$2:$B235,"&lt;&gt;"&amp;$B235,$A$2:$A235,$A235)+COUNTIFS($L$2:$L235,"ET",$B$2:$B235,"&lt;&gt;"&amp;$B235,$A$2:$A235,$A235),COUNTIFS($L$2:$L235,"Tor",$B$2:$B235,"&lt;&gt;"&amp;$B235,$A$2:$A235,$A235)+COUNTIFS($L$2:$L235,"ET",$B$2:$B235,"&lt;&gt;"&amp;$B235,$A$2:$A235,$A235)&amp;":"&amp;COUNTIFS($L$2:$L235,"Tor",$B$2:$B235,$B235,$A$2:$A235,$A235)+COUNTIFS($L$2:$L235,"ET",$B$2:$B235,$B235,$A$2:$A235,$A235)),""),"")</f>
        <v/>
      </c>
      <c r="J235" s="18">
        <f>_xlfn.IFNA(IF(VLOOKUP($A235,Spiele!$A$2:$D$15,3,FALSE)=$B235,(COUNTIFS($L$1:$L234,"Tor",$B$1:$B234,$B235,$A$1:$A234,$A235)+COUNTIFS($L$1:$L234,"ET",$B$1:$B234,$B235,$A$1:$A234,$A235))-(COUNTIFS($L$1:$L234,"Tor",$B$1:$B234,"&lt;&gt;"&amp;$B235,$A$1:$A234,$A235)+COUNTIFS($L$1:$L234,"ET",$B$1:$B234,"&lt;&gt;"&amp;$B235,$A$1:$A234,$A235)),(COUNTIFS($L$1:$L234,"Tor",$B$1:$B234,$B235,$A$1:$A234,$A235)+COUNTIFS($L$1:$L234,"ET",$B$1:$B234,$B235,$A$1:$A234,$A235))-(COUNTIFS($L$1:$L234,"Tor",$B$1:$B234,"&lt;&gt;"&amp;$B235,$A$1:$A234,$A235)+COUNTIFS($L$1:$L234,"ET",$B$1:$B234,"&lt;&gt;"&amp;$B235,$A$1:$A234,$A235))),"")</f>
        <v>0</v>
      </c>
      <c r="K235" s="3">
        <v>8</v>
      </c>
      <c r="L235" s="17" t="s">
        <v>19</v>
      </c>
      <c r="M235" s="2" t="s">
        <v>168</v>
      </c>
      <c r="N235" s="2" t="s">
        <v>3</v>
      </c>
      <c r="X235" s="2" t="s">
        <v>141</v>
      </c>
      <c r="Y235" s="17" t="s">
        <v>143</v>
      </c>
      <c r="Z235" s="14" t="s">
        <v>144</v>
      </c>
      <c r="AA235" s="14" t="s">
        <v>145</v>
      </c>
      <c r="AB235" s="18">
        <v>6</v>
      </c>
      <c r="AC235" s="13">
        <v>-6.5</v>
      </c>
      <c r="AD235" s="13">
        <v>16.5</v>
      </c>
      <c r="AE235" s="19">
        <f t="shared" si="16"/>
        <v>16.742628228566744</v>
      </c>
      <c r="AF235" s="19">
        <f t="shared" si="17"/>
        <v>21.856872591143812</v>
      </c>
      <c r="AG235" s="2" t="s">
        <v>146</v>
      </c>
      <c r="AH235" s="13">
        <v>-1.5</v>
      </c>
      <c r="AI235" s="13">
        <v>2</v>
      </c>
      <c r="AJ235" s="19">
        <f>IF(Abschlüsse[[#This Row],[Ergeb]]="ET","",SQRT(($AC235-$AH235)^2+($AD235-$AI235)^2))</f>
        <v>15.337861650177967</v>
      </c>
      <c r="AK235" s="3">
        <v>1</v>
      </c>
      <c r="AL235" s="13">
        <v>-3</v>
      </c>
      <c r="AM235" s="13">
        <v>14</v>
      </c>
      <c r="AN235" s="19">
        <f t="shared" si="18"/>
        <v>4.3011626335213133</v>
      </c>
      <c r="AO235" s="3">
        <v>2</v>
      </c>
      <c r="AP235" s="13">
        <v>-2</v>
      </c>
      <c r="AQ235" s="13">
        <v>6</v>
      </c>
      <c r="AR235" s="19">
        <f t="shared" si="19"/>
        <v>11.423659658795863</v>
      </c>
    </row>
    <row r="236" spans="1:44" ht="25.05" customHeight="1">
      <c r="A236" s="3">
        <v>13</v>
      </c>
      <c r="B236" s="2" t="s">
        <v>8</v>
      </c>
      <c r="C236" s="17" t="str">
        <f>IF($A236="","",IF(VLOOKUP($A236,Spiele!$A$2:$D$15,3,FALSE)=$B236,"H","G"))</f>
        <v>H</v>
      </c>
      <c r="D236" s="17" t="str">
        <f>IF($B236="","",IF(VLOOKUP($A236,Spiele!$A$2:$F$15,3,FALSE)=$B236,VLOOKUP($A236,Spiele!$A$2:$F$15,4,FALSE),VLOOKUP($A236,Spiele!$A$2:$F$15,3,FALSE)))</f>
        <v>60M</v>
      </c>
      <c r="E236" s="18">
        <f>IF(Abschlüsse[[#This Row],[Ergeb]]="ET",0,COUNTIFS($A$2:$A236,$A236,$B$2:$B236,$B236,$L$2:$L236,"&lt;&gt;ET"))</f>
        <v>5</v>
      </c>
      <c r="F236" s="11">
        <v>25</v>
      </c>
      <c r="G236" s="12">
        <v>1</v>
      </c>
      <c r="H236" s="18">
        <f>COUNTIFS('Rote Karten'!$A$2:$A$4,$A236,'Rote Karten'!$D$2:$D$4,"&lt;&gt;"&amp;$B236,'Rote Karten'!$B$2:$B$4,"&lt;"&amp;$F236,'Rote Karten'!$C$2:$C$4,"&lt;="&amp;$G236)-COUNTIFS('Rote Karten'!$A$2:$A$4,$A236,'Rote Karten'!$D$2:$D$4,$B236,'Rote Karten'!$B$2:$B$4,"&lt;"&amp;$F236,'Rote Karten'!$C$2:$C$4,"&lt;="&amp;$G236)</f>
        <v>0</v>
      </c>
      <c r="I236" s="17" t="str">
        <f>IF(OR($L236="Tor",$L236="ET"),_xlfn.IFNA(IF(VLOOKUP($A236,Spiele!$A$2:$C$15,3,FALSE)=$B236,COUNTIFS($L$2:$L236,"Tor",$B$2:$B236,$B236,$A$2:$A236,$A236)+COUNTIFS($L$2:$L236,"ET",$B$2:$B236,$B236,$A$2:$A236,$A236)&amp;":"&amp;COUNTIFS($L$2:$L236,"Tor",$B$2:$B236,"&lt;&gt;"&amp;$B236,$A$2:$A236,$A236)+COUNTIFS($L$2:$L236,"ET",$B$2:$B236,"&lt;&gt;"&amp;$B236,$A$2:$A236,$A236),COUNTIFS($L$2:$L236,"Tor",$B$2:$B236,"&lt;&gt;"&amp;$B236,$A$2:$A236,$A236)+COUNTIFS($L$2:$L236,"ET",$B$2:$B236,"&lt;&gt;"&amp;$B236,$A$2:$A236,$A236)&amp;":"&amp;COUNTIFS($L$2:$L236,"Tor",$B$2:$B236,$B236,$A$2:$A236,$A236)+COUNTIFS($L$2:$L236,"ET",$B$2:$B236,$B236,$A$2:$A236,$A236)),""),"")</f>
        <v/>
      </c>
      <c r="J236" s="18">
        <f>_xlfn.IFNA(IF(VLOOKUP($A236,Spiele!$A$2:$D$15,3,FALSE)=$B236,(COUNTIFS($L$1:$L235,"Tor",$B$1:$B235,$B236,$A$1:$A235,$A236)+COUNTIFS($L$1:$L235,"ET",$B$1:$B235,$B236,$A$1:$A235,$A236))-(COUNTIFS($L$1:$L235,"Tor",$B$1:$B235,"&lt;&gt;"&amp;$B236,$A$1:$A235,$A236)+COUNTIFS($L$1:$L235,"ET",$B$1:$B235,"&lt;&gt;"&amp;$B236,$A$1:$A235,$A236)),(COUNTIFS($L$1:$L235,"Tor",$B$1:$B235,$B236,$A$1:$A235,$A236)+COUNTIFS($L$1:$L235,"ET",$B$1:$B235,$B236,$A$1:$A235,$A236))-(COUNTIFS($L$1:$L235,"Tor",$B$1:$B235,"&lt;&gt;"&amp;$B236,$A$1:$A235,$A236)+COUNTIFS($L$1:$L235,"ET",$B$1:$B235,"&lt;&gt;"&amp;$B236,$A$1:$A235,$A236))),"")</f>
        <v>0</v>
      </c>
      <c r="K236" s="3">
        <v>9</v>
      </c>
      <c r="L236" s="17" t="s">
        <v>20</v>
      </c>
      <c r="M236" s="2" t="s">
        <v>157</v>
      </c>
      <c r="N236" s="2" t="s">
        <v>3</v>
      </c>
      <c r="X236" s="2" t="s">
        <v>151</v>
      </c>
      <c r="Y236" s="17" t="s">
        <v>149</v>
      </c>
      <c r="Z236" s="14" t="s">
        <v>150</v>
      </c>
      <c r="AA236" s="14" t="s">
        <v>156</v>
      </c>
      <c r="AB236" s="18">
        <v>20</v>
      </c>
      <c r="AC236" s="13">
        <v>-13.5</v>
      </c>
      <c r="AD236" s="13">
        <v>21.5</v>
      </c>
      <c r="AE236" s="19">
        <f t="shared" si="16"/>
        <v>23.644779550674606</v>
      </c>
      <c r="AF236" s="19">
        <f t="shared" si="17"/>
        <v>14.002393253988416</v>
      </c>
      <c r="AG236" s="2" t="s">
        <v>146</v>
      </c>
      <c r="AH236" s="13">
        <v>-0.5</v>
      </c>
      <c r="AI236" s="13">
        <v>3</v>
      </c>
      <c r="AJ236" s="19">
        <f>IF(Abschlüsse[[#This Row],[Ergeb]]="ET","",SQRT(($AC236-$AH236)^2+($AD236-$AI236)^2))</f>
        <v>22.610838109190027</v>
      </c>
      <c r="AK236" s="3">
        <v>0</v>
      </c>
      <c r="AL236" s="13"/>
      <c r="AM236" s="13"/>
      <c r="AN236" s="19" t="str">
        <f t="shared" si="18"/>
        <v/>
      </c>
      <c r="AO236" s="3">
        <v>2</v>
      </c>
      <c r="AP236" s="13">
        <v>-12</v>
      </c>
      <c r="AQ236" s="13">
        <v>20.5</v>
      </c>
      <c r="AR236" s="19">
        <f t="shared" si="19"/>
        <v>1.8027756377319946</v>
      </c>
    </row>
    <row r="237" spans="1:44" ht="25.05" customHeight="1">
      <c r="A237" s="3">
        <v>13</v>
      </c>
      <c r="B237" s="2" t="s">
        <v>76</v>
      </c>
      <c r="C237" s="17" t="str">
        <f>IF($A237="","",IF(VLOOKUP($A237,Spiele!$A$2:$D$15,3,FALSE)=$B237,"H","G"))</f>
        <v>G</v>
      </c>
      <c r="D237" s="17" t="str">
        <f>IF($B237="","",IF(VLOOKUP($A237,Spiele!$A$2:$F$15,3,FALSE)=$B237,VLOOKUP($A237,Spiele!$A$2:$F$15,4,FALSE),VLOOKUP($A237,Spiele!$A$2:$F$15,3,FALSE)))</f>
        <v>FCN</v>
      </c>
      <c r="E237" s="18">
        <f>IF(Abschlüsse[[#This Row],[Ergeb]]="ET",0,COUNTIFS($A$2:$A237,$A237,$B$2:$B237,$B237,$L$2:$L237,"&lt;&gt;ET"))</f>
        <v>7</v>
      </c>
      <c r="F237" s="11">
        <v>28</v>
      </c>
      <c r="G237" s="12">
        <v>1</v>
      </c>
      <c r="H237" s="18">
        <f>COUNTIFS('Rote Karten'!$A$2:$A$4,$A237,'Rote Karten'!$D$2:$D$4,"&lt;&gt;"&amp;$B237,'Rote Karten'!$B$2:$B$4,"&lt;"&amp;$F237,'Rote Karten'!$C$2:$C$4,"&lt;="&amp;$G237)-COUNTIFS('Rote Karten'!$A$2:$A$4,$A237,'Rote Karten'!$D$2:$D$4,$B237,'Rote Karten'!$B$2:$B$4,"&lt;"&amp;$F237,'Rote Karten'!$C$2:$C$4,"&lt;="&amp;$G237)</f>
        <v>0</v>
      </c>
      <c r="I237" s="17" t="str">
        <f>IF(OR($L237="Tor",$L237="ET"),_xlfn.IFNA(IF(VLOOKUP($A237,Spiele!$A$2:$C$15,3,FALSE)=$B237,COUNTIFS($L$2:$L237,"Tor",$B$2:$B237,$B237,$A$2:$A237,$A237)+COUNTIFS($L$2:$L237,"ET",$B$2:$B237,$B237,$A$2:$A237,$A237)&amp;":"&amp;COUNTIFS($L$2:$L237,"Tor",$B$2:$B237,"&lt;&gt;"&amp;$B237,$A$2:$A237,$A237)+COUNTIFS($L$2:$L237,"ET",$B$2:$B237,"&lt;&gt;"&amp;$B237,$A$2:$A237,$A237),COUNTIFS($L$2:$L237,"Tor",$B$2:$B237,"&lt;&gt;"&amp;$B237,$A$2:$A237,$A237)+COUNTIFS($L$2:$L237,"ET",$B$2:$B237,"&lt;&gt;"&amp;$B237,$A$2:$A237,$A237)&amp;":"&amp;COUNTIFS($L$2:$L237,"Tor",$B$2:$B237,$B237,$A$2:$A237,$A237)+COUNTIFS($L$2:$L237,"ET",$B$2:$B237,$B237,$A$2:$A237,$A237)),""),"")</f>
        <v/>
      </c>
      <c r="J237" s="18">
        <f>_xlfn.IFNA(IF(VLOOKUP($A237,Spiele!$A$2:$D$15,3,FALSE)=$B237,(COUNTIFS($L$1:$L236,"Tor",$B$1:$B236,$B237,$A$1:$A236,$A237)+COUNTIFS($L$1:$L236,"ET",$B$1:$B236,$B237,$A$1:$A236,$A237))-(COUNTIFS($L$1:$L236,"Tor",$B$1:$B236,"&lt;&gt;"&amp;$B237,$A$1:$A236,$A237)+COUNTIFS($L$1:$L236,"ET",$B$1:$B236,"&lt;&gt;"&amp;$B237,$A$1:$A236,$A237)),(COUNTIFS($L$1:$L236,"Tor",$B$1:$B236,$B237,$A$1:$A236,$A237)+COUNTIFS($L$1:$L236,"ET",$B$1:$B236,$B237,$A$1:$A236,$A237))-(COUNTIFS($L$1:$L236,"Tor",$B$1:$B236,"&lt;&gt;"&amp;$B237,$A$1:$A236,$A237)+COUNTIFS($L$1:$L236,"ET",$B$1:$B236,"&lt;&gt;"&amp;$B237,$A$1:$A236,$A237))),"")</f>
        <v>0</v>
      </c>
      <c r="K237" s="3">
        <v>10</v>
      </c>
      <c r="L237" s="17" t="s">
        <v>18</v>
      </c>
      <c r="M237" s="2" t="s">
        <v>163</v>
      </c>
      <c r="N237" s="2" t="s">
        <v>158</v>
      </c>
      <c r="X237" s="2" t="s">
        <v>151</v>
      </c>
      <c r="Y237" s="17" t="s">
        <v>143</v>
      </c>
      <c r="Z237" s="14" t="s">
        <v>150</v>
      </c>
      <c r="AA237" s="14" t="s">
        <v>145</v>
      </c>
      <c r="AB237" s="18"/>
      <c r="AC237" s="13">
        <v>0</v>
      </c>
      <c r="AD237" s="13">
        <v>25.5</v>
      </c>
      <c r="AE237" s="19">
        <f t="shared" si="16"/>
        <v>25.5</v>
      </c>
      <c r="AF237" s="19">
        <f t="shared" si="17"/>
        <v>16.335693207949546</v>
      </c>
      <c r="AG237" s="2" t="s">
        <v>146</v>
      </c>
      <c r="AH237" s="13">
        <v>0</v>
      </c>
      <c r="AI237" s="13">
        <v>0.5</v>
      </c>
      <c r="AJ237" s="19">
        <f>IF(Abschlüsse[[#This Row],[Ergeb]]="ET","",SQRT(($AC237-$AH237)^2+($AD237-$AI237)^2))</f>
        <v>25</v>
      </c>
      <c r="AK237" s="3">
        <v>1</v>
      </c>
      <c r="AL237" s="13">
        <v>-2</v>
      </c>
      <c r="AM237" s="13">
        <v>28</v>
      </c>
      <c r="AN237" s="19">
        <f t="shared" si="18"/>
        <v>3.2015621187164243</v>
      </c>
      <c r="AO237" s="3">
        <v>1</v>
      </c>
      <c r="AP237" s="13">
        <v>0</v>
      </c>
      <c r="AQ237" s="13">
        <v>17</v>
      </c>
      <c r="AR237" s="19">
        <f t="shared" si="19"/>
        <v>8.5</v>
      </c>
    </row>
    <row r="238" spans="1:44" ht="25.05" customHeight="1">
      <c r="A238" s="3">
        <v>13</v>
      </c>
      <c r="B238" s="2" t="s">
        <v>8</v>
      </c>
      <c r="C238" s="17" t="str">
        <f>IF($A238="","",IF(VLOOKUP($A238,Spiele!$A$2:$D$15,3,FALSE)=$B238,"H","G"))</f>
        <v>H</v>
      </c>
      <c r="D238" s="17" t="str">
        <f>IF($B238="","",IF(VLOOKUP($A238,Spiele!$A$2:$F$15,3,FALSE)=$B238,VLOOKUP($A238,Spiele!$A$2:$F$15,4,FALSE),VLOOKUP($A238,Spiele!$A$2:$F$15,3,FALSE)))</f>
        <v>60M</v>
      </c>
      <c r="E238" s="18">
        <f>IF(Abschlüsse[[#This Row],[Ergeb]]="ET",0,COUNTIFS($A$2:$A238,$A238,$B$2:$B238,$B238,$L$2:$L238,"&lt;&gt;ET"))</f>
        <v>6</v>
      </c>
      <c r="F238" s="11">
        <v>33</v>
      </c>
      <c r="G238" s="12">
        <v>1</v>
      </c>
      <c r="H238" s="18">
        <f>COUNTIFS('Rote Karten'!$A$2:$A$4,$A238,'Rote Karten'!$D$2:$D$4,"&lt;&gt;"&amp;$B238,'Rote Karten'!$B$2:$B$4,"&lt;"&amp;$F238,'Rote Karten'!$C$2:$C$4,"&lt;="&amp;$G238)-COUNTIFS('Rote Karten'!$A$2:$A$4,$A238,'Rote Karten'!$D$2:$D$4,$B238,'Rote Karten'!$B$2:$B$4,"&lt;"&amp;$F238,'Rote Karten'!$C$2:$C$4,"&lt;="&amp;$G238)</f>
        <v>0</v>
      </c>
      <c r="I238" s="17" t="str">
        <f>IF(OR($L238="Tor",$L238="ET"),_xlfn.IFNA(IF(VLOOKUP($A238,Spiele!$A$2:$C$15,3,FALSE)=$B238,COUNTIFS($L$2:$L238,"Tor",$B$2:$B238,$B238,$A$2:$A238,$A238)+COUNTIFS($L$2:$L238,"ET",$B$2:$B238,$B238,$A$2:$A238,$A238)&amp;":"&amp;COUNTIFS($L$2:$L238,"Tor",$B$2:$B238,"&lt;&gt;"&amp;$B238,$A$2:$A238,$A238)+COUNTIFS($L$2:$L238,"ET",$B$2:$B238,"&lt;&gt;"&amp;$B238,$A$2:$A238,$A238),COUNTIFS($L$2:$L238,"Tor",$B$2:$B238,"&lt;&gt;"&amp;$B238,$A$2:$A238,$A238)+COUNTIFS($L$2:$L238,"ET",$B$2:$B238,"&lt;&gt;"&amp;$B238,$A$2:$A238,$A238)&amp;":"&amp;COUNTIFS($L$2:$L238,"Tor",$B$2:$B238,$B238,$A$2:$A238,$A238)+COUNTIFS($L$2:$L238,"ET",$B$2:$B238,$B238,$A$2:$A238,$A238)),""),"")</f>
        <v/>
      </c>
      <c r="J238" s="18">
        <f>_xlfn.IFNA(IF(VLOOKUP($A238,Spiele!$A$2:$D$15,3,FALSE)=$B238,(COUNTIFS($L$1:$L237,"Tor",$B$1:$B237,$B238,$A$1:$A237,$A238)+COUNTIFS($L$1:$L237,"ET",$B$1:$B237,$B238,$A$1:$A237,$A238))-(COUNTIFS($L$1:$L237,"Tor",$B$1:$B237,"&lt;&gt;"&amp;$B238,$A$1:$A237,$A238)+COUNTIFS($L$1:$L237,"ET",$B$1:$B237,"&lt;&gt;"&amp;$B238,$A$1:$A237,$A238)),(COUNTIFS($L$1:$L237,"Tor",$B$1:$B237,$B238,$A$1:$A237,$A238)+COUNTIFS($L$1:$L237,"ET",$B$1:$B237,$B238,$A$1:$A237,$A238))-(COUNTIFS($L$1:$L237,"Tor",$B$1:$B237,"&lt;&gt;"&amp;$B238,$A$1:$A237,$A238)+COUNTIFS($L$1:$L237,"ET",$B$1:$B237,"&lt;&gt;"&amp;$B238,$A$1:$A237,$A238))),"")</f>
        <v>0</v>
      </c>
      <c r="K238" s="3">
        <v>11</v>
      </c>
      <c r="L238" s="17" t="s">
        <v>19</v>
      </c>
      <c r="M238" s="2" t="s">
        <v>163</v>
      </c>
      <c r="N238" s="2" t="s">
        <v>164</v>
      </c>
      <c r="O238" s="2">
        <v>8</v>
      </c>
      <c r="P238" s="2">
        <v>16</v>
      </c>
      <c r="Q238" s="2">
        <v>26</v>
      </c>
      <c r="X238" s="2" t="s">
        <v>151</v>
      </c>
      <c r="Y238" s="17" t="s">
        <v>149</v>
      </c>
      <c r="Z238" s="14" t="s">
        <v>150</v>
      </c>
      <c r="AA238" s="14" t="s">
        <v>145</v>
      </c>
      <c r="AB238" s="18">
        <v>7</v>
      </c>
      <c r="AC238" s="13">
        <v>5.5</v>
      </c>
      <c r="AD238" s="13">
        <v>17.5</v>
      </c>
      <c r="AE238" s="19">
        <f t="shared" si="16"/>
        <v>17.59646555419582</v>
      </c>
      <c r="AF238" s="19">
        <f t="shared" si="17"/>
        <v>21.626656434445117</v>
      </c>
      <c r="AG238" s="2" t="s">
        <v>146</v>
      </c>
      <c r="AH238" s="13">
        <v>1</v>
      </c>
      <c r="AI238" s="13">
        <v>3</v>
      </c>
      <c r="AJ238" s="19">
        <f>IF(Abschlüsse[[#This Row],[Ergeb]]="ET","",SQRT(($AC238-$AH238)^2+($AD238-$AI238)^2))</f>
        <v>15.182226450688976</v>
      </c>
      <c r="AK238" s="3">
        <v>2</v>
      </c>
      <c r="AL238" s="13">
        <v>6.5</v>
      </c>
      <c r="AM238" s="13">
        <v>18.5</v>
      </c>
      <c r="AN238" s="19">
        <f t="shared" si="18"/>
        <v>1.4142135623730951</v>
      </c>
      <c r="AO238" s="3">
        <v>0</v>
      </c>
      <c r="AR238" s="19" t="str">
        <f t="shared" si="19"/>
        <v/>
      </c>
    </row>
    <row r="239" spans="1:44" ht="25.05" customHeight="1">
      <c r="A239" s="3">
        <v>13</v>
      </c>
      <c r="B239" s="2" t="s">
        <v>76</v>
      </c>
      <c r="C239" s="17" t="str">
        <f>IF($A239="","",IF(VLOOKUP($A239,Spiele!$A$2:$D$15,3,FALSE)=$B239,"H","G"))</f>
        <v>G</v>
      </c>
      <c r="D239" s="17" t="str">
        <f>IF($B239="","",IF(VLOOKUP($A239,Spiele!$A$2:$F$15,3,FALSE)=$B239,VLOOKUP($A239,Spiele!$A$2:$F$15,4,FALSE),VLOOKUP($A239,Spiele!$A$2:$F$15,3,FALSE)))</f>
        <v>FCN</v>
      </c>
      <c r="E239" s="18">
        <f>IF(Abschlüsse[[#This Row],[Ergeb]]="ET",0,COUNTIFS($A$2:$A239,$A239,$B$2:$B239,$B239,$L$2:$L239,"&lt;&gt;ET"))</f>
        <v>8</v>
      </c>
      <c r="F239" s="11">
        <v>35</v>
      </c>
      <c r="G239" s="12">
        <v>1</v>
      </c>
      <c r="H239" s="18">
        <f>COUNTIFS('Rote Karten'!$A$2:$A$4,$A239,'Rote Karten'!$D$2:$D$4,"&lt;&gt;"&amp;$B239,'Rote Karten'!$B$2:$B$4,"&lt;"&amp;$F239,'Rote Karten'!$C$2:$C$4,"&lt;="&amp;$G239)-COUNTIFS('Rote Karten'!$A$2:$A$4,$A239,'Rote Karten'!$D$2:$D$4,$B239,'Rote Karten'!$B$2:$B$4,"&lt;"&amp;$F239,'Rote Karten'!$C$2:$C$4,"&lt;="&amp;$G239)</f>
        <v>0</v>
      </c>
      <c r="I239" s="17" t="str">
        <f>IF(OR($L239="Tor",$L239="ET"),_xlfn.IFNA(IF(VLOOKUP($A239,Spiele!$A$2:$C$15,3,FALSE)=$B239,COUNTIFS($L$2:$L239,"Tor",$B$2:$B239,$B239,$A$2:$A239,$A239)+COUNTIFS($L$2:$L239,"ET",$B$2:$B239,$B239,$A$2:$A239,$A239)&amp;":"&amp;COUNTIFS($L$2:$L239,"Tor",$B$2:$B239,"&lt;&gt;"&amp;$B239,$A$2:$A239,$A239)+COUNTIFS($L$2:$L239,"ET",$B$2:$B239,"&lt;&gt;"&amp;$B239,$A$2:$A239,$A239),COUNTIFS($L$2:$L239,"Tor",$B$2:$B239,"&lt;&gt;"&amp;$B239,$A$2:$A239,$A239)+COUNTIFS($L$2:$L239,"ET",$B$2:$B239,"&lt;&gt;"&amp;$B239,$A$2:$A239,$A239)&amp;":"&amp;COUNTIFS($L$2:$L239,"Tor",$B$2:$B239,$B239,$A$2:$A239,$A239)+COUNTIFS($L$2:$L239,"ET",$B$2:$B239,$B239,$A$2:$A239,$A239)),""),"")</f>
        <v/>
      </c>
      <c r="J239" s="18">
        <f>_xlfn.IFNA(IF(VLOOKUP($A239,Spiele!$A$2:$D$15,3,FALSE)=$B239,(COUNTIFS($L$1:$L238,"Tor",$B$1:$B238,$B239,$A$1:$A238,$A239)+COUNTIFS($L$1:$L238,"ET",$B$1:$B238,$B239,$A$1:$A238,$A239))-(COUNTIFS($L$1:$L238,"Tor",$B$1:$B238,"&lt;&gt;"&amp;$B239,$A$1:$A238,$A239)+COUNTIFS($L$1:$L238,"ET",$B$1:$B238,"&lt;&gt;"&amp;$B239,$A$1:$A238,$A239)),(COUNTIFS($L$1:$L238,"Tor",$B$1:$B238,$B239,$A$1:$A238,$A239)+COUNTIFS($L$1:$L238,"ET",$B$1:$B238,$B239,$A$1:$A238,$A239))-(COUNTIFS($L$1:$L238,"Tor",$B$1:$B238,"&lt;&gt;"&amp;$B239,$A$1:$A238,$A239)+COUNTIFS($L$1:$L238,"ET",$B$1:$B238,"&lt;&gt;"&amp;$B239,$A$1:$A238,$A239))),"")</f>
        <v>0</v>
      </c>
      <c r="K239" s="3">
        <v>12</v>
      </c>
      <c r="L239" s="17" t="s">
        <v>19</v>
      </c>
      <c r="M239" s="2" t="s">
        <v>163</v>
      </c>
      <c r="N239" s="2" t="s">
        <v>153</v>
      </c>
      <c r="X239" s="2" t="s">
        <v>154</v>
      </c>
      <c r="Y239" s="17" t="s">
        <v>160</v>
      </c>
      <c r="Z239" s="14" t="s">
        <v>161</v>
      </c>
      <c r="AA239" s="14" t="s">
        <v>156</v>
      </c>
      <c r="AB239" s="18"/>
      <c r="AC239" s="13">
        <v>-1</v>
      </c>
      <c r="AD239" s="13">
        <v>9</v>
      </c>
      <c r="AE239" s="19">
        <f t="shared" si="16"/>
        <v>9</v>
      </c>
      <c r="AF239" s="19">
        <f t="shared" si="17"/>
        <v>43.839454439268671</v>
      </c>
      <c r="AG239" s="2" t="s">
        <v>146</v>
      </c>
      <c r="AH239" s="13">
        <v>-1</v>
      </c>
      <c r="AI239" s="13">
        <v>0.5</v>
      </c>
      <c r="AJ239" s="19">
        <f>IF(Abschlüsse[[#This Row],[Ergeb]]="ET","",SQRT(($AC239-$AH239)^2+($AD239-$AI239)^2))</f>
        <v>8.5</v>
      </c>
      <c r="AK239" s="3">
        <v>1</v>
      </c>
      <c r="AL239" s="13">
        <v>0</v>
      </c>
      <c r="AM239" s="13">
        <v>9</v>
      </c>
      <c r="AN239" s="19">
        <f t="shared" si="18"/>
        <v>1</v>
      </c>
      <c r="AO239" s="3">
        <v>0</v>
      </c>
      <c r="AR239" s="19" t="str">
        <f t="shared" si="19"/>
        <v/>
      </c>
    </row>
    <row r="240" spans="1:44" ht="25.05" customHeight="1">
      <c r="A240" s="3">
        <v>13</v>
      </c>
      <c r="B240" s="2" t="s">
        <v>76</v>
      </c>
      <c r="C240" s="17" t="str">
        <f>IF($A240="","",IF(VLOOKUP($A240,Spiele!$A$2:$D$15,3,FALSE)=$B240,"H","G"))</f>
        <v>G</v>
      </c>
      <c r="D240" s="17" t="str">
        <f>IF($B240="","",IF(VLOOKUP($A240,Spiele!$A$2:$F$15,3,FALSE)=$B240,VLOOKUP($A240,Spiele!$A$2:$F$15,4,FALSE),VLOOKUP($A240,Spiele!$A$2:$F$15,3,FALSE)))</f>
        <v>FCN</v>
      </c>
      <c r="E240" s="18">
        <f>IF(Abschlüsse[[#This Row],[Ergeb]]="ET",0,COUNTIFS($A$2:$A240,$A240,$B$2:$B240,$B240,$L$2:$L240,"&lt;&gt;ET"))</f>
        <v>9</v>
      </c>
      <c r="F240" s="11">
        <v>37</v>
      </c>
      <c r="G240" s="12">
        <v>1</v>
      </c>
      <c r="H240" s="18">
        <f>COUNTIFS('Rote Karten'!$A$2:$A$4,$A240,'Rote Karten'!$D$2:$D$4,"&lt;&gt;"&amp;$B240,'Rote Karten'!$B$2:$B$4,"&lt;"&amp;$F240,'Rote Karten'!$C$2:$C$4,"&lt;="&amp;$G240)-COUNTIFS('Rote Karten'!$A$2:$A$4,$A240,'Rote Karten'!$D$2:$D$4,$B240,'Rote Karten'!$B$2:$B$4,"&lt;"&amp;$F240,'Rote Karten'!$C$2:$C$4,"&lt;="&amp;$G240)</f>
        <v>0</v>
      </c>
      <c r="I240" s="17" t="str">
        <f>IF(OR($L240="Tor",$L240="ET"),_xlfn.IFNA(IF(VLOOKUP($A240,Spiele!$A$2:$C$15,3,FALSE)=$B240,COUNTIFS($L$2:$L240,"Tor",$B$2:$B240,$B240,$A$2:$A240,$A240)+COUNTIFS($L$2:$L240,"ET",$B$2:$B240,$B240,$A$2:$A240,$A240)&amp;":"&amp;COUNTIFS($L$2:$L240,"Tor",$B$2:$B240,"&lt;&gt;"&amp;$B240,$A$2:$A240,$A240)+COUNTIFS($L$2:$L240,"ET",$B$2:$B240,"&lt;&gt;"&amp;$B240,$A$2:$A240,$A240),COUNTIFS($L$2:$L240,"Tor",$B$2:$B240,"&lt;&gt;"&amp;$B240,$A$2:$A240,$A240)+COUNTIFS($L$2:$L240,"ET",$B$2:$B240,"&lt;&gt;"&amp;$B240,$A$2:$A240,$A240)&amp;":"&amp;COUNTIFS($L$2:$L240,"Tor",$B$2:$B240,$B240,$A$2:$A240,$A240)+COUNTIFS($L$2:$L240,"ET",$B$2:$B240,$B240,$A$2:$A240,$A240)),""),"")</f>
        <v/>
      </c>
      <c r="J240" s="18">
        <f>_xlfn.IFNA(IF(VLOOKUP($A240,Spiele!$A$2:$D$15,3,FALSE)=$B240,(COUNTIFS($L$1:$L239,"Tor",$B$1:$B239,$B240,$A$1:$A239,$A240)+COUNTIFS($L$1:$L239,"ET",$B$1:$B239,$B240,$A$1:$A239,$A240))-(COUNTIFS($L$1:$L239,"Tor",$B$1:$B239,"&lt;&gt;"&amp;$B240,$A$1:$A239,$A240)+COUNTIFS($L$1:$L239,"ET",$B$1:$B239,"&lt;&gt;"&amp;$B240,$A$1:$A239,$A240)),(COUNTIFS($L$1:$L239,"Tor",$B$1:$B239,$B240,$A$1:$A239,$A240)+COUNTIFS($L$1:$L239,"ET",$B$1:$B239,$B240,$A$1:$A239,$A240))-(COUNTIFS($L$1:$L239,"Tor",$B$1:$B239,"&lt;&gt;"&amp;$B240,$A$1:$A239,$A240)+COUNTIFS($L$1:$L239,"ET",$B$1:$B239,"&lt;&gt;"&amp;$B240,$A$1:$A239,$A240))),"")</f>
        <v>0</v>
      </c>
      <c r="K240" s="3">
        <v>13</v>
      </c>
      <c r="L240" s="17" t="s">
        <v>19</v>
      </c>
      <c r="M240" s="2" t="s">
        <v>173</v>
      </c>
      <c r="N240" s="2" t="s">
        <v>173</v>
      </c>
      <c r="X240" s="2" t="s">
        <v>154</v>
      </c>
      <c r="Y240" s="17" t="s">
        <v>160</v>
      </c>
      <c r="Z240" s="14" t="s">
        <v>161</v>
      </c>
      <c r="AA240" s="14" t="s">
        <v>145</v>
      </c>
      <c r="AB240" s="18"/>
      <c r="AC240" s="13">
        <v>-6</v>
      </c>
      <c r="AD240" s="13">
        <v>1</v>
      </c>
      <c r="AE240" s="19">
        <f t="shared" si="16"/>
        <v>2.5447200238926087</v>
      </c>
      <c r="AF240" s="19">
        <f t="shared" si="17"/>
        <v>17.229273479884245</v>
      </c>
      <c r="AG240" s="2" t="s">
        <v>146</v>
      </c>
      <c r="AH240" s="13">
        <v>-4</v>
      </c>
      <c r="AI240" s="13">
        <v>0.5</v>
      </c>
      <c r="AJ240" s="19">
        <f>IF(Abschlüsse[[#This Row],[Ergeb]]="ET","",SQRT(($AC240-$AH240)^2+($AD240-$AI240)^2))</f>
        <v>2.0615528128088303</v>
      </c>
      <c r="AK240" s="3">
        <v>1</v>
      </c>
      <c r="AL240" s="13">
        <v>-5</v>
      </c>
      <c r="AM240" s="13">
        <v>1</v>
      </c>
      <c r="AN240" s="19">
        <f t="shared" si="18"/>
        <v>1</v>
      </c>
      <c r="AO240" s="3">
        <v>1</v>
      </c>
      <c r="AP240" s="13">
        <v>-3.5</v>
      </c>
      <c r="AQ240" s="13">
        <v>0.5</v>
      </c>
      <c r="AR240" s="19">
        <f t="shared" si="19"/>
        <v>2.5495097567963922</v>
      </c>
    </row>
    <row r="241" spans="1:44" ht="25.05" customHeight="1">
      <c r="A241" s="3">
        <v>13</v>
      </c>
      <c r="B241" s="2" t="s">
        <v>8</v>
      </c>
      <c r="C241" s="17" t="str">
        <f>IF($A241="","",IF(VLOOKUP($A241,Spiele!$A$2:$D$15,3,FALSE)=$B241,"H","G"))</f>
        <v>H</v>
      </c>
      <c r="D241" s="17" t="str">
        <f>IF($B241="","",IF(VLOOKUP($A241,Spiele!$A$2:$F$15,3,FALSE)=$B241,VLOOKUP($A241,Spiele!$A$2:$F$15,4,FALSE),VLOOKUP($A241,Spiele!$A$2:$F$15,3,FALSE)))</f>
        <v>60M</v>
      </c>
      <c r="E241" s="18">
        <f>IF(Abschlüsse[[#This Row],[Ergeb]]="ET",0,COUNTIFS($A$2:$A241,$A241,$B$2:$B241,$B241,$L$2:$L241,"&lt;&gt;ET"))</f>
        <v>7</v>
      </c>
      <c r="F241" s="11">
        <v>40</v>
      </c>
      <c r="G241" s="12">
        <v>1</v>
      </c>
      <c r="H241" s="18">
        <f>COUNTIFS('Rote Karten'!$A$2:$A$4,$A241,'Rote Karten'!$D$2:$D$4,"&lt;&gt;"&amp;$B241,'Rote Karten'!$B$2:$B$4,"&lt;"&amp;$F241,'Rote Karten'!$C$2:$C$4,"&lt;="&amp;$G241)-COUNTIFS('Rote Karten'!$A$2:$A$4,$A241,'Rote Karten'!$D$2:$D$4,$B241,'Rote Karten'!$B$2:$B$4,"&lt;"&amp;$F241,'Rote Karten'!$C$2:$C$4,"&lt;="&amp;$G241)</f>
        <v>0</v>
      </c>
      <c r="I241" s="17" t="str">
        <f>IF(OR($L241="Tor",$L241="ET"),_xlfn.IFNA(IF(VLOOKUP($A241,Spiele!$A$2:$C$15,3,FALSE)=$B241,COUNTIFS($L$2:$L241,"Tor",$B$2:$B241,$B241,$A$2:$A241,$A241)+COUNTIFS($L$2:$L241,"ET",$B$2:$B241,$B241,$A$2:$A241,$A241)&amp;":"&amp;COUNTIFS($L$2:$L241,"Tor",$B$2:$B241,"&lt;&gt;"&amp;$B241,$A$2:$A241,$A241)+COUNTIFS($L$2:$L241,"ET",$B$2:$B241,"&lt;&gt;"&amp;$B241,$A$2:$A241,$A241),COUNTIFS($L$2:$L241,"Tor",$B$2:$B241,"&lt;&gt;"&amp;$B241,$A$2:$A241,$A241)+COUNTIFS($L$2:$L241,"ET",$B$2:$B241,"&lt;&gt;"&amp;$B241,$A$2:$A241,$A241)&amp;":"&amp;COUNTIFS($L$2:$L241,"Tor",$B$2:$B241,$B241,$A$2:$A241,$A241)+COUNTIFS($L$2:$L241,"ET",$B$2:$B241,$B241,$A$2:$A241,$A241)),""),"")</f>
        <v/>
      </c>
      <c r="J241" s="18">
        <f>_xlfn.IFNA(IF(VLOOKUP($A241,Spiele!$A$2:$D$15,3,FALSE)=$B241,(COUNTIFS($L$1:$L240,"Tor",$B$1:$B240,$B241,$A$1:$A240,$A241)+COUNTIFS($L$1:$L240,"ET",$B$1:$B240,$B241,$A$1:$A240,$A241))-(COUNTIFS($L$1:$L240,"Tor",$B$1:$B240,"&lt;&gt;"&amp;$B241,$A$1:$A240,$A241)+COUNTIFS($L$1:$L240,"ET",$B$1:$B240,"&lt;&gt;"&amp;$B241,$A$1:$A240,$A241)),(COUNTIFS($L$1:$L240,"Tor",$B$1:$B240,$B241,$A$1:$A240,$A241)+COUNTIFS($L$1:$L240,"ET",$B$1:$B240,$B241,$A$1:$A240,$A241))-(COUNTIFS($L$1:$L240,"Tor",$B$1:$B240,"&lt;&gt;"&amp;$B241,$A$1:$A240,$A241)+COUNTIFS($L$1:$L240,"ET",$B$1:$B240,"&lt;&gt;"&amp;$B241,$A$1:$A240,$A241))),"")</f>
        <v>0</v>
      </c>
      <c r="K241" s="3">
        <v>14</v>
      </c>
      <c r="L241" s="17" t="s">
        <v>18</v>
      </c>
      <c r="M241" s="2" t="s">
        <v>163</v>
      </c>
      <c r="N241" s="2" t="s">
        <v>153</v>
      </c>
      <c r="O241" s="2">
        <v>7</v>
      </c>
      <c r="X241" s="2" t="s">
        <v>154</v>
      </c>
      <c r="Y241" s="17" t="s">
        <v>160</v>
      </c>
      <c r="Z241" s="14" t="s">
        <v>161</v>
      </c>
      <c r="AA241" s="14" t="s">
        <v>156</v>
      </c>
      <c r="AB241" s="18">
        <v>9</v>
      </c>
      <c r="AC241" s="13">
        <v>-2</v>
      </c>
      <c r="AD241" s="13">
        <v>9</v>
      </c>
      <c r="AE241" s="19">
        <f t="shared" si="16"/>
        <v>9</v>
      </c>
      <c r="AF241" s="19">
        <f t="shared" si="17"/>
        <v>42.615768593997174</v>
      </c>
      <c r="AG241" s="2" t="s">
        <v>146</v>
      </c>
      <c r="AH241" s="13">
        <v>-2</v>
      </c>
      <c r="AI241" s="13">
        <v>2.5</v>
      </c>
      <c r="AJ241" s="19">
        <f>IF(Abschlüsse[[#This Row],[Ergeb]]="ET","",SQRT(($AC241-$AH241)^2+($AD241-$AI241)^2))</f>
        <v>6.5</v>
      </c>
      <c r="AK241" s="3">
        <v>2</v>
      </c>
      <c r="AL241" s="13">
        <v>-0.5</v>
      </c>
      <c r="AM241" s="13">
        <v>9</v>
      </c>
      <c r="AN241" s="19">
        <f t="shared" si="18"/>
        <v>1.5</v>
      </c>
      <c r="AO241" s="3">
        <v>0</v>
      </c>
      <c r="AR241" s="19" t="str">
        <f t="shared" si="19"/>
        <v/>
      </c>
    </row>
    <row r="242" spans="1:44" ht="25.05" customHeight="1">
      <c r="A242" s="3">
        <v>13</v>
      </c>
      <c r="B242" s="2" t="s">
        <v>8</v>
      </c>
      <c r="C242" s="17" t="str">
        <f>IF($A242="","",IF(VLOOKUP($A242,Spiele!$A$2:$D$15,3,FALSE)=$B242,"H","G"))</f>
        <v>H</v>
      </c>
      <c r="D242" s="17" t="str">
        <f>IF($B242="","",IF(VLOOKUP($A242,Spiele!$A$2:$F$15,3,FALSE)=$B242,VLOOKUP($A242,Spiele!$A$2:$F$15,4,FALSE),VLOOKUP($A242,Spiele!$A$2:$F$15,3,FALSE)))</f>
        <v>60M</v>
      </c>
      <c r="E242" s="18">
        <f>IF(Abschlüsse[[#This Row],[Ergeb]]="ET",0,COUNTIFS($A$2:$A242,$A242,$B$2:$B242,$B242,$L$2:$L242,"&lt;&gt;ET"))</f>
        <v>8</v>
      </c>
      <c r="F242" s="11">
        <v>40</v>
      </c>
      <c r="G242" s="12">
        <v>1</v>
      </c>
      <c r="H242" s="18">
        <f>COUNTIFS('Rote Karten'!$A$2:$A$4,$A242,'Rote Karten'!$D$2:$D$4,"&lt;&gt;"&amp;$B242,'Rote Karten'!$B$2:$B$4,"&lt;"&amp;$F242,'Rote Karten'!$C$2:$C$4,"&lt;="&amp;$G242)-COUNTIFS('Rote Karten'!$A$2:$A$4,$A242,'Rote Karten'!$D$2:$D$4,$B242,'Rote Karten'!$B$2:$B$4,"&lt;"&amp;$F242,'Rote Karten'!$C$2:$C$4,"&lt;="&amp;$G242)</f>
        <v>0</v>
      </c>
      <c r="I242" s="17" t="str">
        <f>IF(OR($L242="Tor",$L242="ET"),_xlfn.IFNA(IF(VLOOKUP($A242,Spiele!$A$2:$C$15,3,FALSE)=$B242,COUNTIFS($L$2:$L242,"Tor",$B$2:$B242,$B242,$A$2:$A242,$A242)+COUNTIFS($L$2:$L242,"ET",$B$2:$B242,$B242,$A$2:$A242,$A242)&amp;":"&amp;COUNTIFS($L$2:$L242,"Tor",$B$2:$B242,"&lt;&gt;"&amp;$B242,$A$2:$A242,$A242)+COUNTIFS($L$2:$L242,"ET",$B$2:$B242,"&lt;&gt;"&amp;$B242,$A$2:$A242,$A242),COUNTIFS($L$2:$L242,"Tor",$B$2:$B242,"&lt;&gt;"&amp;$B242,$A$2:$A242,$A242)+COUNTIFS($L$2:$L242,"ET",$B$2:$B242,"&lt;&gt;"&amp;$B242,$A$2:$A242,$A242)&amp;":"&amp;COUNTIFS($L$2:$L242,"Tor",$B$2:$B242,$B242,$A$2:$A242,$A242)+COUNTIFS($L$2:$L242,"ET",$B$2:$B242,$B242,$A$2:$A242,$A242)),""),"")</f>
        <v>1:0</v>
      </c>
      <c r="J242" s="18">
        <f>_xlfn.IFNA(IF(VLOOKUP($A242,Spiele!$A$2:$D$15,3,FALSE)=$B242,(COUNTIFS($L$1:$L241,"Tor",$B$1:$B241,$B242,$A$1:$A241,$A242)+COUNTIFS($L$1:$L241,"ET",$B$1:$B241,$B242,$A$1:$A241,$A242))-(COUNTIFS($L$1:$L241,"Tor",$B$1:$B241,"&lt;&gt;"&amp;$B242,$A$1:$A241,$A242)+COUNTIFS($L$1:$L241,"ET",$B$1:$B241,"&lt;&gt;"&amp;$B242,$A$1:$A241,$A242)),(COUNTIFS($L$1:$L241,"Tor",$B$1:$B241,$B242,$A$1:$A241,$A242)+COUNTIFS($L$1:$L241,"ET",$B$1:$B241,$B242,$A$1:$A241,$A242))-(COUNTIFS($L$1:$L241,"Tor",$B$1:$B241,"&lt;&gt;"&amp;$B242,$A$1:$A241,$A242)+COUNTIFS($L$1:$L241,"ET",$B$1:$B241,"&lt;&gt;"&amp;$B242,$A$1:$A241,$A242))),"")</f>
        <v>0</v>
      </c>
      <c r="K242" s="3">
        <v>14</v>
      </c>
      <c r="L242" s="17" t="s">
        <v>0</v>
      </c>
      <c r="M242" s="2" t="s">
        <v>163</v>
      </c>
      <c r="N242" s="2" t="s">
        <v>3</v>
      </c>
      <c r="X242" s="2" t="s">
        <v>154</v>
      </c>
      <c r="Y242" s="17" t="s">
        <v>160</v>
      </c>
      <c r="Z242" s="14" t="s">
        <v>161</v>
      </c>
      <c r="AA242" s="14" t="s">
        <v>145</v>
      </c>
      <c r="AB242" s="18">
        <v>7</v>
      </c>
      <c r="AC242" s="13">
        <v>-6.5</v>
      </c>
      <c r="AD242" s="13">
        <v>5</v>
      </c>
      <c r="AE242" s="19">
        <f t="shared" si="16"/>
        <v>5.7502695588989567</v>
      </c>
      <c r="AF242" s="19">
        <f t="shared" si="17"/>
        <v>34.200427604672875</v>
      </c>
      <c r="AG242" s="2" t="s">
        <v>169</v>
      </c>
      <c r="AH242" s="13">
        <v>0.5</v>
      </c>
      <c r="AI242" s="13">
        <v>2</v>
      </c>
      <c r="AJ242" s="19">
        <f>IF(Abschlüsse[[#This Row],[Ergeb]]="ET","",SQRT(($AC242-$AH242)^2+($AD242-$AI242)^2))</f>
        <v>7.6157731058639087</v>
      </c>
      <c r="AK242" s="3">
        <v>1</v>
      </c>
      <c r="AL242" s="13">
        <v>-4</v>
      </c>
      <c r="AM242" s="13">
        <v>5.5</v>
      </c>
      <c r="AN242" s="19">
        <f t="shared" si="18"/>
        <v>2.5495097567963922</v>
      </c>
      <c r="AO242" s="3">
        <v>0</v>
      </c>
      <c r="AR242" s="19" t="str">
        <f t="shared" si="19"/>
        <v/>
      </c>
    </row>
    <row r="243" spans="1:44" ht="25.05" customHeight="1">
      <c r="A243" s="3">
        <v>13</v>
      </c>
      <c r="B243" s="2" t="s">
        <v>76</v>
      </c>
      <c r="C243" s="17" t="str">
        <f>IF($A243="","",IF(VLOOKUP($A243,Spiele!$A$2:$D$15,3,FALSE)=$B243,"H","G"))</f>
        <v>G</v>
      </c>
      <c r="D243" s="17" t="str">
        <f>IF($B243="","",IF(VLOOKUP($A243,Spiele!$A$2:$F$15,3,FALSE)=$B243,VLOOKUP($A243,Spiele!$A$2:$F$15,4,FALSE),VLOOKUP($A243,Spiele!$A$2:$F$15,3,FALSE)))</f>
        <v>FCN</v>
      </c>
      <c r="E243" s="18">
        <f>IF(Abschlüsse[[#This Row],[Ergeb]]="ET",0,COUNTIFS($A$2:$A243,$A243,$B$2:$B243,$B243,$L$2:$L243,"&lt;&gt;ET"))</f>
        <v>10</v>
      </c>
      <c r="F243" s="11">
        <v>44</v>
      </c>
      <c r="G243" s="12">
        <v>2</v>
      </c>
      <c r="H243" s="18">
        <f>COUNTIFS('Rote Karten'!$A$2:$A$4,$A243,'Rote Karten'!$D$2:$D$4,"&lt;&gt;"&amp;$B243,'Rote Karten'!$B$2:$B$4,"&lt;"&amp;$F243,'Rote Karten'!$C$2:$C$4,"&lt;="&amp;$G243)-COUNTIFS('Rote Karten'!$A$2:$A$4,$A243,'Rote Karten'!$D$2:$D$4,$B243,'Rote Karten'!$B$2:$B$4,"&lt;"&amp;$F243,'Rote Karten'!$C$2:$C$4,"&lt;="&amp;$G243)</f>
        <v>0</v>
      </c>
      <c r="I243" s="17" t="str">
        <f>IF(OR($L243="Tor",$L243="ET"),_xlfn.IFNA(IF(VLOOKUP($A243,Spiele!$A$2:$C$15,3,FALSE)=$B243,COUNTIFS($L$2:$L243,"Tor",$B$2:$B243,$B243,$A$2:$A243,$A243)+COUNTIFS($L$2:$L243,"ET",$B$2:$B243,$B243,$A$2:$A243,$A243)&amp;":"&amp;COUNTIFS($L$2:$L243,"Tor",$B$2:$B243,"&lt;&gt;"&amp;$B243,$A$2:$A243,$A243)+COUNTIFS($L$2:$L243,"ET",$B$2:$B243,"&lt;&gt;"&amp;$B243,$A$2:$A243,$A243),COUNTIFS($L$2:$L243,"Tor",$B$2:$B243,"&lt;&gt;"&amp;$B243,$A$2:$A243,$A243)+COUNTIFS($L$2:$L243,"ET",$B$2:$B243,"&lt;&gt;"&amp;$B243,$A$2:$A243,$A243)&amp;":"&amp;COUNTIFS($L$2:$L243,"Tor",$B$2:$B243,$B243,$A$2:$A243,$A243)+COUNTIFS($L$2:$L243,"ET",$B$2:$B243,$B243,$A$2:$A243,$A243)),""),"")</f>
        <v/>
      </c>
      <c r="J243" s="18">
        <f>_xlfn.IFNA(IF(VLOOKUP($A243,Spiele!$A$2:$D$15,3,FALSE)=$B243,(COUNTIFS($L$1:$L242,"Tor",$B$1:$B242,$B243,$A$1:$A242,$A243)+COUNTIFS($L$1:$L242,"ET",$B$1:$B242,$B243,$A$1:$A242,$A243))-(COUNTIFS($L$1:$L242,"Tor",$B$1:$B242,"&lt;&gt;"&amp;$B243,$A$1:$A242,$A243)+COUNTIFS($L$1:$L242,"ET",$B$1:$B242,"&lt;&gt;"&amp;$B243,$A$1:$A242,$A243)),(COUNTIFS($L$1:$L242,"Tor",$B$1:$B242,$B243,$A$1:$A242,$A243)+COUNTIFS($L$1:$L242,"ET",$B$1:$B242,$B243,$A$1:$A242,$A243))-(COUNTIFS($L$1:$L242,"Tor",$B$1:$B242,"&lt;&gt;"&amp;$B243,$A$1:$A242,$A243)+COUNTIFS($L$1:$L242,"ET",$B$1:$B242,"&lt;&gt;"&amp;$B243,$A$1:$A242,$A243))),"")</f>
        <v>-1</v>
      </c>
      <c r="K243" s="3">
        <v>15</v>
      </c>
      <c r="L243" s="17" t="s">
        <v>19</v>
      </c>
      <c r="M243" s="2" t="s">
        <v>174</v>
      </c>
      <c r="X243" s="2" t="s">
        <v>142</v>
      </c>
      <c r="Y243" s="17" t="s">
        <v>143</v>
      </c>
      <c r="Z243" s="14" t="s">
        <v>150</v>
      </c>
      <c r="AA243" s="14" t="s">
        <v>156</v>
      </c>
      <c r="AB243" s="18"/>
      <c r="AC243" s="13">
        <v>-3</v>
      </c>
      <c r="AD243" s="13">
        <v>34</v>
      </c>
      <c r="AE243" s="19">
        <f t="shared" si="16"/>
        <v>34</v>
      </c>
      <c r="AF243" s="19">
        <f t="shared" si="17"/>
        <v>12.194976603981754</v>
      </c>
      <c r="AG243" s="2" t="s">
        <v>146</v>
      </c>
      <c r="AH243" s="13">
        <v>0.5</v>
      </c>
      <c r="AI243" s="13">
        <v>0.5</v>
      </c>
      <c r="AJ243" s="19">
        <f>IF(Abschlüsse[[#This Row],[Ergeb]]="ET","",SQRT(($AC243-$AH243)^2+($AD243-$AI243)^2))</f>
        <v>33.68233958619858</v>
      </c>
      <c r="AK243" s="3">
        <v>0</v>
      </c>
      <c r="AL243" s="13"/>
      <c r="AM243" s="13"/>
      <c r="AN243" s="19" t="str">
        <f t="shared" si="18"/>
        <v/>
      </c>
      <c r="AO243" s="3">
        <v>3</v>
      </c>
      <c r="AP243" s="13">
        <v>-3.5</v>
      </c>
      <c r="AQ243" s="13">
        <v>27</v>
      </c>
      <c r="AR243" s="19">
        <f t="shared" si="19"/>
        <v>7.0178344238090995</v>
      </c>
    </row>
    <row r="244" spans="1:44" ht="25.05" customHeight="1">
      <c r="A244" s="3">
        <v>13</v>
      </c>
      <c r="B244" s="2" t="s">
        <v>8</v>
      </c>
      <c r="C244" s="17" t="str">
        <f>IF($A244="","",IF(VLOOKUP($A244,Spiele!$A$2:$D$15,3,FALSE)=$B244,"H","G"))</f>
        <v>H</v>
      </c>
      <c r="D244" s="17" t="str">
        <f>IF($B244="","",IF(VLOOKUP($A244,Spiele!$A$2:$F$15,3,FALSE)=$B244,VLOOKUP($A244,Spiele!$A$2:$F$15,4,FALSE),VLOOKUP($A244,Spiele!$A$2:$F$15,3,FALSE)))</f>
        <v>60M</v>
      </c>
      <c r="E244" s="18">
        <f>IF(Abschlüsse[[#This Row],[Ergeb]]="ET",0,COUNTIFS($A$2:$A244,$A244,$B$2:$B244,$B244,$L$2:$L244,"&lt;&gt;ET"))</f>
        <v>9</v>
      </c>
      <c r="F244" s="11">
        <v>51</v>
      </c>
      <c r="G244" s="12">
        <v>2</v>
      </c>
      <c r="H244" s="18">
        <f>COUNTIFS('Rote Karten'!$A$2:$A$4,$A244,'Rote Karten'!$D$2:$D$4,"&lt;&gt;"&amp;$B244,'Rote Karten'!$B$2:$B$4,"&lt;"&amp;$F244,'Rote Karten'!$C$2:$C$4,"&lt;="&amp;$G244)-COUNTIFS('Rote Karten'!$A$2:$A$4,$A244,'Rote Karten'!$D$2:$D$4,$B244,'Rote Karten'!$B$2:$B$4,"&lt;"&amp;$F244,'Rote Karten'!$C$2:$C$4,"&lt;="&amp;$G244)</f>
        <v>0</v>
      </c>
      <c r="I244" s="17" t="str">
        <f>IF(OR($L244="Tor",$L244="ET"),_xlfn.IFNA(IF(VLOOKUP($A244,Spiele!$A$2:$C$15,3,FALSE)=$B244,COUNTIFS($L$2:$L244,"Tor",$B$2:$B244,$B244,$A$2:$A244,$A244)+COUNTIFS($L$2:$L244,"ET",$B$2:$B244,$B244,$A$2:$A244,$A244)&amp;":"&amp;COUNTIFS($L$2:$L244,"Tor",$B$2:$B244,"&lt;&gt;"&amp;$B244,$A$2:$A244,$A244)+COUNTIFS($L$2:$L244,"ET",$B$2:$B244,"&lt;&gt;"&amp;$B244,$A$2:$A244,$A244),COUNTIFS($L$2:$L244,"Tor",$B$2:$B244,"&lt;&gt;"&amp;$B244,$A$2:$A244,$A244)+COUNTIFS($L$2:$L244,"ET",$B$2:$B244,"&lt;&gt;"&amp;$B244,$A$2:$A244,$A244)&amp;":"&amp;COUNTIFS($L$2:$L244,"Tor",$B$2:$B244,$B244,$A$2:$A244,$A244)+COUNTIFS($L$2:$L244,"ET",$B$2:$B244,$B244,$A$2:$A244,$A244)),""),"")</f>
        <v/>
      </c>
      <c r="J244" s="18">
        <f>_xlfn.IFNA(IF(VLOOKUP($A244,Spiele!$A$2:$D$15,3,FALSE)=$B244,(COUNTIFS($L$1:$L243,"Tor",$B$1:$B243,$B244,$A$1:$A243,$A244)+COUNTIFS($L$1:$L243,"ET",$B$1:$B243,$B244,$A$1:$A243,$A244))-(COUNTIFS($L$1:$L243,"Tor",$B$1:$B243,"&lt;&gt;"&amp;$B244,$A$1:$A243,$A244)+COUNTIFS($L$1:$L243,"ET",$B$1:$B243,"&lt;&gt;"&amp;$B244,$A$1:$A243,$A244)),(COUNTIFS($L$1:$L243,"Tor",$B$1:$B243,$B244,$A$1:$A243,$A244)+COUNTIFS($L$1:$L243,"ET",$B$1:$B243,$B244,$A$1:$A243,$A244))-(COUNTIFS($L$1:$L243,"Tor",$B$1:$B243,"&lt;&gt;"&amp;$B244,$A$1:$A243,$A244)+COUNTIFS($L$1:$L243,"ET",$B$1:$B243,"&lt;&gt;"&amp;$B244,$A$1:$A243,$A244))),"")</f>
        <v>1</v>
      </c>
      <c r="K244" s="3">
        <v>16</v>
      </c>
      <c r="L244" s="18" t="s">
        <v>18</v>
      </c>
      <c r="M244" s="3" t="s">
        <v>163</v>
      </c>
      <c r="N244" s="2" t="s">
        <v>164</v>
      </c>
      <c r="O244" s="2">
        <v>8</v>
      </c>
      <c r="P244" s="2">
        <v>26</v>
      </c>
      <c r="Q244" s="2">
        <v>6</v>
      </c>
      <c r="X244" s="22" t="s">
        <v>151</v>
      </c>
      <c r="Y244" s="18" t="s">
        <v>143</v>
      </c>
      <c r="Z244" s="14" t="s">
        <v>150</v>
      </c>
      <c r="AA244" s="14" t="s">
        <v>145</v>
      </c>
      <c r="AB244" s="18">
        <v>10</v>
      </c>
      <c r="AC244" s="13">
        <v>-10.5</v>
      </c>
      <c r="AD244" s="13">
        <v>13</v>
      </c>
      <c r="AE244" s="19">
        <f t="shared" si="16"/>
        <v>14.689642609675703</v>
      </c>
      <c r="AF244" s="19">
        <f t="shared" si="17"/>
        <v>19.694334659050181</v>
      </c>
      <c r="AG244" s="3" t="s">
        <v>146</v>
      </c>
      <c r="AH244" s="13">
        <v>-3.5</v>
      </c>
      <c r="AI244" s="13">
        <v>2.5</v>
      </c>
      <c r="AJ244" s="19">
        <f>IF(Abschlüsse[[#This Row],[Ergeb]]="ET","",SQRT(($AC244-$AH244)^2+($AD244-$AI244)^2))</f>
        <v>12.619429464123963</v>
      </c>
      <c r="AK244" s="3">
        <v>2</v>
      </c>
      <c r="AL244" s="13">
        <v>-10</v>
      </c>
      <c r="AM244" s="13">
        <v>13.5</v>
      </c>
      <c r="AN244" s="19">
        <f t="shared" si="18"/>
        <v>0.70710678118654757</v>
      </c>
      <c r="AO244" s="3">
        <v>1</v>
      </c>
      <c r="AP244" s="13">
        <v>-3</v>
      </c>
      <c r="AQ244" s="13">
        <v>7.5</v>
      </c>
      <c r="AR244" s="19">
        <f t="shared" si="19"/>
        <v>9.3005376188691375</v>
      </c>
    </row>
    <row r="245" spans="1:44" ht="25.05" customHeight="1">
      <c r="A245" s="3">
        <v>13</v>
      </c>
      <c r="B245" s="2" t="s">
        <v>76</v>
      </c>
      <c r="C245" s="17" t="str">
        <f>IF($A245="","",IF(VLOOKUP($A245,Spiele!$A$2:$D$15,3,FALSE)=$B245,"H","G"))</f>
        <v>G</v>
      </c>
      <c r="D245" s="17" t="str">
        <f>IF($B245="","",IF(VLOOKUP($A245,Spiele!$A$2:$F$15,3,FALSE)=$B245,VLOOKUP($A245,Spiele!$A$2:$F$15,4,FALSE),VLOOKUP($A245,Spiele!$A$2:$F$15,3,FALSE)))</f>
        <v>FCN</v>
      </c>
      <c r="E245" s="18">
        <f>IF(Abschlüsse[[#This Row],[Ergeb]]="ET",0,COUNTIFS($A$2:$A245,$A245,$B$2:$B245,$B245,$L$2:$L245,"&lt;&gt;ET"))</f>
        <v>11</v>
      </c>
      <c r="F245" s="11">
        <v>57</v>
      </c>
      <c r="G245" s="12">
        <v>2</v>
      </c>
      <c r="H245" s="18">
        <f>COUNTIFS('Rote Karten'!$A$2:$A$4,$A245,'Rote Karten'!$D$2:$D$4,"&lt;&gt;"&amp;$B245,'Rote Karten'!$B$2:$B$4,"&lt;"&amp;$F245,'Rote Karten'!$C$2:$C$4,"&lt;="&amp;$G245)-COUNTIFS('Rote Karten'!$A$2:$A$4,$A245,'Rote Karten'!$D$2:$D$4,$B245,'Rote Karten'!$B$2:$B$4,"&lt;"&amp;$F245,'Rote Karten'!$C$2:$C$4,"&lt;="&amp;$G245)</f>
        <v>0</v>
      </c>
      <c r="I245" s="17" t="str">
        <f>IF(OR($L245="Tor",$L245="ET"),_xlfn.IFNA(IF(VLOOKUP($A245,Spiele!$A$2:$C$15,3,FALSE)=$B245,COUNTIFS($L$2:$L245,"Tor",$B$2:$B245,$B245,$A$2:$A245,$A245)+COUNTIFS($L$2:$L245,"ET",$B$2:$B245,$B245,$A$2:$A245,$A245)&amp;":"&amp;COUNTIFS($L$2:$L245,"Tor",$B$2:$B245,"&lt;&gt;"&amp;$B245,$A$2:$A245,$A245)+COUNTIFS($L$2:$L245,"ET",$B$2:$B245,"&lt;&gt;"&amp;$B245,$A$2:$A245,$A245),COUNTIFS($L$2:$L245,"Tor",$B$2:$B245,"&lt;&gt;"&amp;$B245,$A$2:$A245,$A245)+COUNTIFS($L$2:$L245,"ET",$B$2:$B245,"&lt;&gt;"&amp;$B245,$A$2:$A245,$A245)&amp;":"&amp;COUNTIFS($L$2:$L245,"Tor",$B$2:$B245,$B245,$A$2:$A245,$A245)+COUNTIFS($L$2:$L245,"ET",$B$2:$B245,$B245,$A$2:$A245,$A245)),""),"")</f>
        <v/>
      </c>
      <c r="J245" s="18">
        <f>_xlfn.IFNA(IF(VLOOKUP($A245,Spiele!$A$2:$D$15,3,FALSE)=$B245,(COUNTIFS($L$1:$L244,"Tor",$B$1:$B244,$B245,$A$1:$A244,$A245)+COUNTIFS($L$1:$L244,"ET",$B$1:$B244,$B245,$A$1:$A244,$A245))-(COUNTIFS($L$1:$L244,"Tor",$B$1:$B244,"&lt;&gt;"&amp;$B245,$A$1:$A244,$A245)+COUNTIFS($L$1:$L244,"ET",$B$1:$B244,"&lt;&gt;"&amp;$B245,$A$1:$A244,$A245)),(COUNTIFS($L$1:$L244,"Tor",$B$1:$B244,$B245,$A$1:$A244,$A245)+COUNTIFS($L$1:$L244,"ET",$B$1:$B244,$B245,$A$1:$A244,$A245))-(COUNTIFS($L$1:$L244,"Tor",$B$1:$B244,"&lt;&gt;"&amp;$B245,$A$1:$A244,$A245)+COUNTIFS($L$1:$L244,"ET",$B$1:$B244,"&lt;&gt;"&amp;$B245,$A$1:$A244,$A245))),"")</f>
        <v>-1</v>
      </c>
      <c r="K245" s="3">
        <v>17</v>
      </c>
      <c r="L245" s="17" t="s">
        <v>19</v>
      </c>
      <c r="M245" s="2" t="s">
        <v>163</v>
      </c>
      <c r="N245" s="2" t="s">
        <v>152</v>
      </c>
      <c r="X245" s="2" t="s">
        <v>142</v>
      </c>
      <c r="Y245" s="17" t="s">
        <v>143</v>
      </c>
      <c r="Z245" s="14" t="s">
        <v>150</v>
      </c>
      <c r="AA245" s="14" t="s">
        <v>145</v>
      </c>
      <c r="AB245" s="18"/>
      <c r="AC245" s="13">
        <v>12</v>
      </c>
      <c r="AD245" s="13">
        <v>7.5</v>
      </c>
      <c r="AE245" s="19">
        <f t="shared" si="16"/>
        <v>11.216309553502882</v>
      </c>
      <c r="AF245" s="19">
        <f t="shared" si="17"/>
        <v>16.373402664953399</v>
      </c>
      <c r="AG245" s="2" t="s">
        <v>146</v>
      </c>
      <c r="AH245" s="13">
        <v>3.5</v>
      </c>
      <c r="AI245" s="13">
        <v>0.5</v>
      </c>
      <c r="AJ245" s="19">
        <f>IF(Abschlüsse[[#This Row],[Ergeb]]="ET","",SQRT(($AC245-$AH245)^2+($AD245-$AI245)^2))</f>
        <v>11.01135777277262</v>
      </c>
      <c r="AK245" s="3">
        <v>1</v>
      </c>
      <c r="AL245" s="13">
        <v>9</v>
      </c>
      <c r="AM245" s="13">
        <v>8.5</v>
      </c>
      <c r="AN245" s="19">
        <f t="shared" si="18"/>
        <v>3.1622776601683795</v>
      </c>
      <c r="AO245" s="3">
        <v>0</v>
      </c>
      <c r="AR245" s="19" t="str">
        <f t="shared" si="19"/>
        <v/>
      </c>
    </row>
    <row r="246" spans="1:44" ht="25.05" customHeight="1">
      <c r="A246" s="3">
        <v>13</v>
      </c>
      <c r="B246" s="2" t="s">
        <v>8</v>
      </c>
      <c r="C246" s="17" t="str">
        <f>IF($A246="","",IF(VLOOKUP($A246,Spiele!$A$2:$D$15,3,FALSE)=$B246,"H","G"))</f>
        <v>H</v>
      </c>
      <c r="D246" s="17" t="str">
        <f>IF($B246="","",IF(VLOOKUP($A246,Spiele!$A$2:$F$15,3,FALSE)=$B246,VLOOKUP($A246,Spiele!$A$2:$F$15,4,FALSE),VLOOKUP($A246,Spiele!$A$2:$F$15,3,FALSE)))</f>
        <v>60M</v>
      </c>
      <c r="E246" s="18">
        <f>IF(Abschlüsse[[#This Row],[Ergeb]]="ET",0,COUNTIFS($A$2:$A246,$A246,$B$2:$B246,$B246,$L$2:$L246,"&lt;&gt;ET"))</f>
        <v>10</v>
      </c>
      <c r="F246" s="11">
        <v>59</v>
      </c>
      <c r="G246" s="12">
        <v>2</v>
      </c>
      <c r="H246" s="18">
        <f>COUNTIFS('Rote Karten'!$A$2:$A$4,$A246,'Rote Karten'!$D$2:$D$4,"&lt;&gt;"&amp;$B246,'Rote Karten'!$B$2:$B$4,"&lt;"&amp;$F246,'Rote Karten'!$C$2:$C$4,"&lt;="&amp;$G246)-COUNTIFS('Rote Karten'!$A$2:$A$4,$A246,'Rote Karten'!$D$2:$D$4,$B246,'Rote Karten'!$B$2:$B$4,"&lt;"&amp;$F246,'Rote Karten'!$C$2:$C$4,"&lt;="&amp;$G246)</f>
        <v>0</v>
      </c>
      <c r="I246" s="17" t="str">
        <f>IF(OR($L246="Tor",$L246="ET"),_xlfn.IFNA(IF(VLOOKUP($A246,Spiele!$A$2:$C$15,3,FALSE)=$B246,COUNTIFS($L$2:$L246,"Tor",$B$2:$B246,$B246,$A$2:$A246,$A246)+COUNTIFS($L$2:$L246,"ET",$B$2:$B246,$B246,$A$2:$A246,$A246)&amp;":"&amp;COUNTIFS($L$2:$L246,"Tor",$B$2:$B246,"&lt;&gt;"&amp;$B246,$A$2:$A246,$A246)+COUNTIFS($L$2:$L246,"ET",$B$2:$B246,"&lt;&gt;"&amp;$B246,$A$2:$A246,$A246),COUNTIFS($L$2:$L246,"Tor",$B$2:$B246,"&lt;&gt;"&amp;$B246,$A$2:$A246,$A246)+COUNTIFS($L$2:$L246,"ET",$B$2:$B246,"&lt;&gt;"&amp;$B246,$A$2:$A246,$A246)&amp;":"&amp;COUNTIFS($L$2:$L246,"Tor",$B$2:$B246,$B246,$A$2:$A246,$A246)+COUNTIFS($L$2:$L246,"ET",$B$2:$B246,$B246,$A$2:$A246,$A246)),""),"")</f>
        <v/>
      </c>
      <c r="J246" s="18">
        <f>_xlfn.IFNA(IF(VLOOKUP($A246,Spiele!$A$2:$D$15,3,FALSE)=$B246,(COUNTIFS($L$1:$L245,"Tor",$B$1:$B245,$B246,$A$1:$A245,$A246)+COUNTIFS($L$1:$L245,"ET",$B$1:$B245,$B246,$A$1:$A245,$A246))-(COUNTIFS($L$1:$L245,"Tor",$B$1:$B245,"&lt;&gt;"&amp;$B246,$A$1:$A245,$A246)+COUNTIFS($L$1:$L245,"ET",$B$1:$B245,"&lt;&gt;"&amp;$B246,$A$1:$A245,$A246)),(COUNTIFS($L$1:$L245,"Tor",$B$1:$B245,$B246,$A$1:$A245,$A246)+COUNTIFS($L$1:$L245,"ET",$B$1:$B245,$B246,$A$1:$A245,$A246))-(COUNTIFS($L$1:$L245,"Tor",$B$1:$B245,"&lt;&gt;"&amp;$B246,$A$1:$A245,$A246)+COUNTIFS($L$1:$L245,"ET",$B$1:$B245,"&lt;&gt;"&amp;$B246,$A$1:$A245,$A246))),"")</f>
        <v>1</v>
      </c>
      <c r="K246" s="3">
        <v>18</v>
      </c>
      <c r="L246" s="17" t="s">
        <v>18</v>
      </c>
      <c r="M246" s="2" t="s">
        <v>147</v>
      </c>
      <c r="N246" s="2" t="s">
        <v>158</v>
      </c>
      <c r="O246" s="2">
        <v>4</v>
      </c>
      <c r="P246" s="2">
        <v>23</v>
      </c>
      <c r="Q246" s="2">
        <v>6</v>
      </c>
      <c r="R246" s="2">
        <v>8</v>
      </c>
      <c r="S246" s="2">
        <v>20</v>
      </c>
      <c r="X246" s="2" t="s">
        <v>151</v>
      </c>
      <c r="Y246" s="17" t="s">
        <v>143</v>
      </c>
      <c r="Z246" s="14" t="s">
        <v>150</v>
      </c>
      <c r="AA246" s="14" t="s">
        <v>156</v>
      </c>
      <c r="AB246" s="18">
        <v>18</v>
      </c>
      <c r="AC246" s="13">
        <v>-14</v>
      </c>
      <c r="AD246" s="13">
        <v>19.5</v>
      </c>
      <c r="AE246" s="19">
        <f t="shared" si="16"/>
        <v>22.071828197954062</v>
      </c>
      <c r="AF246" s="19">
        <f t="shared" si="17"/>
        <v>14.230221882728383</v>
      </c>
      <c r="AG246" s="2" t="s">
        <v>146</v>
      </c>
      <c r="AH246" s="13">
        <v>-1.5</v>
      </c>
      <c r="AI246" s="13">
        <v>2.5</v>
      </c>
      <c r="AJ246" s="19">
        <f>IF(Abschlüsse[[#This Row],[Ergeb]]="ET","",SQRT(($AC246-$AH246)^2+($AD246-$AI246)^2))</f>
        <v>21.100947846009191</v>
      </c>
      <c r="AK246" s="3">
        <v>1</v>
      </c>
      <c r="AL246" s="13">
        <v>-14</v>
      </c>
      <c r="AM246" s="13">
        <v>18</v>
      </c>
      <c r="AN246" s="19">
        <f t="shared" si="18"/>
        <v>1.5</v>
      </c>
      <c r="AO246" s="3">
        <v>2</v>
      </c>
      <c r="AP246" s="13">
        <v>-11</v>
      </c>
      <c r="AQ246" s="13">
        <v>14.5</v>
      </c>
      <c r="AR246" s="19">
        <f t="shared" si="19"/>
        <v>5.8309518948453007</v>
      </c>
    </row>
    <row r="247" spans="1:44" ht="25.05" customHeight="1">
      <c r="A247" s="3">
        <v>13</v>
      </c>
      <c r="B247" s="2" t="s">
        <v>8</v>
      </c>
      <c r="C247" s="17" t="str">
        <f>IF($A247="","",IF(VLOOKUP($A247,Spiele!$A$2:$D$15,3,FALSE)=$B247,"H","G"))</f>
        <v>H</v>
      </c>
      <c r="D247" s="17" t="str">
        <f>IF($B247="","",IF(VLOOKUP($A247,Spiele!$A$2:$F$15,3,FALSE)=$B247,VLOOKUP($A247,Spiele!$A$2:$F$15,4,FALSE),VLOOKUP($A247,Spiele!$A$2:$F$15,3,FALSE)))</f>
        <v>60M</v>
      </c>
      <c r="E247" s="18">
        <f>IF(Abschlüsse[[#This Row],[Ergeb]]="ET",0,COUNTIFS($A$2:$A247,$A247,$B$2:$B247,$B247,$L$2:$L247,"&lt;&gt;ET"))</f>
        <v>11</v>
      </c>
      <c r="F247" s="11">
        <v>60</v>
      </c>
      <c r="G247" s="12">
        <v>2</v>
      </c>
      <c r="H247" s="18">
        <f>COUNTIFS('Rote Karten'!$A$2:$A$4,$A247,'Rote Karten'!$D$2:$D$4,"&lt;&gt;"&amp;$B247,'Rote Karten'!$B$2:$B$4,"&lt;"&amp;$F247,'Rote Karten'!$C$2:$C$4,"&lt;="&amp;$G247)-COUNTIFS('Rote Karten'!$A$2:$A$4,$A247,'Rote Karten'!$D$2:$D$4,$B247,'Rote Karten'!$B$2:$B$4,"&lt;"&amp;$F247,'Rote Karten'!$C$2:$C$4,"&lt;="&amp;$G247)</f>
        <v>0</v>
      </c>
      <c r="I247" s="17" t="str">
        <f>IF(OR($L247="Tor",$L247="ET"),_xlfn.IFNA(IF(VLOOKUP($A247,Spiele!$A$2:$C$15,3,FALSE)=$B247,COUNTIFS($L$2:$L247,"Tor",$B$2:$B247,$B247,$A$2:$A247,$A247)+COUNTIFS($L$2:$L247,"ET",$B$2:$B247,$B247,$A$2:$A247,$A247)&amp;":"&amp;COUNTIFS($L$2:$L247,"Tor",$B$2:$B247,"&lt;&gt;"&amp;$B247,$A$2:$A247,$A247)+COUNTIFS($L$2:$L247,"ET",$B$2:$B247,"&lt;&gt;"&amp;$B247,$A$2:$A247,$A247),COUNTIFS($L$2:$L247,"Tor",$B$2:$B247,"&lt;&gt;"&amp;$B247,$A$2:$A247,$A247)+COUNTIFS($L$2:$L247,"ET",$B$2:$B247,"&lt;&gt;"&amp;$B247,$A$2:$A247,$A247)&amp;":"&amp;COUNTIFS($L$2:$L247,"Tor",$B$2:$B247,$B247,$A$2:$A247,$A247)+COUNTIFS($L$2:$L247,"ET",$B$2:$B247,$B247,$A$2:$A247,$A247)),""),"")</f>
        <v/>
      </c>
      <c r="J247" s="18">
        <f>_xlfn.IFNA(IF(VLOOKUP($A247,Spiele!$A$2:$D$15,3,FALSE)=$B247,(COUNTIFS($L$1:$L246,"Tor",$B$1:$B246,$B247,$A$1:$A246,$A247)+COUNTIFS($L$1:$L246,"ET",$B$1:$B246,$B247,$A$1:$A246,$A247))-(COUNTIFS($L$1:$L246,"Tor",$B$1:$B246,"&lt;&gt;"&amp;$B247,$A$1:$A246,$A247)+COUNTIFS($L$1:$L246,"ET",$B$1:$B246,"&lt;&gt;"&amp;$B247,$A$1:$A246,$A247)),(COUNTIFS($L$1:$L246,"Tor",$B$1:$B246,$B247,$A$1:$A246,$A247)+COUNTIFS($L$1:$L246,"ET",$B$1:$B246,$B247,$A$1:$A246,$A247))-(COUNTIFS($L$1:$L246,"Tor",$B$1:$B246,"&lt;&gt;"&amp;$B247,$A$1:$A246,$A247)+COUNTIFS($L$1:$L246,"ET",$B$1:$B246,"&lt;&gt;"&amp;$B247,$A$1:$A246,$A247))),"")</f>
        <v>1</v>
      </c>
      <c r="K247" s="3">
        <v>19</v>
      </c>
      <c r="L247" s="17" t="s">
        <v>18</v>
      </c>
      <c r="M247" s="2" t="s">
        <v>174</v>
      </c>
      <c r="X247" s="2" t="s">
        <v>142</v>
      </c>
      <c r="Y247" s="17" t="s">
        <v>143</v>
      </c>
      <c r="Z247" s="14" t="s">
        <v>150</v>
      </c>
      <c r="AA247" s="14" t="s">
        <v>145</v>
      </c>
      <c r="AB247" s="18">
        <v>8</v>
      </c>
      <c r="AC247" s="13">
        <v>14</v>
      </c>
      <c r="AD247" s="13">
        <v>23.5</v>
      </c>
      <c r="AE247" s="19">
        <f t="shared" si="16"/>
        <v>25.674220533445606</v>
      </c>
      <c r="AF247" s="19">
        <f t="shared" si="17"/>
        <v>13.174977970680043</v>
      </c>
      <c r="AG247" s="2" t="s">
        <v>146</v>
      </c>
      <c r="AH247" s="13">
        <v>0</v>
      </c>
      <c r="AI247" s="13">
        <v>2.5</v>
      </c>
      <c r="AJ247" s="19">
        <f>IF(Abschlüsse[[#This Row],[Ergeb]]="ET","",SQRT(($AC247-$AH247)^2+($AD247-$AI247)^2))</f>
        <v>25.238858928247925</v>
      </c>
      <c r="AK247" s="3">
        <v>0</v>
      </c>
      <c r="AL247" s="13"/>
      <c r="AM247" s="13"/>
      <c r="AN247" s="19" t="str">
        <f t="shared" si="18"/>
        <v/>
      </c>
      <c r="AO247" s="3">
        <v>3</v>
      </c>
      <c r="AP247" s="13">
        <v>9</v>
      </c>
      <c r="AQ247" s="13">
        <v>16</v>
      </c>
      <c r="AR247" s="19">
        <f t="shared" si="19"/>
        <v>9.013878188659973</v>
      </c>
    </row>
    <row r="248" spans="1:44" ht="25.05" customHeight="1">
      <c r="A248" s="3">
        <v>13</v>
      </c>
      <c r="B248" s="2" t="s">
        <v>76</v>
      </c>
      <c r="C248" s="17" t="str">
        <f>IF($A248="","",IF(VLOOKUP($A248,Spiele!$A$2:$D$15,3,FALSE)=$B248,"H","G"))</f>
        <v>G</v>
      </c>
      <c r="D248" s="17" t="str">
        <f>IF($B248="","",IF(VLOOKUP($A248,Spiele!$A$2:$F$15,3,FALSE)=$B248,VLOOKUP($A248,Spiele!$A$2:$F$15,4,FALSE),VLOOKUP($A248,Spiele!$A$2:$F$15,3,FALSE)))</f>
        <v>FCN</v>
      </c>
      <c r="E248" s="18">
        <f>IF(Abschlüsse[[#This Row],[Ergeb]]="ET",0,COUNTIFS($A$2:$A248,$A248,$B$2:$B248,$B248,$L$2:$L248,"&lt;&gt;ET"))</f>
        <v>12</v>
      </c>
      <c r="F248" s="11">
        <v>61</v>
      </c>
      <c r="G248" s="12">
        <v>2</v>
      </c>
      <c r="H248" s="18">
        <f>COUNTIFS('Rote Karten'!$A$2:$A$4,$A248,'Rote Karten'!$D$2:$D$4,"&lt;&gt;"&amp;$B248,'Rote Karten'!$B$2:$B$4,"&lt;"&amp;$F248,'Rote Karten'!$C$2:$C$4,"&lt;="&amp;$G248)-COUNTIFS('Rote Karten'!$A$2:$A$4,$A248,'Rote Karten'!$D$2:$D$4,$B248,'Rote Karten'!$B$2:$B$4,"&lt;"&amp;$F248,'Rote Karten'!$C$2:$C$4,"&lt;="&amp;$G248)</f>
        <v>0</v>
      </c>
      <c r="I248" s="17" t="str">
        <f>IF(OR($L248="Tor",$L248="ET"),_xlfn.IFNA(IF(VLOOKUP($A248,Spiele!$A$2:$C$15,3,FALSE)=$B248,COUNTIFS($L$2:$L248,"Tor",$B$2:$B248,$B248,$A$2:$A248,$A248)+COUNTIFS($L$2:$L248,"ET",$B$2:$B248,$B248,$A$2:$A248,$A248)&amp;":"&amp;COUNTIFS($L$2:$L248,"Tor",$B$2:$B248,"&lt;&gt;"&amp;$B248,$A$2:$A248,$A248)+COUNTIFS($L$2:$L248,"ET",$B$2:$B248,"&lt;&gt;"&amp;$B248,$A$2:$A248,$A248),COUNTIFS($L$2:$L248,"Tor",$B$2:$B248,"&lt;&gt;"&amp;$B248,$A$2:$A248,$A248)+COUNTIFS($L$2:$L248,"ET",$B$2:$B248,"&lt;&gt;"&amp;$B248,$A$2:$A248,$A248)&amp;":"&amp;COUNTIFS($L$2:$L248,"Tor",$B$2:$B248,$B248,$A$2:$A248,$A248)+COUNTIFS($L$2:$L248,"ET",$B$2:$B248,$B248,$A$2:$A248,$A248)),""),"")</f>
        <v>1:1</v>
      </c>
      <c r="J248" s="18">
        <f>_xlfn.IFNA(IF(VLOOKUP($A248,Spiele!$A$2:$D$15,3,FALSE)=$B248,(COUNTIFS($L$1:$L247,"Tor",$B$1:$B247,$B248,$A$1:$A247,$A248)+COUNTIFS($L$1:$L247,"ET",$B$1:$B247,$B248,$A$1:$A247,$A248))-(COUNTIFS($L$1:$L247,"Tor",$B$1:$B247,"&lt;&gt;"&amp;$B248,$A$1:$A247,$A248)+COUNTIFS($L$1:$L247,"ET",$B$1:$B247,"&lt;&gt;"&amp;$B248,$A$1:$A247,$A248)),(COUNTIFS($L$1:$L247,"Tor",$B$1:$B247,$B248,$A$1:$A247,$A248)+COUNTIFS($L$1:$L247,"ET",$B$1:$B247,$B248,$A$1:$A247,$A248))-(COUNTIFS($L$1:$L247,"Tor",$B$1:$B247,"&lt;&gt;"&amp;$B248,$A$1:$A247,$A248)+COUNTIFS($L$1:$L247,"ET",$B$1:$B247,"&lt;&gt;"&amp;$B248,$A$1:$A247,$A248))),"")</f>
        <v>-1</v>
      </c>
      <c r="K248" s="3">
        <v>20</v>
      </c>
      <c r="L248" s="17" t="s">
        <v>0</v>
      </c>
      <c r="M248" s="2" t="s">
        <v>163</v>
      </c>
      <c r="N248" s="2" t="s">
        <v>152</v>
      </c>
      <c r="X248" s="2" t="s">
        <v>151</v>
      </c>
      <c r="Y248" s="17" t="s">
        <v>149</v>
      </c>
      <c r="Z248" s="14" t="s">
        <v>150</v>
      </c>
      <c r="AA248" s="14" t="s">
        <v>156</v>
      </c>
      <c r="AB248" s="18"/>
      <c r="AC248" s="13">
        <v>-8.5</v>
      </c>
      <c r="AD248" s="13">
        <v>7</v>
      </c>
      <c r="AE248" s="19">
        <f t="shared" si="16"/>
        <v>8.5103231431009725</v>
      </c>
      <c r="AF248" s="19">
        <f t="shared" si="17"/>
        <v>25.411688271902904</v>
      </c>
      <c r="AG248" s="2" t="s">
        <v>146</v>
      </c>
      <c r="AH248" s="13">
        <v>-3</v>
      </c>
      <c r="AI248" s="13">
        <v>0.5</v>
      </c>
      <c r="AJ248" s="19">
        <f>IF(Abschlüsse[[#This Row],[Ergeb]]="ET","",SQRT(($AC248-$AH248)^2+($AD248-$AI248)^2))</f>
        <v>8.5146931829632013</v>
      </c>
      <c r="AK248" s="3">
        <v>1</v>
      </c>
      <c r="AL248" s="13">
        <v>-5</v>
      </c>
      <c r="AM248" s="13">
        <v>6.5</v>
      </c>
      <c r="AN248" s="19">
        <f t="shared" si="18"/>
        <v>3.5355339059327378</v>
      </c>
      <c r="AO248" s="3">
        <v>0</v>
      </c>
      <c r="AR248" s="19" t="str">
        <f t="shared" si="19"/>
        <v/>
      </c>
    </row>
    <row r="249" spans="1:44" ht="25.05" customHeight="1">
      <c r="A249" s="3">
        <v>13</v>
      </c>
      <c r="B249" s="2" t="s">
        <v>76</v>
      </c>
      <c r="C249" s="17" t="str">
        <f>IF($A249="","",IF(VLOOKUP($A249,Spiele!$A$2:$D$15,3,FALSE)=$B249,"H","G"))</f>
        <v>G</v>
      </c>
      <c r="D249" s="17" t="str">
        <f>IF($B249="","",IF(VLOOKUP($A249,Spiele!$A$2:$F$15,3,FALSE)=$B249,VLOOKUP($A249,Spiele!$A$2:$F$15,4,FALSE),VLOOKUP($A249,Spiele!$A$2:$F$15,3,FALSE)))</f>
        <v>FCN</v>
      </c>
      <c r="E249" s="18">
        <f>IF(Abschlüsse[[#This Row],[Ergeb]]="ET",0,COUNTIFS($A$2:$A249,$A249,$B$2:$B249,$B249,$L$2:$L249,"&lt;&gt;ET"))</f>
        <v>13</v>
      </c>
      <c r="F249" s="11">
        <v>65</v>
      </c>
      <c r="G249" s="12">
        <v>2</v>
      </c>
      <c r="H249" s="18">
        <f>COUNTIFS('Rote Karten'!$A$2:$A$4,$A249,'Rote Karten'!$D$2:$D$4,"&lt;&gt;"&amp;$B249,'Rote Karten'!$B$2:$B$4,"&lt;"&amp;$F249,'Rote Karten'!$C$2:$C$4,"&lt;="&amp;$G249)-COUNTIFS('Rote Karten'!$A$2:$A$4,$A249,'Rote Karten'!$D$2:$D$4,$B249,'Rote Karten'!$B$2:$B$4,"&lt;"&amp;$F249,'Rote Karten'!$C$2:$C$4,"&lt;="&amp;$G249)</f>
        <v>0</v>
      </c>
      <c r="I249" s="17" t="str">
        <f>IF(OR($L249="Tor",$L249="ET"),_xlfn.IFNA(IF(VLOOKUP($A249,Spiele!$A$2:$C$15,3,FALSE)=$B249,COUNTIFS($L$2:$L249,"Tor",$B$2:$B249,$B249,$A$2:$A249,$A249)+COUNTIFS($L$2:$L249,"ET",$B$2:$B249,$B249,$A$2:$A249,$A249)&amp;":"&amp;COUNTIFS($L$2:$L249,"Tor",$B$2:$B249,"&lt;&gt;"&amp;$B249,$A$2:$A249,$A249)+COUNTIFS($L$2:$L249,"ET",$B$2:$B249,"&lt;&gt;"&amp;$B249,$A$2:$A249,$A249),COUNTIFS($L$2:$L249,"Tor",$B$2:$B249,"&lt;&gt;"&amp;$B249,$A$2:$A249,$A249)+COUNTIFS($L$2:$L249,"ET",$B$2:$B249,"&lt;&gt;"&amp;$B249,$A$2:$A249,$A249)&amp;":"&amp;COUNTIFS($L$2:$L249,"Tor",$B$2:$B249,$B249,$A$2:$A249,$A249)+COUNTIFS($L$2:$L249,"ET",$B$2:$B249,$B249,$A$2:$A249,$A249)),""),"")</f>
        <v/>
      </c>
      <c r="J249" s="18">
        <f>_xlfn.IFNA(IF(VLOOKUP($A249,Spiele!$A$2:$D$15,3,FALSE)=$B249,(COUNTIFS($L$1:$L248,"Tor",$B$1:$B248,$B249,$A$1:$A248,$A249)+COUNTIFS($L$1:$L248,"ET",$B$1:$B248,$B249,$A$1:$A248,$A249))-(COUNTIFS($L$1:$L248,"Tor",$B$1:$B248,"&lt;&gt;"&amp;$B249,$A$1:$A248,$A249)+COUNTIFS($L$1:$L248,"ET",$B$1:$B248,"&lt;&gt;"&amp;$B249,$A$1:$A248,$A249)),(COUNTIFS($L$1:$L248,"Tor",$B$1:$B248,$B249,$A$1:$A248,$A249)+COUNTIFS($L$1:$L248,"ET",$B$1:$B248,$B249,$A$1:$A248,$A249))-(COUNTIFS($L$1:$L248,"Tor",$B$1:$B248,"&lt;&gt;"&amp;$B249,$A$1:$A248,$A249)+COUNTIFS($L$1:$L248,"ET",$B$1:$B248,"&lt;&gt;"&amp;$B249,$A$1:$A248,$A249))),"")</f>
        <v>0</v>
      </c>
      <c r="K249" s="3">
        <v>21</v>
      </c>
      <c r="L249" s="17" t="s">
        <v>18</v>
      </c>
      <c r="M249" s="2" t="s">
        <v>163</v>
      </c>
      <c r="N249" s="2" t="s">
        <v>3</v>
      </c>
      <c r="X249" s="2" t="s">
        <v>141</v>
      </c>
      <c r="Y249" s="17" t="s">
        <v>143</v>
      </c>
      <c r="Z249" s="14" t="s">
        <v>150</v>
      </c>
      <c r="AA249" s="14" t="s">
        <v>156</v>
      </c>
      <c r="AB249" s="18"/>
      <c r="AC249" s="13">
        <v>4.5</v>
      </c>
      <c r="AD249" s="13">
        <v>11</v>
      </c>
      <c r="AE249" s="19">
        <f t="shared" si="16"/>
        <v>11.032026105842935</v>
      </c>
      <c r="AF249" s="19">
        <f t="shared" si="17"/>
        <v>32.201857009576806</v>
      </c>
      <c r="AG249" s="2" t="s">
        <v>146</v>
      </c>
      <c r="AH249" s="13">
        <v>1</v>
      </c>
      <c r="AI249" s="13">
        <v>0.5</v>
      </c>
      <c r="AJ249" s="19">
        <f>IF(Abschlüsse[[#This Row],[Ergeb]]="ET","",SQRT(($AC249-$AH249)^2+($AD249-$AI249)^2))</f>
        <v>11.067971810589327</v>
      </c>
      <c r="AK249" s="3">
        <v>1</v>
      </c>
      <c r="AL249" s="13">
        <v>4.5</v>
      </c>
      <c r="AM249" s="13">
        <v>9</v>
      </c>
      <c r="AN249" s="19">
        <f t="shared" si="18"/>
        <v>2</v>
      </c>
      <c r="AO249" s="3">
        <v>1</v>
      </c>
      <c r="AP249" s="13">
        <v>4</v>
      </c>
      <c r="AQ249" s="13">
        <v>5.5</v>
      </c>
      <c r="AR249" s="19">
        <f t="shared" si="19"/>
        <v>5.5226805085936306</v>
      </c>
    </row>
    <row r="250" spans="1:44" ht="25.05" customHeight="1">
      <c r="A250" s="3">
        <v>13</v>
      </c>
      <c r="B250" s="2" t="s">
        <v>8</v>
      </c>
      <c r="C250" s="17" t="str">
        <f>IF($A250="","",IF(VLOOKUP($A250,Spiele!$A$2:$D$15,3,FALSE)=$B250,"H","G"))</f>
        <v>H</v>
      </c>
      <c r="D250" s="17" t="str">
        <f>IF($B250="","",IF(VLOOKUP($A250,Spiele!$A$2:$F$15,3,FALSE)=$B250,VLOOKUP($A250,Spiele!$A$2:$F$15,4,FALSE),VLOOKUP($A250,Spiele!$A$2:$F$15,3,FALSE)))</f>
        <v>60M</v>
      </c>
      <c r="E250" s="18">
        <f>IF(Abschlüsse[[#This Row],[Ergeb]]="ET",0,COUNTIFS($A$2:$A250,$A250,$B$2:$B250,$B250,$L$2:$L250,"&lt;&gt;ET"))</f>
        <v>12</v>
      </c>
      <c r="F250" s="11">
        <v>68</v>
      </c>
      <c r="G250" s="12">
        <v>2</v>
      </c>
      <c r="H250" s="18">
        <f>COUNTIFS('Rote Karten'!$A$2:$A$4,$A250,'Rote Karten'!$D$2:$D$4,"&lt;&gt;"&amp;$B250,'Rote Karten'!$B$2:$B$4,"&lt;"&amp;$F250,'Rote Karten'!$C$2:$C$4,"&lt;="&amp;$G250)-COUNTIFS('Rote Karten'!$A$2:$A$4,$A250,'Rote Karten'!$D$2:$D$4,$B250,'Rote Karten'!$B$2:$B$4,"&lt;"&amp;$F250,'Rote Karten'!$C$2:$C$4,"&lt;="&amp;$G250)</f>
        <v>0</v>
      </c>
      <c r="I250" s="17" t="str">
        <f>IF(OR($L250="Tor",$L250="ET"),_xlfn.IFNA(IF(VLOOKUP($A250,Spiele!$A$2:$C$15,3,FALSE)=$B250,COUNTIFS($L$2:$L250,"Tor",$B$2:$B250,$B250,$A$2:$A250,$A250)+COUNTIFS($L$2:$L250,"ET",$B$2:$B250,$B250,$A$2:$A250,$A250)&amp;":"&amp;COUNTIFS($L$2:$L250,"Tor",$B$2:$B250,"&lt;&gt;"&amp;$B250,$A$2:$A250,$A250)+COUNTIFS($L$2:$L250,"ET",$B$2:$B250,"&lt;&gt;"&amp;$B250,$A$2:$A250,$A250),COUNTIFS($L$2:$L250,"Tor",$B$2:$B250,"&lt;&gt;"&amp;$B250,$A$2:$A250,$A250)+COUNTIFS($L$2:$L250,"ET",$B$2:$B250,"&lt;&gt;"&amp;$B250,$A$2:$A250,$A250)&amp;":"&amp;COUNTIFS($L$2:$L250,"Tor",$B$2:$B250,$B250,$A$2:$A250,$A250)+COUNTIFS($L$2:$L250,"ET",$B$2:$B250,$B250,$A$2:$A250,$A250)),""),"")</f>
        <v/>
      </c>
      <c r="J250" s="18">
        <f>_xlfn.IFNA(IF(VLOOKUP($A250,Spiele!$A$2:$D$15,3,FALSE)=$B250,(COUNTIFS($L$1:$L249,"Tor",$B$1:$B249,$B250,$A$1:$A249,$A250)+COUNTIFS($L$1:$L249,"ET",$B$1:$B249,$B250,$A$1:$A249,$A250))-(COUNTIFS($L$1:$L249,"Tor",$B$1:$B249,"&lt;&gt;"&amp;$B250,$A$1:$A249,$A250)+COUNTIFS($L$1:$L249,"ET",$B$1:$B249,"&lt;&gt;"&amp;$B250,$A$1:$A249,$A250)),(COUNTIFS($L$1:$L249,"Tor",$B$1:$B249,$B250,$A$1:$A249,$A250)+COUNTIFS($L$1:$L249,"ET",$B$1:$B249,$B250,$A$1:$A249,$A250))-(COUNTIFS($L$1:$L249,"Tor",$B$1:$B249,"&lt;&gt;"&amp;$B250,$A$1:$A249,$A250)+COUNTIFS($L$1:$L249,"ET",$B$1:$B249,"&lt;&gt;"&amp;$B250,$A$1:$A249,$A250))),"")</f>
        <v>0</v>
      </c>
      <c r="K250" s="3">
        <v>22</v>
      </c>
      <c r="L250" s="17" t="s">
        <v>20</v>
      </c>
      <c r="M250" s="2" t="s">
        <v>140</v>
      </c>
      <c r="N250" s="2" t="s">
        <v>153</v>
      </c>
      <c r="O250" s="2">
        <v>8</v>
      </c>
      <c r="P250" s="2">
        <v>5</v>
      </c>
      <c r="Q250" s="2">
        <v>6</v>
      </c>
      <c r="X250" s="2" t="s">
        <v>154</v>
      </c>
      <c r="Y250" s="17" t="s">
        <v>160</v>
      </c>
      <c r="Z250" s="14" t="s">
        <v>161</v>
      </c>
      <c r="AA250" s="14" t="s">
        <v>145</v>
      </c>
      <c r="AB250" s="18">
        <v>16</v>
      </c>
      <c r="AC250" s="13">
        <v>-5.5</v>
      </c>
      <c r="AD250" s="13">
        <v>4</v>
      </c>
      <c r="AE250" s="19">
        <f t="shared" si="16"/>
        <v>4.4029081298614443</v>
      </c>
      <c r="AF250" s="19">
        <f t="shared" si="17"/>
        <v>41.707579601485392</v>
      </c>
      <c r="AG250" s="2" t="s">
        <v>169</v>
      </c>
      <c r="AH250" s="13">
        <v>-4</v>
      </c>
      <c r="AI250" s="13">
        <v>3</v>
      </c>
      <c r="AJ250" s="19">
        <f>IF(Abschlüsse[[#This Row],[Ergeb]]="ET","",SQRT(($AC250-$AH250)^2+($AD250-$AI250)^2))</f>
        <v>1.8027756377319946</v>
      </c>
      <c r="AK250" s="3">
        <v>1</v>
      </c>
      <c r="AL250" s="13">
        <v>-5.5</v>
      </c>
      <c r="AM250" s="13">
        <v>3.5</v>
      </c>
      <c r="AN250" s="19">
        <f t="shared" si="18"/>
        <v>0.5</v>
      </c>
      <c r="AO250" s="3">
        <v>2</v>
      </c>
      <c r="AP250" s="13">
        <v>0.5</v>
      </c>
      <c r="AQ250" s="13">
        <v>1.5</v>
      </c>
      <c r="AR250" s="19">
        <f t="shared" si="19"/>
        <v>6.5</v>
      </c>
    </row>
    <row r="251" spans="1:44" ht="25.05" customHeight="1">
      <c r="A251" s="3">
        <v>13</v>
      </c>
      <c r="B251" s="2" t="s">
        <v>8</v>
      </c>
      <c r="C251" s="17" t="str">
        <f>IF($A251="","",IF(VLOOKUP($A251,Spiele!$A$2:$D$15,3,FALSE)=$B251,"H","G"))</f>
        <v>H</v>
      </c>
      <c r="D251" s="17" t="str">
        <f>IF($B251="","",IF(VLOOKUP($A251,Spiele!$A$2:$F$15,3,FALSE)=$B251,VLOOKUP($A251,Spiele!$A$2:$F$15,4,FALSE),VLOOKUP($A251,Spiele!$A$2:$F$15,3,FALSE)))</f>
        <v>60M</v>
      </c>
      <c r="E251" s="18">
        <f>IF(Abschlüsse[[#This Row],[Ergeb]]="ET",0,COUNTIFS($A$2:$A251,$A251,$B$2:$B251,$B251,$L$2:$L251,"&lt;&gt;ET"))</f>
        <v>13</v>
      </c>
      <c r="F251" s="11">
        <v>71</v>
      </c>
      <c r="G251" s="12">
        <v>2</v>
      </c>
      <c r="H251" s="18">
        <f>COUNTIFS('Rote Karten'!$A$2:$A$4,$A251,'Rote Karten'!$D$2:$D$4,"&lt;&gt;"&amp;$B251,'Rote Karten'!$B$2:$B$4,"&lt;"&amp;$F251,'Rote Karten'!$C$2:$C$4,"&lt;="&amp;$G251)-COUNTIFS('Rote Karten'!$A$2:$A$4,$A251,'Rote Karten'!$D$2:$D$4,$B251,'Rote Karten'!$B$2:$B$4,"&lt;"&amp;$F251,'Rote Karten'!$C$2:$C$4,"&lt;="&amp;$G251)</f>
        <v>0</v>
      </c>
      <c r="I251" s="17" t="str">
        <f>IF(OR($L251="Tor",$L251="ET"),_xlfn.IFNA(IF(VLOOKUP($A251,Spiele!$A$2:$C$15,3,FALSE)=$B251,COUNTIFS($L$2:$L251,"Tor",$B$2:$B251,$B251,$A$2:$A251,$A251)+COUNTIFS($L$2:$L251,"ET",$B$2:$B251,$B251,$A$2:$A251,$A251)&amp;":"&amp;COUNTIFS($L$2:$L251,"Tor",$B$2:$B251,"&lt;&gt;"&amp;$B251,$A$2:$A251,$A251)+COUNTIFS($L$2:$L251,"ET",$B$2:$B251,"&lt;&gt;"&amp;$B251,$A$2:$A251,$A251),COUNTIFS($L$2:$L251,"Tor",$B$2:$B251,"&lt;&gt;"&amp;$B251,$A$2:$A251,$A251)+COUNTIFS($L$2:$L251,"ET",$B$2:$B251,"&lt;&gt;"&amp;$B251,$A$2:$A251,$A251)&amp;":"&amp;COUNTIFS($L$2:$L251,"Tor",$B$2:$B251,$B251,$A$2:$A251,$A251)+COUNTIFS($L$2:$L251,"ET",$B$2:$B251,$B251,$A$2:$A251,$A251)),""),"")</f>
        <v/>
      </c>
      <c r="J251" s="18">
        <f>_xlfn.IFNA(IF(VLOOKUP($A251,Spiele!$A$2:$D$15,3,FALSE)=$B251,(COUNTIFS($L$1:$L250,"Tor",$B$1:$B250,$B251,$A$1:$A250,$A251)+COUNTIFS($L$1:$L250,"ET",$B$1:$B250,$B251,$A$1:$A250,$A251))-(COUNTIFS($L$1:$L250,"Tor",$B$1:$B250,"&lt;&gt;"&amp;$B251,$A$1:$A250,$A251)+COUNTIFS($L$1:$L250,"ET",$B$1:$B250,"&lt;&gt;"&amp;$B251,$A$1:$A250,$A251)),(COUNTIFS($L$1:$L250,"Tor",$B$1:$B250,$B251,$A$1:$A250,$A251)+COUNTIFS($L$1:$L250,"ET",$B$1:$B250,$B251,$A$1:$A250,$A251))-(COUNTIFS($L$1:$L250,"Tor",$B$1:$B250,"&lt;&gt;"&amp;$B251,$A$1:$A250,$A251)+COUNTIFS($L$1:$L250,"ET",$B$1:$B250,"&lt;&gt;"&amp;$B251,$A$1:$A250,$A251))),"")</f>
        <v>0</v>
      </c>
      <c r="K251" s="3">
        <v>23</v>
      </c>
      <c r="L251" s="17" t="s">
        <v>19</v>
      </c>
      <c r="M251" s="2" t="s">
        <v>147</v>
      </c>
      <c r="N251" s="2" t="s">
        <v>158</v>
      </c>
      <c r="O251" s="2">
        <v>7</v>
      </c>
      <c r="P251" s="2">
        <v>18</v>
      </c>
      <c r="Q251" s="2">
        <v>8</v>
      </c>
      <c r="R251" s="2">
        <v>23</v>
      </c>
      <c r="S251" s="2">
        <v>6</v>
      </c>
      <c r="T251" s="2">
        <v>5</v>
      </c>
      <c r="U251" s="2">
        <v>16</v>
      </c>
      <c r="V251" s="2">
        <v>20</v>
      </c>
      <c r="X251" s="2" t="s">
        <v>142</v>
      </c>
      <c r="Y251" s="17" t="s">
        <v>149</v>
      </c>
      <c r="Z251" s="14" t="s">
        <v>150</v>
      </c>
      <c r="AA251" s="14" t="s">
        <v>156</v>
      </c>
      <c r="AB251" s="18">
        <v>10</v>
      </c>
      <c r="AC251" s="13">
        <v>2.5</v>
      </c>
      <c r="AD251" s="13">
        <v>15</v>
      </c>
      <c r="AE251" s="19">
        <f t="shared" si="16"/>
        <v>15</v>
      </c>
      <c r="AF251" s="19">
        <f t="shared" si="17"/>
        <v>26.748394088035369</v>
      </c>
      <c r="AG251" s="2" t="s">
        <v>146</v>
      </c>
      <c r="AH251" s="13">
        <v>0</v>
      </c>
      <c r="AI251" s="13">
        <v>3.5</v>
      </c>
      <c r="AJ251" s="19">
        <f>IF(Abschlüsse[[#This Row],[Ergeb]]="ET","",SQRT(($AC251-$AH251)^2+($AD251-$AI251)^2))</f>
        <v>11.76860229593982</v>
      </c>
      <c r="AK251" s="3">
        <v>0</v>
      </c>
      <c r="AL251" s="13"/>
      <c r="AM251" s="13"/>
      <c r="AN251" s="19" t="str">
        <f t="shared" si="18"/>
        <v/>
      </c>
      <c r="AO251" s="3">
        <v>3</v>
      </c>
      <c r="AP251" s="13">
        <v>1.5</v>
      </c>
      <c r="AQ251" s="13">
        <v>11</v>
      </c>
      <c r="AR251" s="19">
        <f t="shared" si="19"/>
        <v>4.1231056256176606</v>
      </c>
    </row>
    <row r="252" spans="1:44" ht="25.05" customHeight="1">
      <c r="A252" s="3">
        <v>13</v>
      </c>
      <c r="B252" s="2" t="s">
        <v>8</v>
      </c>
      <c r="C252" s="17" t="str">
        <f>IF($A252="","",IF(VLOOKUP($A252,Spiele!$A$2:$D$15,3,FALSE)=$B252,"H","G"))</f>
        <v>H</v>
      </c>
      <c r="D252" s="17" t="str">
        <f>IF($B252="","",IF(VLOOKUP($A252,Spiele!$A$2:$F$15,3,FALSE)=$B252,VLOOKUP($A252,Spiele!$A$2:$F$15,4,FALSE),VLOOKUP($A252,Spiele!$A$2:$F$15,3,FALSE)))</f>
        <v>60M</v>
      </c>
      <c r="E252" s="18">
        <f>IF(Abschlüsse[[#This Row],[Ergeb]]="ET",0,COUNTIFS($A$2:$A252,$A252,$B$2:$B252,$B252,$L$2:$L252,"&lt;&gt;ET"))</f>
        <v>14</v>
      </c>
      <c r="F252" s="11">
        <v>73</v>
      </c>
      <c r="G252" s="12">
        <v>2</v>
      </c>
      <c r="H252" s="18">
        <f>COUNTIFS('Rote Karten'!$A$2:$A$4,$A252,'Rote Karten'!$D$2:$D$4,"&lt;&gt;"&amp;$B252,'Rote Karten'!$B$2:$B$4,"&lt;"&amp;$F252,'Rote Karten'!$C$2:$C$4,"&lt;="&amp;$G252)-COUNTIFS('Rote Karten'!$A$2:$A$4,$A252,'Rote Karten'!$D$2:$D$4,$B252,'Rote Karten'!$B$2:$B$4,"&lt;"&amp;$F252,'Rote Karten'!$C$2:$C$4,"&lt;="&amp;$G252)</f>
        <v>0</v>
      </c>
      <c r="I252" s="17" t="str">
        <f>IF(OR($L252="Tor",$L252="ET"),_xlfn.IFNA(IF(VLOOKUP($A252,Spiele!$A$2:$C$15,3,FALSE)=$B252,COUNTIFS($L$2:$L252,"Tor",$B$2:$B252,$B252,$A$2:$A252,$A252)+COUNTIFS($L$2:$L252,"ET",$B$2:$B252,$B252,$A$2:$A252,$A252)&amp;":"&amp;COUNTIFS($L$2:$L252,"Tor",$B$2:$B252,"&lt;&gt;"&amp;$B252,$A$2:$A252,$A252)+COUNTIFS($L$2:$L252,"ET",$B$2:$B252,"&lt;&gt;"&amp;$B252,$A$2:$A252,$A252),COUNTIFS($L$2:$L252,"Tor",$B$2:$B252,"&lt;&gt;"&amp;$B252,$A$2:$A252,$A252)+COUNTIFS($L$2:$L252,"ET",$B$2:$B252,"&lt;&gt;"&amp;$B252,$A$2:$A252,$A252)&amp;":"&amp;COUNTIFS($L$2:$L252,"Tor",$B$2:$B252,$B252,$A$2:$A252,$A252)+COUNTIFS($L$2:$L252,"ET",$B$2:$B252,$B252,$A$2:$A252,$A252)),""),"")</f>
        <v/>
      </c>
      <c r="J252" s="18">
        <f>_xlfn.IFNA(IF(VLOOKUP($A252,Spiele!$A$2:$D$15,3,FALSE)=$B252,(COUNTIFS($L$1:$L251,"Tor",$B$1:$B251,$B252,$A$1:$A251,$A252)+COUNTIFS($L$1:$L251,"ET",$B$1:$B251,$B252,$A$1:$A251,$A252))-(COUNTIFS($L$1:$L251,"Tor",$B$1:$B251,"&lt;&gt;"&amp;$B252,$A$1:$A251,$A252)+COUNTIFS($L$1:$L251,"ET",$B$1:$B251,"&lt;&gt;"&amp;$B252,$A$1:$A251,$A252)),(COUNTIFS($L$1:$L251,"Tor",$B$1:$B251,$B252,$A$1:$A251,$A252)+COUNTIFS($L$1:$L251,"ET",$B$1:$B251,$B252,$A$1:$A251,$A252))-(COUNTIFS($L$1:$L251,"Tor",$B$1:$B251,"&lt;&gt;"&amp;$B252,$A$1:$A251,$A252)+COUNTIFS($L$1:$L251,"ET",$B$1:$B251,"&lt;&gt;"&amp;$B252,$A$1:$A251,$A252))),"")</f>
        <v>0</v>
      </c>
      <c r="K252" s="3">
        <v>24</v>
      </c>
      <c r="L252" s="17" t="s">
        <v>19</v>
      </c>
      <c r="M252" s="2" t="s">
        <v>163</v>
      </c>
      <c r="N252" s="2" t="s">
        <v>164</v>
      </c>
      <c r="O252" s="2">
        <v>18</v>
      </c>
      <c r="P252" s="2">
        <v>5</v>
      </c>
      <c r="X252" s="2" t="s">
        <v>151</v>
      </c>
      <c r="Y252" s="17" t="s">
        <v>143</v>
      </c>
      <c r="Z252" s="14" t="s">
        <v>150</v>
      </c>
      <c r="AA252" s="14" t="s">
        <v>145</v>
      </c>
      <c r="AB252" s="18">
        <v>7</v>
      </c>
      <c r="AC252" s="13">
        <v>-13.5</v>
      </c>
      <c r="AD252" s="13">
        <v>16.5</v>
      </c>
      <c r="AE252" s="19">
        <f t="shared" si="16"/>
        <v>19.211340400919454</v>
      </c>
      <c r="AF252" s="19">
        <f t="shared" si="17"/>
        <v>15.312989252529659</v>
      </c>
      <c r="AG252" s="2" t="s">
        <v>146</v>
      </c>
      <c r="AH252" s="13">
        <v>-3.5</v>
      </c>
      <c r="AI252" s="13">
        <v>2</v>
      </c>
      <c r="AJ252" s="19">
        <f>IF(Abschlüsse[[#This Row],[Ergeb]]="ET","",SQRT(($AC252-$AH252)^2+($AD252-$AI252)^2))</f>
        <v>17.613914953808536</v>
      </c>
      <c r="AK252" s="3">
        <v>2</v>
      </c>
      <c r="AL252" s="13">
        <v>-12.5</v>
      </c>
      <c r="AM252" s="13">
        <v>17.5</v>
      </c>
      <c r="AN252" s="19">
        <f t="shared" si="18"/>
        <v>1.4142135623730951</v>
      </c>
      <c r="AO252" s="3">
        <v>0</v>
      </c>
      <c r="AR252" s="19" t="str">
        <f t="shared" si="19"/>
        <v/>
      </c>
    </row>
    <row r="253" spans="1:44" ht="25.05" customHeight="1">
      <c r="A253" s="3">
        <v>13</v>
      </c>
      <c r="B253" s="2" t="s">
        <v>8</v>
      </c>
      <c r="C253" s="17" t="str">
        <f>IF($A253="","",IF(VLOOKUP($A253,Spiele!$A$2:$D$15,3,FALSE)=$B253,"H","G"))</f>
        <v>H</v>
      </c>
      <c r="D253" s="17" t="str">
        <f>IF($B253="","",IF(VLOOKUP($A253,Spiele!$A$2:$F$15,3,FALSE)=$B253,VLOOKUP($A253,Spiele!$A$2:$F$15,4,FALSE),VLOOKUP($A253,Spiele!$A$2:$F$15,3,FALSE)))</f>
        <v>60M</v>
      </c>
      <c r="E253" s="18">
        <f>IF(Abschlüsse[[#This Row],[Ergeb]]="ET",0,COUNTIFS($A$2:$A253,$A253,$B$2:$B253,$B253,$L$2:$L253,"&lt;&gt;ET"))</f>
        <v>15</v>
      </c>
      <c r="F253" s="11">
        <v>77</v>
      </c>
      <c r="G253" s="12">
        <v>2</v>
      </c>
      <c r="H253" s="18">
        <f>COUNTIFS('Rote Karten'!$A$2:$A$4,$A253,'Rote Karten'!$D$2:$D$4,"&lt;&gt;"&amp;$B253,'Rote Karten'!$B$2:$B$4,"&lt;"&amp;$F253,'Rote Karten'!$C$2:$C$4,"&lt;="&amp;$G253)-COUNTIFS('Rote Karten'!$A$2:$A$4,$A253,'Rote Karten'!$D$2:$D$4,$B253,'Rote Karten'!$B$2:$B$4,"&lt;"&amp;$F253,'Rote Karten'!$C$2:$C$4,"&lt;="&amp;$G253)</f>
        <v>0</v>
      </c>
      <c r="I253" s="17" t="str">
        <f>IF(OR($L253="Tor",$L253="ET"),_xlfn.IFNA(IF(VLOOKUP($A253,Spiele!$A$2:$C$15,3,FALSE)=$B253,COUNTIFS($L$2:$L253,"Tor",$B$2:$B253,$B253,$A$2:$A253,$A253)+COUNTIFS($L$2:$L253,"ET",$B$2:$B253,$B253,$A$2:$A253,$A253)&amp;":"&amp;COUNTIFS($L$2:$L253,"Tor",$B$2:$B253,"&lt;&gt;"&amp;$B253,$A$2:$A253,$A253)+COUNTIFS($L$2:$L253,"ET",$B$2:$B253,"&lt;&gt;"&amp;$B253,$A$2:$A253,$A253),COUNTIFS($L$2:$L253,"Tor",$B$2:$B253,"&lt;&gt;"&amp;$B253,$A$2:$A253,$A253)+COUNTIFS($L$2:$L253,"ET",$B$2:$B253,"&lt;&gt;"&amp;$B253,$A$2:$A253,$A253)&amp;":"&amp;COUNTIFS($L$2:$L253,"Tor",$B$2:$B253,$B253,$A$2:$A253,$A253)+COUNTIFS($L$2:$L253,"ET",$B$2:$B253,$B253,$A$2:$A253,$A253)),""),"")</f>
        <v/>
      </c>
      <c r="J253" s="18">
        <f>_xlfn.IFNA(IF(VLOOKUP($A253,Spiele!$A$2:$D$15,3,FALSE)=$B253,(COUNTIFS($L$1:$L252,"Tor",$B$1:$B252,$B253,$A$1:$A252,$A253)+COUNTIFS($L$1:$L252,"ET",$B$1:$B252,$B253,$A$1:$A252,$A253))-(COUNTIFS($L$1:$L252,"Tor",$B$1:$B252,"&lt;&gt;"&amp;$B253,$A$1:$A252,$A253)+COUNTIFS($L$1:$L252,"ET",$B$1:$B252,"&lt;&gt;"&amp;$B253,$A$1:$A252,$A253)),(COUNTIFS($L$1:$L252,"Tor",$B$1:$B252,$B253,$A$1:$A252,$A253)+COUNTIFS($L$1:$L252,"ET",$B$1:$B252,$B253,$A$1:$A252,$A253))-(COUNTIFS($L$1:$L252,"Tor",$B$1:$B252,"&lt;&gt;"&amp;$B253,$A$1:$A252,$A253)+COUNTIFS($L$1:$L252,"ET",$B$1:$B252,"&lt;&gt;"&amp;$B253,$A$1:$A252,$A253))),"")</f>
        <v>0</v>
      </c>
      <c r="K253" s="3">
        <v>25</v>
      </c>
      <c r="L253" s="17" t="s">
        <v>20</v>
      </c>
      <c r="M253" s="2" t="s">
        <v>163</v>
      </c>
      <c r="N253" s="2" t="s">
        <v>158</v>
      </c>
      <c r="O253" s="2">
        <v>10</v>
      </c>
      <c r="X253" s="2" t="s">
        <v>151</v>
      </c>
      <c r="Y253" s="17" t="s">
        <v>143</v>
      </c>
      <c r="Z253" s="14" t="s">
        <v>150</v>
      </c>
      <c r="AA253" s="14" t="s">
        <v>156</v>
      </c>
      <c r="AB253" s="18">
        <v>6</v>
      </c>
      <c r="AC253" s="13">
        <v>14.5</v>
      </c>
      <c r="AD253" s="13">
        <v>14</v>
      </c>
      <c r="AE253" s="19">
        <f t="shared" si="16"/>
        <v>17.7060893480181</v>
      </c>
      <c r="AF253" s="19">
        <f t="shared" si="17"/>
        <v>14.620361026676797</v>
      </c>
      <c r="AG253" s="2" t="s">
        <v>146</v>
      </c>
      <c r="AH253" s="13">
        <v>2.5</v>
      </c>
      <c r="AI253" s="13">
        <v>1.5</v>
      </c>
      <c r="AJ253" s="19">
        <f>IF(Abschlüsse[[#This Row],[Ergeb]]="ET","",SQRT(($AC253-$AH253)^2+($AD253-$AI253)^2))</f>
        <v>17.327723451163457</v>
      </c>
      <c r="AK253" s="3">
        <v>1</v>
      </c>
      <c r="AL253" s="13">
        <v>14</v>
      </c>
      <c r="AM253" s="13">
        <v>14</v>
      </c>
      <c r="AN253" s="19">
        <f t="shared" si="18"/>
        <v>0.5</v>
      </c>
      <c r="AO253" s="3">
        <v>2</v>
      </c>
      <c r="AP253" s="13">
        <v>8.5</v>
      </c>
      <c r="AQ253" s="13">
        <v>8</v>
      </c>
      <c r="AR253" s="19">
        <f t="shared" si="19"/>
        <v>8.4852813742385695</v>
      </c>
    </row>
    <row r="254" spans="1:44" ht="25.05" customHeight="1">
      <c r="A254" s="3">
        <v>13</v>
      </c>
      <c r="B254" s="2" t="s">
        <v>76</v>
      </c>
      <c r="C254" s="17" t="str">
        <f>IF($A254="","",IF(VLOOKUP($A254,Spiele!$A$2:$D$15,3,FALSE)=$B254,"H","G"))</f>
        <v>G</v>
      </c>
      <c r="D254" s="17" t="str">
        <f>IF($B254="","",IF(VLOOKUP($A254,Spiele!$A$2:$F$15,3,FALSE)=$B254,VLOOKUP($A254,Spiele!$A$2:$F$15,4,FALSE),VLOOKUP($A254,Spiele!$A$2:$F$15,3,FALSE)))</f>
        <v>FCN</v>
      </c>
      <c r="E254" s="18">
        <f>IF(Abschlüsse[[#This Row],[Ergeb]]="ET",0,COUNTIFS($A$2:$A254,$A254,$B$2:$B254,$B254,$L$2:$L254,"&lt;&gt;ET"))</f>
        <v>14</v>
      </c>
      <c r="F254" s="11">
        <v>83</v>
      </c>
      <c r="G254" s="12">
        <v>2</v>
      </c>
      <c r="H254" s="18">
        <f>COUNTIFS('Rote Karten'!$A$2:$A$4,$A254,'Rote Karten'!$D$2:$D$4,"&lt;&gt;"&amp;$B254,'Rote Karten'!$B$2:$B$4,"&lt;"&amp;$F254,'Rote Karten'!$C$2:$C$4,"&lt;="&amp;$G254)-COUNTIFS('Rote Karten'!$A$2:$A$4,$A254,'Rote Karten'!$D$2:$D$4,$B254,'Rote Karten'!$B$2:$B$4,"&lt;"&amp;$F254,'Rote Karten'!$C$2:$C$4,"&lt;="&amp;$G254)</f>
        <v>0</v>
      </c>
      <c r="I254" s="17" t="str">
        <f>IF(OR($L254="Tor",$L254="ET"),_xlfn.IFNA(IF(VLOOKUP($A254,Spiele!$A$2:$C$15,3,FALSE)=$B254,COUNTIFS($L$2:$L254,"Tor",$B$2:$B254,$B254,$A$2:$A254,$A254)+COUNTIFS($L$2:$L254,"ET",$B$2:$B254,$B254,$A$2:$A254,$A254)&amp;":"&amp;COUNTIFS($L$2:$L254,"Tor",$B$2:$B254,"&lt;&gt;"&amp;$B254,$A$2:$A254,$A254)+COUNTIFS($L$2:$L254,"ET",$B$2:$B254,"&lt;&gt;"&amp;$B254,$A$2:$A254,$A254),COUNTIFS($L$2:$L254,"Tor",$B$2:$B254,"&lt;&gt;"&amp;$B254,$A$2:$A254,$A254)+COUNTIFS($L$2:$L254,"ET",$B$2:$B254,"&lt;&gt;"&amp;$B254,$A$2:$A254,$A254)&amp;":"&amp;COUNTIFS($L$2:$L254,"Tor",$B$2:$B254,$B254,$A$2:$A254,$A254)+COUNTIFS($L$2:$L254,"ET",$B$2:$B254,$B254,$A$2:$A254,$A254)),""),"")</f>
        <v/>
      </c>
      <c r="J254" s="18">
        <f>_xlfn.IFNA(IF(VLOOKUP($A254,Spiele!$A$2:$D$15,3,FALSE)=$B254,(COUNTIFS($L$1:$L253,"Tor",$B$1:$B253,$B254,$A$1:$A253,$A254)+COUNTIFS($L$1:$L253,"ET",$B$1:$B253,$B254,$A$1:$A253,$A254))-(COUNTIFS($L$1:$L253,"Tor",$B$1:$B253,"&lt;&gt;"&amp;$B254,$A$1:$A253,$A254)+COUNTIFS($L$1:$L253,"ET",$B$1:$B253,"&lt;&gt;"&amp;$B254,$A$1:$A253,$A254)),(COUNTIFS($L$1:$L253,"Tor",$B$1:$B253,$B254,$A$1:$A253,$A254)+COUNTIFS($L$1:$L253,"ET",$B$1:$B253,$B254,$A$1:$A253,$A254))-(COUNTIFS($L$1:$L253,"Tor",$B$1:$B253,"&lt;&gt;"&amp;$B254,$A$1:$A253,$A254)+COUNTIFS($L$1:$L253,"ET",$B$1:$B253,"&lt;&gt;"&amp;$B254,$A$1:$A253,$A254))),"")</f>
        <v>0</v>
      </c>
      <c r="K254" s="3">
        <v>26</v>
      </c>
      <c r="L254" s="17" t="s">
        <v>18</v>
      </c>
      <c r="M254" s="2" t="s">
        <v>147</v>
      </c>
      <c r="N254" s="2" t="s">
        <v>152</v>
      </c>
      <c r="X254" s="2" t="s">
        <v>142</v>
      </c>
      <c r="Y254" s="17" t="s">
        <v>143</v>
      </c>
      <c r="Z254" s="14" t="s">
        <v>150</v>
      </c>
      <c r="AA254" s="14" t="s">
        <v>156</v>
      </c>
      <c r="AB254" s="18"/>
      <c r="AC254" s="13">
        <v>-12</v>
      </c>
      <c r="AD254" s="13">
        <v>18</v>
      </c>
      <c r="AE254" s="19">
        <f t="shared" si="16"/>
        <v>19.838235808660002</v>
      </c>
      <c r="AF254" s="19">
        <f t="shared" si="17"/>
        <v>16.163407255354326</v>
      </c>
      <c r="AG254" s="2" t="s">
        <v>146</v>
      </c>
      <c r="AH254" s="13">
        <v>-1.5</v>
      </c>
      <c r="AI254" s="13">
        <v>2.5</v>
      </c>
      <c r="AJ254" s="19">
        <f>IF(Abschlüsse[[#This Row],[Ergeb]]="ET","",SQRT(($AC254-$AH254)^2+($AD254-$AI254)^2))</f>
        <v>18.721645226849056</v>
      </c>
      <c r="AK254" s="3">
        <v>1</v>
      </c>
      <c r="AL254" s="13">
        <v>-10.5</v>
      </c>
      <c r="AM254" s="13">
        <v>21</v>
      </c>
      <c r="AN254" s="19">
        <f t="shared" si="18"/>
        <v>3.3541019662496847</v>
      </c>
      <c r="AO254" s="3">
        <v>0</v>
      </c>
      <c r="AR254" s="19" t="str">
        <f t="shared" si="19"/>
        <v/>
      </c>
    </row>
    <row r="256" spans="1:44" ht="25.05" customHeight="1">
      <c r="Z256" s="14"/>
      <c r="AA256" s="14"/>
    </row>
  </sheetData>
  <phoneticPr fontId="5" type="noConversion"/>
  <conditionalFormatting sqref="A2:E254">
    <cfRule type="expression" dxfId="39" priority="126">
      <formula>$C2="H"</formula>
    </cfRule>
  </conditionalFormatting>
  <conditionalFormatting sqref="K2:K254 M2:M254 Z2:AA254 AC2:AD254 AG2:AI254 AK2:AK254 AO2:AO254">
    <cfRule type="cellIs" dxfId="38" priority="46" operator="notEqual">
      <formula>""</formula>
    </cfRule>
  </conditionalFormatting>
  <conditionalFormatting sqref="K2:M254 X2:AD254 AG2:AI254 AK2:AK254 AO2:AO254">
    <cfRule type="expression" dxfId="37" priority="49">
      <formula>$F2&lt;&gt;""</formula>
    </cfRule>
  </conditionalFormatting>
  <conditionalFormatting sqref="M257">
    <cfRule type="cellIs" dxfId="36" priority="121" operator="notEqual">
      <formula>""</formula>
    </cfRule>
    <cfRule type="expression" dxfId="35" priority="122">
      <formula>$F257&lt;&gt;""</formula>
    </cfRule>
  </conditionalFormatting>
  <conditionalFormatting sqref="M2:AR1048576">
    <cfRule type="expression" dxfId="34" priority="13">
      <formula>$L2="ET"</formula>
    </cfRule>
  </conditionalFormatting>
  <conditionalFormatting sqref="N2:N254">
    <cfRule type="cellIs" dxfId="33" priority="3" operator="notEqual">
      <formula>""</formula>
    </cfRule>
    <cfRule type="expression" dxfId="32" priority="4">
      <formula>$M2="nEW"</formula>
    </cfRule>
    <cfRule type="expression" dxfId="31" priority="5">
      <formula>$M2="EW"</formula>
    </cfRule>
    <cfRule type="expression" dxfId="30" priority="6">
      <formula>$M2="n11M"</formula>
    </cfRule>
    <cfRule type="expression" dxfId="29" priority="7">
      <formula>$M2="nFS"</formula>
    </cfRule>
    <cfRule type="expression" dxfId="28" priority="8">
      <formula>$M2="nE"</formula>
    </cfRule>
    <cfRule type="expression" dxfId="27" priority="9">
      <formula>$M2="FSF"</formula>
    </cfRule>
    <cfRule type="expression" dxfId="26" priority="10">
      <formula>$M2="E"</formula>
    </cfRule>
    <cfRule type="expression" dxfId="25" priority="11">
      <formula>$M2="USO"</formula>
    </cfRule>
    <cfRule type="expression" dxfId="24" priority="12">
      <formula>$M2="EB"</formula>
    </cfRule>
  </conditionalFormatting>
  <conditionalFormatting sqref="N257:W257">
    <cfRule type="expression" dxfId="23" priority="104">
      <formula>$M257="nEW"</formula>
    </cfRule>
    <cfRule type="expression" dxfId="22" priority="105">
      <formula>$M257="EW"</formula>
    </cfRule>
    <cfRule type="expression" dxfId="21" priority="106">
      <formula>$M257="n11M"</formula>
    </cfRule>
    <cfRule type="expression" dxfId="20" priority="107">
      <formula>$M257="nFS"</formula>
    </cfRule>
    <cfRule type="expression" dxfId="19" priority="108">
      <formula>$M257="nE"</formula>
    </cfRule>
    <cfRule type="expression" dxfId="18" priority="109">
      <formula>$M257="FSF"</formula>
    </cfRule>
    <cfRule type="expression" dxfId="17" priority="110">
      <formula>$M257="E"</formula>
    </cfRule>
    <cfRule type="expression" dxfId="16" priority="111">
      <formula>$M257="USO"</formula>
    </cfRule>
    <cfRule type="expression" dxfId="15" priority="123">
      <formula>$M257="EB"</formula>
    </cfRule>
  </conditionalFormatting>
  <conditionalFormatting sqref="N257:X257">
    <cfRule type="cellIs" dxfId="14" priority="103" operator="notEqual">
      <formula>""</formula>
    </cfRule>
  </conditionalFormatting>
  <conditionalFormatting sqref="X2:X254">
    <cfRule type="cellIs" dxfId="13" priority="15" operator="notEqual">
      <formula>""</formula>
    </cfRule>
    <cfRule type="expression" dxfId="12" priority="53">
      <formula>#REF!=1</formula>
    </cfRule>
  </conditionalFormatting>
  <conditionalFormatting sqref="X257">
    <cfRule type="expression" dxfId="11" priority="124">
      <formula>#REF!=1</formula>
    </cfRule>
  </conditionalFormatting>
  <conditionalFormatting sqref="Y2:Y254 AB2:AB254 L2:L254">
    <cfRule type="cellIs" dxfId="10" priority="47" operator="notEqual">
      <formula>""</formula>
    </cfRule>
  </conditionalFormatting>
  <conditionalFormatting sqref="Z256:AA256">
    <cfRule type="expression" dxfId="9" priority="99">
      <formula>$L256="ET"</formula>
    </cfRule>
    <cfRule type="cellIs" dxfId="8" priority="100" operator="notEqual">
      <formula>""</formula>
    </cfRule>
    <cfRule type="expression" dxfId="7" priority="101">
      <formula>$F256&lt;&gt;""</formula>
    </cfRule>
  </conditionalFormatting>
  <conditionalFormatting sqref="AB2:AB254">
    <cfRule type="expression" dxfId="6" priority="2">
      <formula>$B2&lt;&gt;"FCN"</formula>
    </cfRule>
  </conditionalFormatting>
  <conditionalFormatting sqref="AH2:AI254">
    <cfRule type="expression" dxfId="5" priority="1">
      <formula>$AG2="niT"</formula>
    </cfRule>
  </conditionalFormatting>
  <conditionalFormatting sqref="AL2:AM254">
    <cfRule type="cellIs" dxfId="4" priority="17" operator="notEqual">
      <formula>""</formula>
    </cfRule>
    <cfRule type="expression" dxfId="3" priority="20">
      <formula>$AK2&gt;0</formula>
    </cfRule>
  </conditionalFormatting>
  <conditionalFormatting sqref="AP2:AQ254">
    <cfRule type="cellIs" dxfId="2" priority="14" operator="notEqual">
      <formula>""</formula>
    </cfRule>
    <cfRule type="expression" dxfId="1" priority="54">
      <formula>$AO2&gt;0</formula>
    </cfRule>
  </conditionalFormatting>
  <pageMargins left="0.7" right="0.7" top="0.78740157499999996" bottom="0.78740157499999996" header="0.3" footer="0.3"/>
  <pageSetup paperSize="9" orientation="portrait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6"/>
  <sheetViews>
    <sheetView zoomScale="70" zoomScaleNormal="70" workbookViewId="0">
      <pane ySplit="1" topLeftCell="A2" activePane="bottomLeft" state="frozen"/>
      <selection activeCell="B2" sqref="B2:L2"/>
      <selection pane="bottomLeft"/>
    </sheetView>
  </sheetViews>
  <sheetFormatPr baseColWidth="10" defaultColWidth="11.21875" defaultRowHeight="25.05" customHeight="1"/>
  <cols>
    <col min="1" max="1" width="6.77734375" style="2" customWidth="1"/>
    <col min="2" max="2" width="30.77734375" style="2" customWidth="1"/>
    <col min="3" max="3" width="3.6640625" style="2" customWidth="1"/>
    <col min="4" max="16384" width="11.21875" style="8"/>
  </cols>
  <sheetData>
    <row r="1" spans="1:3" ht="25.05" customHeight="1">
      <c r="A1" s="4" t="s">
        <v>26</v>
      </c>
      <c r="B1" s="4" t="s">
        <v>10</v>
      </c>
      <c r="C1" s="1"/>
    </row>
    <row r="2" spans="1:3" ht="25.05" customHeight="1">
      <c r="A2" s="2" t="s">
        <v>8</v>
      </c>
      <c r="B2" s="2" t="s">
        <v>9</v>
      </c>
      <c r="C2" s="1"/>
    </row>
    <row r="3" spans="1:3" ht="25.05" customHeight="1">
      <c r="A3" s="2" t="s">
        <v>60</v>
      </c>
      <c r="B3" s="2" t="s">
        <v>59</v>
      </c>
      <c r="C3" s="1"/>
    </row>
    <row r="4" spans="1:3" ht="25.05" customHeight="1">
      <c r="A4" s="1" t="s">
        <v>66</v>
      </c>
      <c r="B4" s="1" t="s">
        <v>65</v>
      </c>
      <c r="C4" s="1"/>
    </row>
    <row r="5" spans="1:3" ht="25.05" customHeight="1">
      <c r="A5" s="2" t="s">
        <v>68</v>
      </c>
      <c r="B5" s="2" t="s">
        <v>67</v>
      </c>
      <c r="C5" s="1"/>
    </row>
    <row r="6" spans="1:3" ht="25.05" customHeight="1">
      <c r="A6" s="2" t="s">
        <v>56</v>
      </c>
      <c r="B6" s="2" t="s">
        <v>55</v>
      </c>
      <c r="C6" s="1"/>
    </row>
    <row r="7" spans="1:3" ht="25.05" customHeight="1">
      <c r="A7" s="2" t="s">
        <v>62</v>
      </c>
      <c r="B7" s="2" t="s">
        <v>61</v>
      </c>
      <c r="C7" s="1"/>
    </row>
    <row r="8" spans="1:3" ht="25.05" customHeight="1">
      <c r="A8" s="2" t="s">
        <v>64</v>
      </c>
      <c r="B8" s="2" t="s">
        <v>63</v>
      </c>
      <c r="C8" s="1"/>
    </row>
    <row r="9" spans="1:3" ht="25.05" customHeight="1">
      <c r="A9" s="2" t="s">
        <v>74</v>
      </c>
      <c r="B9" s="2" t="s">
        <v>73</v>
      </c>
      <c r="C9" s="1"/>
    </row>
    <row r="10" spans="1:3" ht="25.05" customHeight="1">
      <c r="A10" s="2" t="s">
        <v>78</v>
      </c>
      <c r="B10" s="2" t="s">
        <v>77</v>
      </c>
    </row>
    <row r="11" spans="1:3" ht="25.05" customHeight="1">
      <c r="A11" s="2" t="s">
        <v>54</v>
      </c>
      <c r="B11" s="2" t="s">
        <v>53</v>
      </c>
    </row>
    <row r="12" spans="1:3" ht="25.05" customHeight="1">
      <c r="A12" s="2" t="s">
        <v>70</v>
      </c>
      <c r="B12" s="2" t="s">
        <v>69</v>
      </c>
    </row>
    <row r="13" spans="1:3" ht="25.05" customHeight="1">
      <c r="A13" s="2" t="s">
        <v>51</v>
      </c>
      <c r="B13" s="2" t="s">
        <v>52</v>
      </c>
    </row>
    <row r="14" spans="1:3" ht="25.05" customHeight="1">
      <c r="A14" s="2" t="s">
        <v>72</v>
      </c>
      <c r="B14" s="2" t="s">
        <v>71</v>
      </c>
    </row>
    <row r="15" spans="1:3" ht="25.05" customHeight="1">
      <c r="A15" s="2" t="s">
        <v>76</v>
      </c>
      <c r="B15" s="2" t="s">
        <v>75</v>
      </c>
    </row>
    <row r="16" spans="1:3" ht="25.05" customHeight="1">
      <c r="A16" s="2" t="s">
        <v>58</v>
      </c>
      <c r="B16" s="2" t="s">
        <v>57</v>
      </c>
    </row>
  </sheetData>
  <conditionalFormatting sqref="A2:B16">
    <cfRule type="expression" dxfId="0" priority="1">
      <formula>#REF!&gt;0</formula>
    </cfRule>
  </conditionalFormatting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631F7-A60B-46FD-B218-0CAB022A3950}">
  <dimension ref="A1:C23"/>
  <sheetViews>
    <sheetView zoomScale="70" zoomScaleNormal="70" workbookViewId="0">
      <pane ySplit="1" topLeftCell="A2" activePane="bottomLeft" state="frozen"/>
      <selection pane="bottomLeft"/>
    </sheetView>
  </sheetViews>
  <sheetFormatPr baseColWidth="10" defaultColWidth="5.6640625" defaultRowHeight="25.05" customHeight="1"/>
  <cols>
    <col min="1" max="1" width="6.77734375" style="2" customWidth="1"/>
    <col min="2" max="3" width="20.77734375" style="2" customWidth="1"/>
    <col min="4" max="16384" width="5.6640625" style="2"/>
  </cols>
  <sheetData>
    <row r="1" spans="1:3" ht="25.05" customHeight="1">
      <c r="A1" s="25" t="s">
        <v>132</v>
      </c>
      <c r="B1" s="25" t="s">
        <v>88</v>
      </c>
      <c r="C1" s="25" t="s">
        <v>89</v>
      </c>
    </row>
    <row r="2" spans="1:3" ht="25.05" customHeight="1">
      <c r="A2" s="2">
        <v>1</v>
      </c>
      <c r="B2" s="23" t="s">
        <v>128</v>
      </c>
      <c r="C2" s="23" t="s">
        <v>129</v>
      </c>
    </row>
    <row r="3" spans="1:3" ht="25.05" customHeight="1">
      <c r="A3" s="2">
        <v>2</v>
      </c>
      <c r="B3" s="23" t="s">
        <v>123</v>
      </c>
      <c r="C3" s="23" t="s">
        <v>124</v>
      </c>
    </row>
    <row r="4" spans="1:3" ht="25.05" customHeight="1">
      <c r="A4" s="2">
        <v>4</v>
      </c>
      <c r="B4" s="23" t="s">
        <v>92</v>
      </c>
      <c r="C4" s="23" t="s">
        <v>110</v>
      </c>
    </row>
    <row r="5" spans="1:3" ht="25.05" customHeight="1">
      <c r="A5" s="2">
        <v>5</v>
      </c>
      <c r="B5" s="23" t="s">
        <v>125</v>
      </c>
      <c r="C5" s="23" t="s">
        <v>126</v>
      </c>
    </row>
    <row r="6" spans="1:3" ht="25.05" customHeight="1">
      <c r="A6" s="2">
        <v>6</v>
      </c>
      <c r="B6" s="23" t="s">
        <v>117</v>
      </c>
      <c r="C6" s="23" t="s">
        <v>118</v>
      </c>
    </row>
    <row r="7" spans="1:3" ht="25.05" customHeight="1">
      <c r="A7" s="2">
        <v>7</v>
      </c>
      <c r="B7" s="23" t="s">
        <v>119</v>
      </c>
      <c r="C7" s="23" t="s">
        <v>120</v>
      </c>
    </row>
    <row r="8" spans="1:3" ht="25.05" customHeight="1">
      <c r="A8" s="2">
        <v>8</v>
      </c>
      <c r="B8" s="23" t="s">
        <v>111</v>
      </c>
      <c r="C8" s="23" t="s">
        <v>112</v>
      </c>
    </row>
    <row r="9" spans="1:3" ht="25.05" customHeight="1">
      <c r="A9" s="2">
        <v>9</v>
      </c>
      <c r="B9" s="23" t="s">
        <v>115</v>
      </c>
      <c r="C9" s="23" t="s">
        <v>116</v>
      </c>
    </row>
    <row r="10" spans="1:3" ht="25.05" customHeight="1">
      <c r="A10" s="2">
        <v>10</v>
      </c>
      <c r="B10" s="23" t="s">
        <v>106</v>
      </c>
      <c r="C10" s="23" t="s">
        <v>107</v>
      </c>
    </row>
    <row r="11" spans="1:3" ht="25.05" customHeight="1">
      <c r="A11" s="2">
        <v>11</v>
      </c>
      <c r="B11" s="23" t="s">
        <v>94</v>
      </c>
      <c r="C11" s="23" t="s">
        <v>95</v>
      </c>
    </row>
    <row r="12" spans="1:3" ht="25.05" customHeight="1">
      <c r="A12" s="2">
        <v>13</v>
      </c>
      <c r="B12" s="23" t="s">
        <v>92</v>
      </c>
      <c r="C12" s="23" t="s">
        <v>93</v>
      </c>
    </row>
    <row r="13" spans="1:3" ht="25.05" customHeight="1">
      <c r="A13" s="2">
        <v>14</v>
      </c>
      <c r="B13" s="23" t="s">
        <v>100</v>
      </c>
      <c r="C13" s="23" t="s">
        <v>101</v>
      </c>
    </row>
    <row r="14" spans="1:3" ht="25.05" customHeight="1">
      <c r="A14" s="2">
        <v>16</v>
      </c>
      <c r="B14" s="23" t="s">
        <v>96</v>
      </c>
      <c r="C14" s="23" t="s">
        <v>97</v>
      </c>
    </row>
    <row r="15" spans="1:3" ht="25.05" customHeight="1">
      <c r="A15" s="2">
        <v>18</v>
      </c>
      <c r="B15" s="23" t="s">
        <v>121</v>
      </c>
      <c r="C15" s="23" t="s">
        <v>122</v>
      </c>
    </row>
    <row r="16" spans="1:3" ht="25.05" customHeight="1">
      <c r="A16" s="2">
        <v>19</v>
      </c>
      <c r="B16" s="23" t="s">
        <v>90</v>
      </c>
      <c r="C16" s="23" t="s">
        <v>91</v>
      </c>
    </row>
    <row r="17" spans="1:3" ht="25.05" customHeight="1">
      <c r="A17" s="2">
        <v>20</v>
      </c>
      <c r="B17" s="23" t="s">
        <v>98</v>
      </c>
      <c r="C17" s="23" t="s">
        <v>99</v>
      </c>
    </row>
    <row r="18" spans="1:3" ht="25.05" customHeight="1">
      <c r="A18" s="2">
        <v>21</v>
      </c>
      <c r="B18" s="23" t="s">
        <v>114</v>
      </c>
      <c r="C18" s="23" t="s">
        <v>113</v>
      </c>
    </row>
    <row r="19" spans="1:3" ht="25.05" customHeight="1">
      <c r="A19" s="2">
        <v>22</v>
      </c>
      <c r="B19" s="23" t="s">
        <v>90</v>
      </c>
      <c r="C19" s="23" t="s">
        <v>127</v>
      </c>
    </row>
    <row r="20" spans="1:3" ht="25.05" customHeight="1">
      <c r="A20" s="2">
        <v>23</v>
      </c>
      <c r="B20" s="23" t="s">
        <v>130</v>
      </c>
      <c r="C20" s="23" t="s">
        <v>131</v>
      </c>
    </row>
    <row r="21" spans="1:3" ht="25.05" customHeight="1">
      <c r="A21" s="2">
        <v>25</v>
      </c>
      <c r="B21" s="23" t="s">
        <v>102</v>
      </c>
      <c r="C21" s="23" t="s">
        <v>103</v>
      </c>
    </row>
    <row r="22" spans="1:3" ht="25.05" customHeight="1">
      <c r="A22" s="2">
        <v>26</v>
      </c>
      <c r="B22" s="23" t="s">
        <v>108</v>
      </c>
      <c r="C22" s="23" t="s">
        <v>109</v>
      </c>
    </row>
    <row r="23" spans="1:3" ht="25.05" customHeight="1">
      <c r="A23" s="2">
        <v>27</v>
      </c>
      <c r="B23" s="23" t="s">
        <v>104</v>
      </c>
      <c r="C23" s="23" t="s">
        <v>105</v>
      </c>
    </row>
  </sheetData>
  <pageMargins left="0.7" right="0.7" top="0.78740157499999996" bottom="0.78740157499999996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FB5148-5F5D-478F-9108-13B063A1E48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6</vt:i4>
      </vt:variant>
      <vt:variant>
        <vt:lpstr>Benannte Bereiche</vt:lpstr>
      </vt:variant>
      <vt:variant>
        <vt:i4>3</vt:i4>
      </vt:variant>
    </vt:vector>
  </HeadingPairs>
  <TitlesOfParts>
    <vt:vector size="9" baseType="lpstr">
      <vt:lpstr>Spiele</vt:lpstr>
      <vt:lpstr>Spielzeiten</vt:lpstr>
      <vt:lpstr>Rote Karten</vt:lpstr>
      <vt:lpstr>Abschlüsse</vt:lpstr>
      <vt:lpstr>Teams</vt:lpstr>
      <vt:lpstr>Spieler</vt:lpstr>
      <vt:lpstr>Spielzeiten!Abkürzungen</vt:lpstr>
      <vt:lpstr>Abkürzungen</vt:lpstr>
      <vt:lpstr>Nummern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Benedikt Beck</dc:creator>
  <cp:lastModifiedBy>Benedikt Beck</cp:lastModifiedBy>
  <cp:lastPrinted>2025-05-23T09:25:33Z</cp:lastPrinted>
  <dcterms:created xsi:type="dcterms:W3CDTF">2024-11-16T13:42:48Z</dcterms:created>
  <dcterms:modified xsi:type="dcterms:W3CDTF">2025-12-04T13:12:08Z</dcterms:modified>
</cp:coreProperties>
</file>