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Streamlit\xG\"/>
    </mc:Choice>
  </mc:AlternateContent>
  <xr:revisionPtr revIDLastSave="0" documentId="13_ncr:1_{4DD0BA86-F0A5-4AE0-B423-65DCD8720C62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C403" i="2"/>
  <c r="D403" i="2"/>
  <c r="I40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C359" i="2"/>
  <c r="D359" i="2"/>
  <c r="C347" i="2"/>
  <c r="C345" i="2"/>
  <c r="C335" i="2"/>
  <c r="D335" i="2"/>
  <c r="C339" i="2"/>
  <c r="D339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6" i="2"/>
  <c r="D336" i="2"/>
  <c r="C337" i="2"/>
  <c r="D337" i="2"/>
  <c r="C338" i="2"/>
  <c r="D338" i="2"/>
  <c r="C340" i="2"/>
  <c r="D340" i="2"/>
  <c r="C341" i="2"/>
  <c r="D341" i="2"/>
  <c r="C342" i="2"/>
  <c r="D342" i="2"/>
  <c r="C343" i="2"/>
  <c r="D343" i="2"/>
  <c r="C344" i="2"/>
  <c r="D344" i="2"/>
  <c r="D345" i="2"/>
  <c r="C346" i="2"/>
  <c r="D346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C373" i="2"/>
  <c r="D373" i="2"/>
  <c r="C374" i="2"/>
  <c r="D374" i="2"/>
  <c r="C375" i="2"/>
  <c r="D375" i="2"/>
  <c r="C376" i="2"/>
  <c r="D376" i="2"/>
  <c r="C377" i="2"/>
  <c r="D377" i="2"/>
  <c r="C378" i="2"/>
  <c r="D378" i="2"/>
  <c r="C379" i="2"/>
  <c r="D379" i="2"/>
  <c r="C380" i="2"/>
  <c r="D380" i="2"/>
  <c r="C381" i="2"/>
  <c r="D381" i="2"/>
  <c r="C382" i="2"/>
  <c r="D382" i="2"/>
  <c r="C383" i="2"/>
  <c r="D383" i="2"/>
  <c r="C384" i="2"/>
  <c r="D384" i="2"/>
  <c r="C385" i="2"/>
  <c r="D385" i="2"/>
  <c r="C386" i="2"/>
  <c r="D386" i="2"/>
  <c r="C387" i="2"/>
  <c r="D387" i="2"/>
  <c r="C388" i="2"/>
  <c r="D388" i="2"/>
  <c r="C389" i="2"/>
  <c r="D389" i="2"/>
  <c r="C390" i="2"/>
  <c r="D390" i="2"/>
  <c r="C391" i="2"/>
  <c r="D391" i="2"/>
  <c r="C392" i="2"/>
  <c r="D392" i="2"/>
  <c r="C393" i="2"/>
  <c r="D393" i="2"/>
  <c r="C394" i="2"/>
  <c r="D394" i="2"/>
  <c r="C395" i="2"/>
  <c r="D395" i="2"/>
  <c r="C396" i="2"/>
  <c r="D396" i="2"/>
  <c r="C397" i="2"/>
  <c r="D397" i="2"/>
  <c r="C398" i="2"/>
  <c r="D398" i="2"/>
  <c r="C399" i="2"/>
  <c r="D399" i="2"/>
  <c r="C400" i="2"/>
  <c r="D400" i="2"/>
  <c r="C401" i="2"/>
  <c r="D401" i="2"/>
  <c r="C402" i="2"/>
  <c r="D402" i="2"/>
  <c r="C404" i="2"/>
  <c r="D404" i="2"/>
  <c r="C405" i="2"/>
  <c r="D405" i="2"/>
  <c r="C406" i="2"/>
  <c r="D406" i="2"/>
  <c r="C407" i="2"/>
  <c r="D407" i="2"/>
  <c r="C408" i="2"/>
  <c r="D408" i="2"/>
  <c r="C409" i="2"/>
  <c r="D409" i="2"/>
  <c r="C410" i="2"/>
  <c r="D410" i="2"/>
  <c r="C411" i="2"/>
  <c r="D411" i="2"/>
  <c r="C412" i="2"/>
  <c r="D412" i="2"/>
  <c r="C413" i="2"/>
  <c r="D413" i="2"/>
  <c r="C414" i="2"/>
  <c r="D414" i="2"/>
  <c r="C415" i="2"/>
  <c r="D415" i="2"/>
  <c r="C416" i="2"/>
  <c r="D416" i="2"/>
  <c r="C417" i="2"/>
  <c r="D417" i="2"/>
  <c r="C418" i="2"/>
  <c r="D418" i="2"/>
  <c r="C419" i="2"/>
  <c r="D419" i="2"/>
  <c r="C420" i="2"/>
  <c r="D420" i="2"/>
  <c r="C421" i="2"/>
  <c r="D421" i="2"/>
  <c r="C422" i="2"/>
  <c r="D422" i="2"/>
  <c r="C423" i="2"/>
  <c r="D423" i="2"/>
  <c r="C424" i="2"/>
  <c r="D424" i="2"/>
  <c r="C425" i="2"/>
  <c r="D425" i="2"/>
  <c r="C426" i="2"/>
  <c r="D426" i="2"/>
  <c r="C427" i="2"/>
  <c r="D427" i="2"/>
  <c r="C428" i="2"/>
  <c r="D428" i="2"/>
  <c r="C429" i="2"/>
  <c r="D429" i="2"/>
  <c r="C430" i="2"/>
  <c r="D430" i="2"/>
  <c r="C431" i="2"/>
  <c r="D431" i="2"/>
  <c r="C432" i="2"/>
  <c r="D432" i="2"/>
  <c r="C433" i="2"/>
  <c r="D433" i="2"/>
  <c r="D2" i="2"/>
  <c r="C2" i="2"/>
  <c r="G17" i="35"/>
  <c r="H17" i="35"/>
  <c r="AM397" i="2"/>
  <c r="AU394" i="2"/>
  <c r="AH393" i="2"/>
  <c r="E403" i="2"/>
  <c r="H403" i="2"/>
  <c r="AH403" i="2"/>
  <c r="AI403" i="2"/>
  <c r="AM403" i="2"/>
  <c r="AQ403" i="2"/>
  <c r="AU403" i="2"/>
  <c r="H400" i="2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16" i="35"/>
  <c r="H16" i="35"/>
  <c r="AM379" i="2"/>
  <c r="AM336" i="2"/>
  <c r="AU2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1" i="2"/>
  <c r="H402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AQ181" i="2"/>
  <c r="AU172" i="2"/>
  <c r="AH174" i="2"/>
  <c r="AQ372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H15" i="35"/>
  <c r="AQ190" i="2"/>
  <c r="AM168" i="2"/>
  <c r="AH155" i="2"/>
  <c r="AU358" i="2"/>
  <c r="AU344" i="2"/>
  <c r="AH359" i="2"/>
  <c r="AI359" i="2"/>
  <c r="AM359" i="2"/>
  <c r="AQ359" i="2"/>
  <c r="AU359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H335" i="2"/>
  <c r="AI335" i="2"/>
  <c r="AM335" i="2"/>
  <c r="AQ335" i="2"/>
  <c r="AU335" i="2"/>
  <c r="AH339" i="2"/>
  <c r="AI339" i="2"/>
  <c r="AM339" i="2"/>
  <c r="AQ339" i="2"/>
  <c r="AU339" i="2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I17" i="35" l="1"/>
  <c r="J17" i="35"/>
  <c r="J16" i="35"/>
  <c r="I16" i="35"/>
  <c r="J15" i="35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384" i="2" l="1"/>
  <c r="AH377" i="2"/>
  <c r="AM376" i="2"/>
  <c r="AH291" i="2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7" i="2"/>
  <c r="AM338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7" i="2"/>
  <c r="AM378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8" i="2"/>
  <c r="AM399" i="2"/>
  <c r="AM400" i="2"/>
  <c r="AM401" i="2"/>
  <c r="AM402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6" i="2"/>
  <c r="AU337" i="2"/>
  <c r="AU338" i="2"/>
  <c r="AU340" i="2"/>
  <c r="AU341" i="2"/>
  <c r="AU342" i="2"/>
  <c r="AU343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U391" i="2"/>
  <c r="AU392" i="2"/>
  <c r="AU393" i="2"/>
  <c r="AU395" i="2"/>
  <c r="AU396" i="2"/>
  <c r="AU397" i="2"/>
  <c r="AU398" i="2"/>
  <c r="AU399" i="2"/>
  <c r="AU400" i="2"/>
  <c r="AU401" i="2"/>
  <c r="AU402" i="2"/>
  <c r="AU404" i="2"/>
  <c r="AU405" i="2"/>
  <c r="AU406" i="2"/>
  <c r="AU407" i="2"/>
  <c r="AU408" i="2"/>
  <c r="AU409" i="2"/>
  <c r="AU410" i="2"/>
  <c r="AU411" i="2"/>
  <c r="AU412" i="2"/>
  <c r="AU413" i="2"/>
  <c r="AU414" i="2"/>
  <c r="AU415" i="2"/>
  <c r="AU416" i="2"/>
  <c r="AU417" i="2"/>
  <c r="AU418" i="2"/>
  <c r="AU419" i="2"/>
  <c r="AU420" i="2"/>
  <c r="AU421" i="2"/>
  <c r="AU422" i="2"/>
  <c r="AU423" i="2"/>
  <c r="AU424" i="2"/>
  <c r="AU425" i="2"/>
  <c r="AU426" i="2"/>
  <c r="AU427" i="2"/>
  <c r="AU428" i="2"/>
  <c r="AU429" i="2"/>
  <c r="AU430" i="2"/>
  <c r="AU431" i="2"/>
  <c r="AU432" i="2"/>
  <c r="AU433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6" i="2"/>
  <c r="AQ337" i="2"/>
  <c r="AQ338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3" i="2"/>
  <c r="AQ374" i="2"/>
  <c r="AQ375" i="2"/>
  <c r="AQ376" i="2"/>
  <c r="AQ377" i="2"/>
  <c r="AQ378" i="2"/>
  <c r="AQ379" i="2"/>
  <c r="AQ380" i="2"/>
  <c r="AQ381" i="2"/>
  <c r="AQ382" i="2"/>
  <c r="AQ383" i="2"/>
  <c r="AQ385" i="2"/>
  <c r="AQ386" i="2"/>
  <c r="AQ387" i="2"/>
  <c r="AQ388" i="2"/>
  <c r="AQ389" i="2"/>
  <c r="AQ390" i="2"/>
  <c r="AQ391" i="2"/>
  <c r="AQ392" i="2"/>
  <c r="AQ393" i="2"/>
  <c r="AQ394" i="2"/>
  <c r="AQ395" i="2"/>
  <c r="AQ396" i="2"/>
  <c r="AQ397" i="2"/>
  <c r="AQ398" i="2"/>
  <c r="AQ399" i="2"/>
  <c r="AQ400" i="2"/>
  <c r="AQ401" i="2"/>
  <c r="AQ402" i="2"/>
  <c r="AQ404" i="2"/>
  <c r="AQ405" i="2"/>
  <c r="AQ406" i="2"/>
  <c r="AQ407" i="2"/>
  <c r="AQ408" i="2"/>
  <c r="AQ409" i="2"/>
  <c r="AQ410" i="2"/>
  <c r="AQ411" i="2"/>
  <c r="AQ412" i="2"/>
  <c r="AQ413" i="2"/>
  <c r="AQ414" i="2"/>
  <c r="AQ415" i="2"/>
  <c r="AQ416" i="2"/>
  <c r="AQ417" i="2"/>
  <c r="AQ418" i="2"/>
  <c r="AQ419" i="2"/>
  <c r="AQ420" i="2"/>
  <c r="AQ421" i="2"/>
  <c r="AQ422" i="2"/>
  <c r="AQ423" i="2"/>
  <c r="AQ424" i="2"/>
  <c r="AQ425" i="2"/>
  <c r="AQ426" i="2"/>
  <c r="AQ427" i="2"/>
  <c r="AQ428" i="2"/>
  <c r="AQ429" i="2"/>
  <c r="AQ430" i="2"/>
  <c r="AQ431" i="2"/>
  <c r="AQ432" i="2"/>
  <c r="AQ433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0" i="2"/>
  <c r="AI330" i="2"/>
  <c r="AH331" i="2"/>
  <c r="AI331" i="2"/>
  <c r="AH332" i="2"/>
  <c r="AI332" i="2"/>
  <c r="AH333" i="2"/>
  <c r="AI333" i="2"/>
  <c r="AH334" i="2"/>
  <c r="AI334" i="2"/>
  <c r="AH336" i="2"/>
  <c r="AI336" i="2"/>
  <c r="AH337" i="2"/>
  <c r="AI337" i="2"/>
  <c r="AH338" i="2"/>
  <c r="AI338" i="2"/>
  <c r="AH340" i="2"/>
  <c r="AI340" i="2"/>
  <c r="AH341" i="2"/>
  <c r="AI341" i="2"/>
  <c r="AH342" i="2"/>
  <c r="AI342" i="2"/>
  <c r="AH343" i="2"/>
  <c r="AI343" i="2"/>
  <c r="AH344" i="2"/>
  <c r="AI344" i="2"/>
  <c r="AH345" i="2"/>
  <c r="AI345" i="2"/>
  <c r="AH346" i="2"/>
  <c r="AI346" i="2"/>
  <c r="AH347" i="2"/>
  <c r="AI347" i="2"/>
  <c r="AH348" i="2"/>
  <c r="AI348" i="2"/>
  <c r="AH349" i="2"/>
  <c r="AI349" i="2"/>
  <c r="AH350" i="2"/>
  <c r="AI350" i="2"/>
  <c r="AH351" i="2"/>
  <c r="AI351" i="2"/>
  <c r="AH352" i="2"/>
  <c r="AI352" i="2"/>
  <c r="AH353" i="2"/>
  <c r="AI353" i="2"/>
  <c r="AH354" i="2"/>
  <c r="AI354" i="2"/>
  <c r="AH355" i="2"/>
  <c r="AI355" i="2"/>
  <c r="AH356" i="2"/>
  <c r="AI356" i="2"/>
  <c r="AH357" i="2"/>
  <c r="AI357" i="2"/>
  <c r="AH358" i="2"/>
  <c r="AI358" i="2"/>
  <c r="AH360" i="2"/>
  <c r="AI360" i="2"/>
  <c r="AH361" i="2"/>
  <c r="AI361" i="2"/>
  <c r="AH362" i="2"/>
  <c r="AI362" i="2"/>
  <c r="AH363" i="2"/>
  <c r="AI363" i="2"/>
  <c r="AH364" i="2"/>
  <c r="AI364" i="2"/>
  <c r="AH365" i="2"/>
  <c r="AI365" i="2"/>
  <c r="AH366" i="2"/>
  <c r="AI366" i="2"/>
  <c r="AH367" i="2"/>
  <c r="AI367" i="2"/>
  <c r="AH368" i="2"/>
  <c r="AI368" i="2"/>
  <c r="AH369" i="2"/>
  <c r="AI369" i="2"/>
  <c r="AH370" i="2"/>
  <c r="AI370" i="2"/>
  <c r="AH371" i="2"/>
  <c r="AI371" i="2"/>
  <c r="AH372" i="2"/>
  <c r="AI372" i="2"/>
  <c r="AH373" i="2"/>
  <c r="AI373" i="2"/>
  <c r="AH374" i="2"/>
  <c r="AI374" i="2"/>
  <c r="AH375" i="2"/>
  <c r="AI375" i="2"/>
  <c r="AH376" i="2"/>
  <c r="AI376" i="2"/>
  <c r="AI377" i="2"/>
  <c r="AH378" i="2"/>
  <c r="AI378" i="2"/>
  <c r="AH379" i="2"/>
  <c r="AI379" i="2"/>
  <c r="AH380" i="2"/>
  <c r="AI380" i="2"/>
  <c r="AH381" i="2"/>
  <c r="AI381" i="2"/>
  <c r="AH382" i="2"/>
  <c r="AI382" i="2"/>
  <c r="AH383" i="2"/>
  <c r="AI383" i="2"/>
  <c r="AH384" i="2"/>
  <c r="AI384" i="2"/>
  <c r="AH385" i="2"/>
  <c r="AI385" i="2"/>
  <c r="AH386" i="2"/>
  <c r="AI386" i="2"/>
  <c r="AH387" i="2"/>
  <c r="AI387" i="2"/>
  <c r="AH388" i="2"/>
  <c r="AI388" i="2"/>
  <c r="AH389" i="2"/>
  <c r="AI389" i="2"/>
  <c r="AH390" i="2"/>
  <c r="AI390" i="2"/>
  <c r="AH391" i="2"/>
  <c r="AI391" i="2"/>
  <c r="AH392" i="2"/>
  <c r="AI392" i="2"/>
  <c r="AI393" i="2"/>
  <c r="AH394" i="2"/>
  <c r="AI394" i="2"/>
  <c r="AH395" i="2"/>
  <c r="AI395" i="2"/>
  <c r="AH396" i="2"/>
  <c r="AI396" i="2"/>
  <c r="AH397" i="2"/>
  <c r="AI397" i="2"/>
  <c r="AH398" i="2"/>
  <c r="AI398" i="2"/>
  <c r="AH399" i="2"/>
  <c r="AI399" i="2"/>
  <c r="AH400" i="2"/>
  <c r="AI400" i="2"/>
  <c r="AH401" i="2"/>
  <c r="AI401" i="2"/>
  <c r="AH402" i="2"/>
  <c r="AI402" i="2"/>
  <c r="AH404" i="2"/>
  <c r="AI404" i="2"/>
  <c r="AH405" i="2"/>
  <c r="AI405" i="2"/>
  <c r="AH406" i="2"/>
  <c r="AI406" i="2"/>
  <c r="AH407" i="2"/>
  <c r="AI407" i="2"/>
  <c r="AH408" i="2"/>
  <c r="AI408" i="2"/>
  <c r="AH409" i="2"/>
  <c r="AI409" i="2"/>
  <c r="AH410" i="2"/>
  <c r="AI410" i="2"/>
  <c r="AH411" i="2"/>
  <c r="AI411" i="2"/>
  <c r="AH412" i="2"/>
  <c r="AI412" i="2"/>
  <c r="AH413" i="2"/>
  <c r="AI413" i="2"/>
  <c r="AH414" i="2"/>
  <c r="AI414" i="2"/>
  <c r="AH415" i="2"/>
  <c r="AI415" i="2"/>
  <c r="AH416" i="2"/>
  <c r="AI416" i="2"/>
  <c r="AH417" i="2"/>
  <c r="AI417" i="2"/>
  <c r="AH418" i="2"/>
  <c r="AI418" i="2"/>
  <c r="AH419" i="2"/>
  <c r="AI419" i="2"/>
  <c r="AH420" i="2"/>
  <c r="AI420" i="2"/>
  <c r="AH421" i="2"/>
  <c r="AI421" i="2"/>
  <c r="AH422" i="2"/>
  <c r="AI422" i="2"/>
  <c r="AH423" i="2"/>
  <c r="AI423" i="2"/>
  <c r="AH424" i="2"/>
  <c r="AI424" i="2"/>
  <c r="AH425" i="2"/>
  <c r="AI425" i="2"/>
  <c r="AH426" i="2"/>
  <c r="AI426" i="2"/>
  <c r="AH427" i="2"/>
  <c r="AI427" i="2"/>
  <c r="AH428" i="2"/>
  <c r="AI428" i="2"/>
  <c r="AH429" i="2"/>
  <c r="AI429" i="2"/>
  <c r="AH430" i="2"/>
  <c r="AI430" i="2"/>
  <c r="AH431" i="2"/>
  <c r="AI431" i="2"/>
  <c r="AH432" i="2"/>
  <c r="AI432" i="2"/>
  <c r="AH433" i="2"/>
  <c r="AI433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<sst xmlns="http://schemas.openxmlformats.org/spreadsheetml/2006/main" count="4050" uniqueCount="191">
  <si>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</si>
  <si>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</si>
  <si>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</si>
  <si>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</si>
  <si>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</si>
  <si>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</si>
  <si>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</si>
  <si>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</si>
  <si>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</si>
  <si>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</si>
  <si>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</si>
  <si>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</si>
  <si>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</si>
  <si>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</si>
  <si>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</si>
  <si>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</si>
  <si>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</si>
  <si>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</si>
  <si>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</si>
  <si>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</si>
  <si>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</si>
  <si>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</si>
  <si>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</si>
  <si>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</si>
  <si>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</si>
  <si>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</si>
  <si>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</si>
  <si>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</si>
  <si>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</si>
  <si>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</si>
  <si>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</si>
  <si>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</si>
  <si>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</si>
  <si>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</si>
  <si>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</si>
  <si>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</si>
  <si>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</si>
  <si>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</si>
  <si>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</si>
  <si>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</si>
  <si>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</si>
  <si>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</si>
  <si>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</si>
  <si>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</si>
  <si>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</si>
  <si>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</si>
  <si>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</si>
  <si>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</si>
  <si>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</si>
  <si>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</si>
  <si>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</si>
  <si>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</si>
  <si>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</si>
  <si>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</si>
  <si>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</si>
  <si>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</si>
  <si>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</si>
  <si>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</si>
  <si>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</si>
  <si>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</si>
  <si>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</si>
  <si>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</si>
  <si>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</si>
  <si>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</si>
  <si>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</si>
  <si>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</si>
  <si>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</si>
  <si>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</si>
  <si>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</si>
  <si>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</si>
  <si>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</si>
  <si>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</si>
  <si>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</si>
  <si>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</si>
  <si>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</si>
  <si>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</si>
  <si>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</si>
  <si>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</si>
  <si>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</si>
  <si>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</si>
  <si>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</si>
  <si>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</si>
  <si>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</si>
  <si>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</si>
  <si>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</si>
  <si>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</si>
  <si>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</si>
  <si>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</si>
  <si>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</si>
  <si>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</si>
  <si>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</si>
  <si>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</si>
  <si>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</si>
  <si>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</si>
  <si>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</si>
  <si>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</si>
  <si>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</si>
  <si>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</si>
  <si>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</si>
  <si>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</si>
  <si>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</si>
  <si>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</si>
  <si>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</si>
  <si>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</si>
  <si>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</si>
  <si>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</si>
  <si>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</si>
  <si>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</si>
  <si>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</si>
  <si>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</si>
  <si>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</si>
  <si>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</si>
  <si>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</si>
  <si>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</si>
  <si>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</si>
  <si>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</si>
  <si>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</si>
  <si>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</si>
  <si>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</si>
  <si>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</si>
  <si>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</si>
  <si>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</si>
  <si>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</si>
  <si>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</si>
  <si>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</si>
  <si>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</si>
  <si>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</si>
  <si>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</si>
  <si>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</si>
  <si>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</si>
  <si>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</si>
  <si>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</si>
  <si>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</si>
  <si>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</si>
  <si>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</si>
  <si>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</si>
  <si>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</si>
  <si>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</si>
  <si>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</si>
  <si>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</si>
  <si>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</si>
  <si>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</si>
  <si>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</si>
  <si>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</si>
  <si>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</si>
  <si>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</si>
  <si>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</si>
  <si>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</si>
  <si>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</si>
  <si>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</si>
  <si>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</si>
  <si>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</si>
  <si>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</si>
  <si>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</si>
  <si>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</si>
  <si>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</si>
  <si>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</si>
  <si>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</si>
  <si>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</si>
  <si>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</si>
  <si>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</si>
  <si>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</si>
  <si>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</si>
  <si>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</si>
  <si>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</si>
  <si>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</si>
  <si>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</si>
  <si>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</si>
  <si>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</si>
  <si>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</si>
  <si>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</si>
  <si>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</si>
  <si>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</si>
  <si>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</si>
  <si>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</si>
  <si>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</si>
  <si>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</si>
  <si>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</si>
  <si>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</si>
  <si>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</si>
  <si>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</si>
  <si>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</si>
  <si>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</si>
  <si>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</si>
  <si>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</si>
  <si>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</si>
  <si>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</si>
  <si>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</si>
  <si>
    <t>Idada</t>
  </si>
  <si>
    <t>Edgar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</si>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</sst>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7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SUM(COUNTIFS(Abschlüsse!$A$2:$A$433,$A2,Abschlüsse!$B$2:$B$433,$C2,Abschlüsse!$L$2:$L$433,"Tor"),COUNTIFS(Abschlüsse!$A$2:$A$433,$A2,Abschlüsse!$B$2:$B$433,$C2,Abschlüsse!$L$2:$L$433,"ET"))</calculatedColumnFormula>
    </tableColumn>
    <tableColumn id="14" xr3:uid="{C91559F3-290E-4254-BCA6-0153E99BEA95}" name="TG" dataDxfId="121">
      <calculatedColumnFormula>SUM(COUNTIFS(Abschlüsse!$A$2:$A$433,$A2,Abschlüsse!$B$2:$B$433,$D2,Abschlüsse!$L$2:$L$433,"Tor"),COUNTIFS(Abschlüsse!$A$2:$A$433,$A2,Abschlüsse!$B$2:$B$433,$D2,Abschlüsse!$L$2:$L$433,"ET"))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40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433" totalsRowShown="0" headerRowDxfId="103" dataDxfId="102" headerRowCellStyle="Standard 2">
  <autoFilter ref="A1:AU433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IF($A2="","",IF(VLOOKUP($A2,Spiele!$A$2:$D$17,3,FALSE)=$B2,"H","G"))</calculatedColumnFormula>
    </tableColumn>
    <tableColumn id="6" xr3:uid="{3DFABB6E-EDFC-4F0E-826F-06C6A5AD8683}" name="GID" dataDxfId="98">
      <calculatedColumnFormula>IF($B2="","",IF(VLOOKUP($A2,Spiele!$A$2:$F$17,3,FALSE)=$B2,VLOOKUP($A2,Spiele!$A$2:$F$17,4,FALSE),VLOOKUP($A2,Spiele!$A$2:$F$17,3,FALSE)))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$17,3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$17,3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4" totalsRowShown="0" headerRowDxfId="50" dataDxfId="49">
  <sortState xmlns:xlrd2="http://schemas.microsoft.com/office/spreadsheetml/2017/richdata2" ref="A2:C24">
    <sortCondition ref="A1:A24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7"/>
  <sheetViews>
    <sheetView zoomScale="70" zoomScaleNormal="70" workbookViewId="0">
      <pane ySplit="1" topLeftCell="A2" activePane="bottomLeft" state="frozen"/>
      <selection activeCell="B2" sqref="B2:O2"/>
      <selection pane="bottomLeft" activeCell="A18" sqref="A18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SUM(COUNTIFS(Abschlüsse!$A$2:$A$433,$A2,Abschlüsse!$B$2:$B$433,$C2,Abschlüsse!$L$2:$L$433,"Tor"),COUNTIFS(Abschlüsse!$A$2:$A$433,$A2,Abschlüsse!$B$2:$B$433,$C2,Abschlüsse!$L$2:$L$433,"ET"))</f>
        <v>4</v>
      </c>
      <c r="H2" s="18">
        <f>SUM(COUNTIFS(Abschlüsse!$A$2:$A$433,$A2,Abschlüsse!$B$2:$B$433,$D2,Abschlüsse!$L$2:$L$433,"Tor"),COUNTIFS(Abschlüsse!$A$2:$A$433,$A2,Abschlüsse!$B$2:$B$433,$D2,Abschlüsse!$L$2:$L$433,"ET"))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SUM(COUNTIFS(Abschlüsse!$A$2:$A$433,$A3,Abschlüsse!$B$2:$B$433,$C3,Abschlüsse!$L$2:$L$433,"Tor"),COUNTIFS(Abschlüsse!$A$2:$A$433,$A3,Abschlüsse!$B$2:$B$433,$C3,Abschlüsse!$L$2:$L$433,"ET"))</f>
        <v>2</v>
      </c>
      <c r="H3" s="18">
        <f>SUM(COUNTIFS(Abschlüsse!$A$2:$A$433,$A3,Abschlüsse!$B$2:$B$433,$D3,Abschlüsse!$L$2:$L$433,"Tor"),COUNTIFS(Abschlüsse!$A$2:$A$433,$A3,Abschlüsse!$B$2:$B$433,$D3,Abschlüsse!$L$2:$L$433,"ET"))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SUM(COUNTIFS(Abschlüsse!$A$2:$A$433,$A4,Abschlüsse!$B$2:$B$433,$C4,Abschlüsse!$L$2:$L$433,"Tor"),COUNTIFS(Abschlüsse!$A$2:$A$433,$A4,Abschlüsse!$B$2:$B$433,$C4,Abschlüsse!$L$2:$L$433,"ET"))</f>
        <v>4</v>
      </c>
      <c r="H4" s="18">
        <f>SUM(COUNTIFS(Abschlüsse!$A$2:$A$433,$A4,Abschlüsse!$B$2:$B$433,$D4,Abschlüsse!$L$2:$L$433,"Tor"),COUNTIFS(Abschlüsse!$A$2:$A$433,$A4,Abschlüsse!$B$2:$B$433,$D4,Abschlüsse!$L$2:$L$433,"ET"))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SUM(COUNTIFS(Abschlüsse!$A$2:$A$433,$A5,Abschlüsse!$B$2:$B$433,$C5,Abschlüsse!$L$2:$L$433,"Tor"),COUNTIFS(Abschlüsse!$A$2:$A$433,$A5,Abschlüsse!$B$2:$B$433,$C5,Abschlüsse!$L$2:$L$433,"ET"))</f>
        <v>0</v>
      </c>
      <c r="H5" s="18">
        <f>SUM(COUNTIFS(Abschlüsse!$A$2:$A$433,$A5,Abschlüsse!$B$2:$B$433,$D5,Abschlüsse!$L$2:$L$433,"Tor"),COUNTIFS(Abschlüsse!$A$2:$A$433,$A5,Abschlüsse!$B$2:$B$433,$D5,Abschlüsse!$L$2:$L$433,"ET"))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SUM(COUNTIFS(Abschlüsse!$A$2:$A$433,$A6,Abschlüsse!$B$2:$B$433,$C6,Abschlüsse!$L$2:$L$433,"Tor"),COUNTIFS(Abschlüsse!$A$2:$A$433,$A6,Abschlüsse!$B$2:$B$433,$C6,Abschlüsse!$L$2:$L$433,"ET"))</f>
        <v>2</v>
      </c>
      <c r="H6" s="18">
        <f>SUM(COUNTIFS(Abschlüsse!$A$2:$A$433,$A6,Abschlüsse!$B$2:$B$433,$D6,Abschlüsse!$L$2:$L$433,"Tor"),COUNTIFS(Abschlüsse!$A$2:$A$433,$A6,Abschlüsse!$B$2:$B$433,$D6,Abschlüsse!$L$2:$L$433,"ET"))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SUM(COUNTIFS(Abschlüsse!$A$2:$A$433,$A7,Abschlüsse!$B$2:$B$433,$C7,Abschlüsse!$L$2:$L$433,"Tor"),COUNTIFS(Abschlüsse!$A$2:$A$433,$A7,Abschlüsse!$B$2:$B$433,$C7,Abschlüsse!$L$2:$L$433,"ET"))</f>
        <v>4</v>
      </c>
      <c r="H7" s="18">
        <f>SUM(COUNTIFS(Abschlüsse!$A$2:$A$433,$A7,Abschlüsse!$B$2:$B$433,$D7,Abschlüsse!$L$2:$L$433,"Tor"),COUNTIFS(Abschlüsse!$A$2:$A$433,$A7,Abschlüsse!$B$2:$B$433,$D7,Abschlüsse!$L$2:$L$433,"ET"))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SUM(COUNTIFS(Abschlüsse!$A$2:$A$433,$A8,Abschlüsse!$B$2:$B$433,$C8,Abschlüsse!$L$2:$L$433,"Tor"),COUNTIFS(Abschlüsse!$A$2:$A$433,$A8,Abschlüsse!$B$2:$B$433,$C8,Abschlüsse!$L$2:$L$433,"ET"))</f>
        <v>2</v>
      </c>
      <c r="H8" s="18">
        <f>SUM(COUNTIFS(Abschlüsse!$A$2:$A$433,$A8,Abschlüsse!$B$2:$B$433,$D8,Abschlüsse!$L$2:$L$433,"Tor"),COUNTIFS(Abschlüsse!$A$2:$A$433,$A8,Abschlüsse!$B$2:$B$433,$D8,Abschlüsse!$L$2:$L$433,"ET"))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SUM(COUNTIFS(Abschlüsse!$A$2:$A$433,$A9,Abschlüsse!$B$2:$B$433,$C9,Abschlüsse!$L$2:$L$433,"Tor"),COUNTIFS(Abschlüsse!$A$2:$A$433,$A9,Abschlüsse!$B$2:$B$433,$C9,Abschlüsse!$L$2:$L$433,"ET"))</f>
        <v>2</v>
      </c>
      <c r="H9" s="18">
        <f>SUM(COUNTIFS(Abschlüsse!$A$2:$A$433,$A9,Abschlüsse!$B$2:$B$433,$D9,Abschlüsse!$L$2:$L$433,"Tor"),COUNTIFS(Abschlüsse!$A$2:$A$433,$A9,Abschlüsse!$B$2:$B$433,$D9,Abschlüsse!$L$2:$L$433,"ET"))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SUM(COUNTIFS(Abschlüsse!$A$2:$A$433,$A10,Abschlüsse!$B$2:$B$433,$C10,Abschlüsse!$L$2:$L$433,"Tor"),COUNTIFS(Abschlüsse!$A$2:$A$433,$A10,Abschlüsse!$B$2:$B$433,$C10,Abschlüsse!$L$2:$L$433,"ET"))</f>
        <v>2</v>
      </c>
      <c r="H10" s="18">
        <f>SUM(COUNTIFS(Abschlüsse!$A$2:$A$433,$A10,Abschlüsse!$B$2:$B$433,$D10,Abschlüsse!$L$2:$L$433,"Tor"),COUNTIFS(Abschlüsse!$A$2:$A$433,$A10,Abschlüsse!$B$2:$B$433,$D10,Abschlüsse!$L$2:$L$433,"ET"))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SUM(COUNTIFS(Abschlüsse!$A$2:$A$433,$A11,Abschlüsse!$B$2:$B$433,$C11,Abschlüsse!$L$2:$L$433,"Tor"),COUNTIFS(Abschlüsse!$A$2:$A$433,$A11,Abschlüsse!$B$2:$B$433,$C11,Abschlüsse!$L$2:$L$433,"ET"))</f>
        <v>2</v>
      </c>
      <c r="H11" s="18">
        <f>SUM(COUNTIFS(Abschlüsse!$A$2:$A$433,$A11,Abschlüsse!$B$2:$B$433,$D11,Abschlüsse!$L$2:$L$433,"Tor"),COUNTIFS(Abschlüsse!$A$2:$A$433,$A11,Abschlüsse!$B$2:$B$433,$D11,Abschlüsse!$L$2:$L$433,"ET"))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SUM(COUNTIFS(Abschlüsse!$A$2:$A$433,$A12,Abschlüsse!$B$2:$B$433,$C12,Abschlüsse!$L$2:$L$433,"Tor"),COUNTIFS(Abschlüsse!$A$2:$A$433,$A12,Abschlüsse!$B$2:$B$433,$C12,Abschlüsse!$L$2:$L$433,"ET"))</f>
        <v>3</v>
      </c>
      <c r="H12" s="18">
        <f>SUM(COUNTIFS(Abschlüsse!$A$2:$A$433,$A12,Abschlüsse!$B$2:$B$433,$D12,Abschlüsse!$L$2:$L$433,"Tor"),COUNTIFS(Abschlüsse!$A$2:$A$433,$A12,Abschlüsse!$B$2:$B$433,$D12,Abschlüsse!$L$2:$L$433,"ET"))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SUM(COUNTIFS(Abschlüsse!$A$2:$A$433,$A13,Abschlüsse!$B$2:$B$433,$C13,Abschlüsse!$L$2:$L$433,"Tor"),COUNTIFS(Abschlüsse!$A$2:$A$433,$A13,Abschlüsse!$B$2:$B$433,$C13,Abschlüsse!$L$2:$L$433,"ET"))</f>
        <v>5</v>
      </c>
      <c r="H13" s="18">
        <f>SUM(COUNTIFS(Abschlüsse!$A$2:$A$433,$A13,Abschlüsse!$B$2:$B$433,$D13,Abschlüsse!$L$2:$L$433,"Tor"),COUNTIFS(Abschlüsse!$A$2:$A$433,$A13,Abschlüsse!$B$2:$B$433,$D13,Abschlüsse!$L$2:$L$433,"ET"))</f>
        <v>6</v>
      </c>
      <c r="I13" s="18">
        <f t="shared" si="0"/>
        <v>0</v>
      </c>
      <c r="J13" s="18">
        <f t="shared" si="1"/>
        <v>3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SUM(COUNTIFS(Abschlüsse!$A$2:$A$433,$A14,Abschlüsse!$B$2:$B$433,$C14,Abschlüsse!$L$2:$L$433,"Tor"),COUNTIFS(Abschlüsse!$A$2:$A$433,$A14,Abschlüsse!$B$2:$B$433,$C14,Abschlüsse!$L$2:$L$433,"ET"))</f>
        <v>1</v>
      </c>
      <c r="H14" s="18">
        <f>SUM(COUNTIFS(Abschlüsse!$A$2:$A$433,$A14,Abschlüsse!$B$2:$B$433,$D14,Abschlüsse!$L$2:$L$433,"Tor"),COUNTIFS(Abschlüsse!$A$2:$A$433,$A14,Abschlüsse!$B$2:$B$433,$D14,Abschlüsse!$L$2:$L$433,"ET"))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SUM(COUNTIFS(Abschlüsse!$A$2:$A$433,$A15,Abschlüsse!$B$2:$B$433,$C15,Abschlüsse!$L$2:$L$433,"Tor"),COUNTIFS(Abschlüsse!$A$2:$A$433,$A15,Abschlüsse!$B$2:$B$433,$C15,Abschlüsse!$L$2:$L$433,"ET"))</f>
        <v>2</v>
      </c>
      <c r="H15" s="18">
        <f>SUM(COUNTIFS(Abschlüsse!$A$2:$A$433,$A15,Abschlüsse!$B$2:$B$433,$D15,Abschlüsse!$L$2:$L$433,"Tor"),COUNTIFS(Abschlüsse!$A$2:$A$433,$A15,Abschlüsse!$B$2:$B$433,$D15,Abschlüsse!$L$2:$L$433,"ET"))</f>
        <v>3</v>
      </c>
      <c r="I15" s="18">
        <f>IF($A15="","",IF($G15&gt;$H15,3,IF($G15=$H15,1,IF($G15&lt;$H15,0,""))))</f>
        <v>0</v>
      </c>
      <c r="J15" s="18">
        <f>IF($A15="","",IF($G15&lt;$H15,3,IF($G15=$H15,1,IF($G15&gt;$H15,0,""))))</f>
        <v>3</v>
      </c>
    </row>
    <row r="16" spans="1:10" ht="25.05" customHeight="1">
      <c r="A16" s="3">
        <v>15</v>
      </c>
      <c r="B16" s="6">
        <v>45710</v>
      </c>
      <c r="C16" s="2" t="s">
        <v>8</v>
      </c>
      <c r="D16" s="2" t="s">
        <v>56</v>
      </c>
      <c r="E16" s="3">
        <v>45</v>
      </c>
      <c r="F16" s="3">
        <v>44</v>
      </c>
      <c r="G16" s="18">
        <f>SUM(COUNTIFS(Abschlüsse!$A$2:$A$433,$A16,Abschlüsse!$B$2:$B$433,$C16,Abschlüsse!$L$2:$L$433,"Tor"),COUNTIFS(Abschlüsse!$A$2:$A$433,$A16,Abschlüsse!$B$2:$B$433,$C16,Abschlüsse!$L$2:$L$433,"ET"))</f>
        <v>1</v>
      </c>
      <c r="H16" s="18">
        <f>SUM(COUNTIFS(Abschlüsse!$A$2:$A$433,$A16,Abschlüsse!$B$2:$B$433,$D16,Abschlüsse!$L$2:$L$433,"Tor"),COUNTIFS(Abschlüsse!$A$2:$A$433,$A16,Abschlüsse!$B$2:$B$433,$D16,Abschlüsse!$L$2:$L$433,"ET"))</f>
        <v>2</v>
      </c>
      <c r="I16" s="18">
        <f>IF($A16="","",IF($G16&gt;$H16,3,IF($G16=$H16,1,IF($G16&lt;$H16,0,""))))</f>
        <v>0</v>
      </c>
      <c r="J16" s="18">
        <f>IF($A16="","",IF($G16&lt;$H16,3,IF($G16=$H16,1,IF($G16&gt;$H16,0,""))))</f>
        <v>3</v>
      </c>
    </row>
    <row r="17" spans="1:10" ht="25.05" customHeight="1">
      <c r="A17" s="3">
        <v>16</v>
      </c>
      <c r="B17" s="6">
        <v>46082</v>
      </c>
      <c r="C17" s="2" t="s">
        <v>8</v>
      </c>
      <c r="D17" s="2" t="s">
        <v>78</v>
      </c>
      <c r="E17" s="3">
        <v>43</v>
      </c>
      <c r="F17" s="3">
        <v>40</v>
      </c>
      <c r="G17" s="18">
        <f>SUM(COUNTIFS(Abschlüsse!$A$2:$A$433,$A17,Abschlüsse!$B$2:$B$433,$C17,Abschlüsse!$L$2:$L$433,"Tor"),COUNTIFS(Abschlüsse!$A$2:$A$433,$A17,Abschlüsse!$B$2:$B$433,$C17,Abschlüsse!$L$2:$L$433,"ET"))</f>
        <v>5</v>
      </c>
      <c r="H17" s="18">
        <f>SUM(COUNTIFS(Abschlüsse!$A$2:$A$433,$A17,Abschlüsse!$B$2:$B$433,$D17,Abschlüsse!$L$2:$L$433,"Tor"),COUNTIFS(Abschlüsse!$A$2:$A$433,$A17,Abschlüsse!$B$2:$B$433,$D17,Abschlüsse!$L$2:$L$433,"ET"))</f>
        <v>2</v>
      </c>
      <c r="I17" s="18">
        <f>IF($A17="","",IF($G17&gt;$H17,3,IF($G17=$H17,1,IF($G17&lt;$H17,0,""))))</f>
        <v>3</v>
      </c>
      <c r="J17" s="18">
        <f>IF($A17="","",IF($G17&lt;$H17,3,IF($G17=$H17,1,IF($G17&gt;$H17,0,""))))</f>
        <v>0</v>
      </c>
    </row>
  </sheetData>
  <conditionalFormatting sqref="A2:J17">
    <cfRule type="expression" dxfId="44" priority="112">
      <formula>ISEVEN($A2)</formula>
    </cfRule>
  </conditionalFormatting>
  <dataValidations count="1">
    <dataValidation type="list" allowBlank="1" showInputMessage="1" showErrorMessage="1" sqref="C2:D17" xr:uid="{E461B5C0-A978-448E-A692-E753847D78BA}">
      <formula1>Abkürzungen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40"/>
  <sheetViews>
    <sheetView zoomScale="70" zoomScaleNormal="70" workbookViewId="0">
      <pane ySplit="1" topLeftCell="A236" activePane="bottomLeft" state="frozen"/>
      <selection pane="bottomLeft" activeCell="A241" sqref="A241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  <row r="210" spans="1:9" ht="25.05" customHeight="1">
      <c r="A210" s="2">
        <v>15</v>
      </c>
      <c r="B210" s="2">
        <v>21</v>
      </c>
      <c r="C210" s="2">
        <v>1</v>
      </c>
      <c r="D210" s="2">
        <v>45</v>
      </c>
      <c r="E210" s="2">
        <v>41</v>
      </c>
      <c r="F210" s="2">
        <v>84</v>
      </c>
      <c r="G210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1" spans="1:9" ht="25.05" customHeight="1">
      <c r="A211" s="2">
        <v>15</v>
      </c>
      <c r="B211" s="2">
        <v>20</v>
      </c>
      <c r="C211" s="2">
        <v>1</v>
      </c>
      <c r="D211" s="2">
        <v>45</v>
      </c>
      <c r="E211" s="2">
        <v>41</v>
      </c>
      <c r="F211" s="2">
        <v>84</v>
      </c>
      <c r="G211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2" spans="1:9" ht="25.05" customHeight="1">
      <c r="A212" s="2">
        <v>15</v>
      </c>
      <c r="B212" s="2">
        <v>26</v>
      </c>
      <c r="C212" s="2">
        <v>1</v>
      </c>
      <c r="D212" s="2">
        <v>45</v>
      </c>
      <c r="E212" s="2">
        <v>41</v>
      </c>
      <c r="F212" s="2">
        <v>84</v>
      </c>
      <c r="G212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3" spans="1:9" ht="25.05" customHeight="1">
      <c r="A213" s="2">
        <v>15</v>
      </c>
      <c r="B213" s="2">
        <v>16</v>
      </c>
      <c r="C213" s="2">
        <v>1</v>
      </c>
      <c r="D213" s="2">
        <v>45</v>
      </c>
      <c r="E213" s="2">
        <v>41</v>
      </c>
      <c r="F213" s="2">
        <v>84</v>
      </c>
      <c r="G213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4" spans="1:9" ht="25.05" customHeight="1">
      <c r="A214" s="2">
        <v>15</v>
      </c>
      <c r="B214" s="2">
        <v>4</v>
      </c>
      <c r="C214" s="2">
        <v>1</v>
      </c>
      <c r="D214" s="2">
        <v>45</v>
      </c>
      <c r="E214" s="2">
        <v>41</v>
      </c>
      <c r="F214" s="2">
        <v>75</v>
      </c>
      <c r="G21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15" spans="1:9" ht="25.05" customHeight="1">
      <c r="A215" s="2">
        <v>15</v>
      </c>
      <c r="B215" s="2">
        <v>6</v>
      </c>
      <c r="C215" s="2">
        <v>1</v>
      </c>
      <c r="D215" s="2">
        <v>45</v>
      </c>
      <c r="E215" s="2">
        <v>41</v>
      </c>
      <c r="F215" s="2">
        <v>84</v>
      </c>
      <c r="G215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6" spans="1:9" ht="25.05" customHeight="1">
      <c r="A216" s="2">
        <v>15</v>
      </c>
      <c r="B216" s="2">
        <v>11</v>
      </c>
      <c r="C216" s="2">
        <v>1</v>
      </c>
      <c r="D216" s="2">
        <v>45</v>
      </c>
      <c r="E216" s="2">
        <v>41</v>
      </c>
      <c r="F216" s="2">
        <v>58</v>
      </c>
      <c r="G216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17" spans="1:9" ht="25.05" customHeight="1">
      <c r="A217" s="2">
        <v>15</v>
      </c>
      <c r="B217" s="2">
        <v>23</v>
      </c>
      <c r="C217" s="2">
        <v>1</v>
      </c>
      <c r="D217" s="2">
        <v>45</v>
      </c>
      <c r="E217" s="2">
        <v>41</v>
      </c>
      <c r="F217" s="2">
        <v>48</v>
      </c>
      <c r="G217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218" spans="1:9" ht="25.05" customHeight="1">
      <c r="A218" s="2">
        <v>15</v>
      </c>
      <c r="B218" s="2">
        <v>8</v>
      </c>
      <c r="C218" s="2">
        <v>1</v>
      </c>
      <c r="D218" s="2">
        <v>45</v>
      </c>
      <c r="E218" s="2">
        <v>41</v>
      </c>
      <c r="F218" s="2">
        <v>84</v>
      </c>
      <c r="G218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9" spans="1:9" ht="25.05" customHeight="1">
      <c r="A219" s="2">
        <v>15</v>
      </c>
      <c r="B219" s="2">
        <v>27</v>
      </c>
      <c r="C219" s="2">
        <v>1</v>
      </c>
      <c r="D219" s="2">
        <v>45</v>
      </c>
      <c r="E219" s="2">
        <v>41</v>
      </c>
      <c r="F219" s="2">
        <v>58</v>
      </c>
      <c r="G219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20" spans="1:9" ht="25.05" customHeight="1">
      <c r="A220" s="2">
        <v>15</v>
      </c>
      <c r="B220" s="2">
        <v>7</v>
      </c>
      <c r="C220" s="2">
        <v>1</v>
      </c>
      <c r="D220" s="2">
        <v>45</v>
      </c>
      <c r="E220" s="2">
        <v>41</v>
      </c>
      <c r="F220" s="2">
        <v>84</v>
      </c>
      <c r="G220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21" spans="1:9" ht="25.05" customHeight="1">
      <c r="A221" s="2">
        <v>15</v>
      </c>
      <c r="B221" s="2">
        <v>13</v>
      </c>
      <c r="E221" s="2">
        <v>49</v>
      </c>
      <c r="F221" s="2">
        <v>84</v>
      </c>
      <c r="G221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222" spans="1:9" ht="25.05" customHeight="1">
      <c r="A222" s="2">
        <v>15</v>
      </c>
      <c r="B222" s="2">
        <v>18</v>
      </c>
      <c r="E222" s="2">
        <v>59</v>
      </c>
      <c r="F222" s="2">
        <v>84</v>
      </c>
      <c r="G222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23" spans="1:9" ht="25.05" customHeight="1">
      <c r="A223" s="2">
        <v>15</v>
      </c>
      <c r="B223" s="2">
        <v>19</v>
      </c>
      <c r="E223" s="2">
        <v>59</v>
      </c>
      <c r="F223" s="2">
        <v>84</v>
      </c>
      <c r="G223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24" spans="1:9" ht="25.05" customHeight="1">
      <c r="A224" s="2">
        <v>15</v>
      </c>
      <c r="B224" s="2">
        <v>12</v>
      </c>
      <c r="E224" s="2">
        <v>76</v>
      </c>
      <c r="F224" s="2">
        <v>84</v>
      </c>
      <c r="G224" s="17">
        <f>SUM(Tabelle10[[#This Row],[1Bis]],Tabelle10[[#This Row],[2Bis]])-SUM(Tabelle10[[#This Row],[1Von]],Tabelle10[[#This Row],[2Von]])+IF(Tabelle10[[#This Row],[2Von]]&gt;0,1)+IF(Tabelle10[[#This Row],[1Von]]&gt;0,1)</f>
        <v>9</v>
      </c>
      <c r="I224" s="3"/>
    </row>
    <row r="225" spans="1:9" ht="25.05" customHeight="1">
      <c r="A225" s="2">
        <v>16</v>
      </c>
      <c r="B225" s="2">
        <v>21</v>
      </c>
      <c r="C225" s="2">
        <v>1</v>
      </c>
      <c r="D225" s="2">
        <v>43</v>
      </c>
      <c r="E225" s="2">
        <v>41</v>
      </c>
      <c r="F225" s="2">
        <v>80</v>
      </c>
      <c r="G2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6" spans="1:9" ht="25.05" customHeight="1">
      <c r="A226" s="2">
        <v>16</v>
      </c>
      <c r="B226" s="2">
        <v>20</v>
      </c>
      <c r="C226" s="2">
        <v>1</v>
      </c>
      <c r="D226" s="2">
        <v>43</v>
      </c>
      <c r="E226" s="2">
        <v>41</v>
      </c>
      <c r="F226" s="2">
        <v>72</v>
      </c>
      <c r="G226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227" spans="1:9" ht="25.05" customHeight="1">
      <c r="A227" s="2">
        <v>16</v>
      </c>
      <c r="B227" s="2">
        <v>4</v>
      </c>
      <c r="C227" s="2">
        <v>1</v>
      </c>
      <c r="D227" s="2">
        <v>43</v>
      </c>
      <c r="E227" s="2">
        <v>41</v>
      </c>
      <c r="F227" s="2">
        <v>80</v>
      </c>
      <c r="G2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8" spans="1:9" ht="25.05" customHeight="1">
      <c r="A228" s="2">
        <v>16</v>
      </c>
      <c r="B228" s="2">
        <v>16</v>
      </c>
      <c r="C228" s="2">
        <v>1</v>
      </c>
      <c r="D228" s="2">
        <v>43</v>
      </c>
      <c r="E228" s="2">
        <v>41</v>
      </c>
      <c r="F228" s="2">
        <v>80</v>
      </c>
      <c r="G22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9" spans="1:9" ht="25.05" customHeight="1">
      <c r="A229" s="2">
        <v>16</v>
      </c>
      <c r="B229" s="2">
        <v>13</v>
      </c>
      <c r="C229" s="2">
        <v>1</v>
      </c>
      <c r="D229" s="2">
        <v>43</v>
      </c>
      <c r="E229" s="2">
        <v>41</v>
      </c>
      <c r="F229" s="2">
        <v>80</v>
      </c>
      <c r="G22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0" spans="1:9" ht="25.05" customHeight="1">
      <c r="A230" s="2">
        <v>16</v>
      </c>
      <c r="B230" s="2">
        <v>26</v>
      </c>
      <c r="C230" s="2">
        <v>1</v>
      </c>
      <c r="D230" s="2">
        <v>43</v>
      </c>
      <c r="E230" s="2">
        <v>41</v>
      </c>
      <c r="F230" s="2">
        <v>66</v>
      </c>
      <c r="G230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231" spans="1:9" ht="25.05" customHeight="1">
      <c r="A231" s="2">
        <v>16</v>
      </c>
      <c r="B231" s="2">
        <v>6</v>
      </c>
      <c r="C231" s="2">
        <v>1</v>
      </c>
      <c r="D231" s="2">
        <v>43</v>
      </c>
      <c r="E231" s="2">
        <v>41</v>
      </c>
      <c r="F231" s="2">
        <v>52</v>
      </c>
      <c r="G231" s="17">
        <f>SUM(Tabelle10[[#This Row],[1Bis]],Tabelle10[[#This Row],[2Bis]])-SUM(Tabelle10[[#This Row],[1Von]],Tabelle10[[#This Row],[2Von]])+IF(Tabelle10[[#This Row],[2Von]]&gt;0,1)+IF(Tabelle10[[#This Row],[1Von]]&gt;0,1)</f>
        <v>55</v>
      </c>
    </row>
    <row r="232" spans="1:9" ht="25.05" customHeight="1">
      <c r="A232" s="2">
        <v>16</v>
      </c>
      <c r="B232" s="2">
        <v>23</v>
      </c>
      <c r="C232" s="2">
        <v>1</v>
      </c>
      <c r="D232" s="2">
        <v>43</v>
      </c>
      <c r="E232" s="2">
        <v>41</v>
      </c>
      <c r="F232" s="2">
        <v>80</v>
      </c>
      <c r="G23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3" spans="1:9" ht="25.05" customHeight="1">
      <c r="A233" s="2">
        <v>16</v>
      </c>
      <c r="B233" s="2">
        <v>8</v>
      </c>
      <c r="C233" s="2">
        <v>1</v>
      </c>
      <c r="D233" s="2">
        <v>43</v>
      </c>
      <c r="E233" s="2">
        <v>41</v>
      </c>
      <c r="F233" s="2">
        <v>80</v>
      </c>
      <c r="G23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4" spans="1:9" ht="25.05" customHeight="1">
      <c r="A234" s="2">
        <v>16</v>
      </c>
      <c r="B234" s="2">
        <v>27</v>
      </c>
      <c r="C234" s="2">
        <v>1</v>
      </c>
      <c r="D234" s="2">
        <v>43</v>
      </c>
      <c r="E234" s="2">
        <v>41</v>
      </c>
      <c r="F234" s="2">
        <v>60</v>
      </c>
      <c r="G234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35" spans="1:9" ht="25.05" customHeight="1">
      <c r="A235" s="2">
        <v>16</v>
      </c>
      <c r="B235" s="2">
        <v>7</v>
      </c>
      <c r="C235" s="2">
        <v>1</v>
      </c>
      <c r="D235" s="2">
        <v>43</v>
      </c>
      <c r="E235" s="2">
        <v>41</v>
      </c>
      <c r="F235" s="2">
        <v>72</v>
      </c>
      <c r="G235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236" spans="1:9" ht="25.05" customHeight="1">
      <c r="A236" s="2">
        <v>16</v>
      </c>
      <c r="B236" s="2">
        <v>11</v>
      </c>
      <c r="E236" s="2">
        <v>53</v>
      </c>
      <c r="F236" s="2">
        <v>80</v>
      </c>
      <c r="G236" s="17">
        <f>SUM(Tabelle10[[#This Row],[1Bis]],Tabelle10[[#This Row],[2Bis]])-SUM(Tabelle10[[#This Row],[1Von]],Tabelle10[[#This Row],[2Von]])+IF(Tabelle10[[#This Row],[2Von]]&gt;0,1)+IF(Tabelle10[[#This Row],[1Von]]&gt;0,1)</f>
        <v>28</v>
      </c>
    </row>
    <row r="237" spans="1:9" ht="25.05" customHeight="1">
      <c r="A237" s="2">
        <v>16</v>
      </c>
      <c r="B237" s="2">
        <v>18</v>
      </c>
      <c r="E237" s="2">
        <v>61</v>
      </c>
      <c r="F237" s="2">
        <v>80</v>
      </c>
      <c r="G237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238" spans="1:9" ht="25.05" customHeight="1">
      <c r="A238" s="2">
        <v>16</v>
      </c>
      <c r="B238" s="2">
        <v>19</v>
      </c>
      <c r="E238" s="2">
        <v>67</v>
      </c>
      <c r="F238" s="2">
        <v>80</v>
      </c>
      <c r="G238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239" spans="1:9" ht="25.05" customHeight="1">
      <c r="A239" s="2">
        <v>16</v>
      </c>
      <c r="B239" s="2">
        <v>2</v>
      </c>
      <c r="E239" s="2">
        <v>73</v>
      </c>
      <c r="F239" s="2">
        <v>80</v>
      </c>
      <c r="G239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240" spans="1:9" ht="25.05" customHeight="1">
      <c r="A240" s="2">
        <v>16</v>
      </c>
      <c r="B240" s="2">
        <v>12</v>
      </c>
      <c r="E240" s="2">
        <v>73</v>
      </c>
      <c r="F240" s="2">
        <v>80</v>
      </c>
      <c r="G240" s="17">
        <f>SUM(Tabelle10[[#This Row],[1Bis]],Tabelle10[[#This Row],[2Bis]])-SUM(Tabelle10[[#This Row],[1Von]],Tabelle10[[#This Row],[2Von]])+IF(Tabelle10[[#This Row],[2Von]]&gt;0,1)+IF(Tabelle10[[#This Row],[1Von]]&gt;0,1)</f>
        <v>8</v>
      </c>
      <c r="I240" s="13"/>
    </row>
  </sheetData>
  <phoneticPr fontId="5" type="noConversion"/>
  <conditionalFormatting sqref="A2:G240">
    <cfRule type="expression" dxfId="43" priority="1">
      <formula>ISEVEN($A2)</formula>
    </cfRule>
  </conditionalFormatting>
  <dataValidations count="2">
    <dataValidation type="list" allowBlank="1" showInputMessage="1" showErrorMessage="1" sqref="B2:B240" xr:uid="{ABD24230-2887-408D-9108-696CE962B847}">
      <formula1>Nummern</formula1>
    </dataValidation>
    <dataValidation type="whole" allowBlank="1" showInputMessage="1" showErrorMessage="1" sqref="C2:F240" xr:uid="{C19F9332-95DD-4695-BBD1-852568F9BA39}">
      <formula1>1</formula1>
      <formula2>90</formula2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 activeCell="A5" sqref="A5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dataValidations count="1">
    <dataValidation type="list" allowBlank="1" showInputMessage="1" showErrorMessage="1" sqref="E2:E4" xr:uid="{BAF3CC5E-5D9F-4B3F-9A83-D05CF220C5DB}">
      <formula1>Nummern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717B19-C050-4B35-BEF7-89AC01D64064}">
          <x14:formula1>
            <xm:f>Teams!$A$2:$A$16</xm:f>
          </x14:formula1>
          <xm:sqref>D2:D4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35"/>
  <sheetViews>
    <sheetView tabSelected="1" zoomScale="68" zoomScaleNormal="68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 activeCell="A2" sqref="A2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IF($A2="","",IF(VLOOKUP($A2,Spiele!$A$2:$D$17,3,FALSE)=$B2,"H","G"))</f>
        <v>H</v>
      </c>
      <c r="D2" s="17" t="str">
        <f>IF($B2="","",IF(VLOOKUP($A2,Spiele!$A$2:$F$17,3,FALSE)=$B2,VLOOKUP($A2,Spiele!$A$2:$F$17,4,FALSE),VLOOKUP($A2,Spiele!$A$2:$F$17,3,FALSE)))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$17,3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$17,3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IF($A3="","",IF(VLOOKUP($A3,Spiele!$A$2:$D$17,3,FALSE)=$B3,"H","G"))</f>
        <v>H</v>
      </c>
      <c r="D3" s="17" t="str">
        <f>IF($B3="","",IF(VLOOKUP($A3,Spiele!$A$2:$F$17,3,FALSE)=$B3,VLOOKUP($A3,Spiele!$A$2:$F$17,4,FALSE),VLOOKUP($A3,Spiele!$A$2:$F$17,3,FALSE)))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$17,3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$17,3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IF($A4="","",IF(VLOOKUP($A4,Spiele!$A$2:$D$17,3,FALSE)=$B4,"H","G"))</f>
        <v>H</v>
      </c>
      <c r="D4" s="17" t="str">
        <f>IF($B4="","",IF(VLOOKUP($A4,Spiele!$A$2:$F$17,3,FALSE)=$B4,VLOOKUP($A4,Spiele!$A$2:$F$17,4,FALSE),VLOOKUP($A4,Spiele!$A$2:$F$17,3,FALSE)))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$17,3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$17,3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IF($A5="","",IF(VLOOKUP($A5,Spiele!$A$2:$D$17,3,FALSE)=$B5,"H","G"))</f>
        <v>G</v>
      </c>
      <c r="D5" s="17" t="str">
        <f>IF($B5="","",IF(VLOOKUP($A5,Spiele!$A$2:$F$17,3,FALSE)=$B5,VLOOKUP($A5,Spiele!$A$2:$F$17,4,FALSE),VLOOKUP($A5,Spiele!$A$2:$F$17,3,FALSE)))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$17,3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$17,3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IF($A6="","",IF(VLOOKUP($A6,Spiele!$A$2:$D$17,3,FALSE)=$B6,"H","G"))</f>
        <v>H</v>
      </c>
      <c r="D6" s="17" t="str">
        <f>IF($B6="","",IF(VLOOKUP($A6,Spiele!$A$2:$F$17,3,FALSE)=$B6,VLOOKUP($A6,Spiele!$A$2:$F$17,4,FALSE),VLOOKUP($A6,Spiele!$A$2:$F$17,3,FALSE)))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$17,3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$17,3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IF($A7="","",IF(VLOOKUP($A7,Spiele!$A$2:$D$17,3,FALSE)=$B7,"H","G"))</f>
        <v>H</v>
      </c>
      <c r="D7" s="17" t="str">
        <f>IF($B7="","",IF(VLOOKUP($A7,Spiele!$A$2:$F$17,3,FALSE)=$B7,VLOOKUP($A7,Spiele!$A$2:$F$17,4,FALSE),VLOOKUP($A7,Spiele!$A$2:$F$17,3,FALSE)))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$17,3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$17,3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IF($A8="","",IF(VLOOKUP($A8,Spiele!$A$2:$D$17,3,FALSE)=$B8,"H","G"))</f>
        <v>G</v>
      </c>
      <c r="D8" s="17" t="str">
        <f>IF($B8="","",IF(VLOOKUP($A8,Spiele!$A$2:$F$17,3,FALSE)=$B8,VLOOKUP($A8,Spiele!$A$2:$F$17,4,FALSE),VLOOKUP($A8,Spiele!$A$2:$F$17,3,FALSE)))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$17,3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$17,3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IF($A9="","",IF(VLOOKUP($A9,Spiele!$A$2:$D$17,3,FALSE)=$B9,"H","G"))</f>
        <v>G</v>
      </c>
      <c r="D9" s="17" t="str">
        <f>IF($B9="","",IF(VLOOKUP($A9,Spiele!$A$2:$F$17,3,FALSE)=$B9,VLOOKUP($A9,Spiele!$A$2:$F$17,4,FALSE),VLOOKUP($A9,Spiele!$A$2:$F$17,3,FALSE)))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$17,3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$17,3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IF($A10="","",IF(VLOOKUP($A10,Spiele!$A$2:$D$17,3,FALSE)=$B10,"H","G"))</f>
        <v>H</v>
      </c>
      <c r="D10" s="17" t="str">
        <f>IF($B10="","",IF(VLOOKUP($A10,Spiele!$A$2:$F$17,3,FALSE)=$B10,VLOOKUP($A10,Spiele!$A$2:$F$17,4,FALSE),VLOOKUP($A10,Spiele!$A$2:$F$17,3,FALSE)))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$17,3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$17,3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IF($A11="","",IF(VLOOKUP($A11,Spiele!$A$2:$D$17,3,FALSE)=$B11,"H","G"))</f>
        <v>G</v>
      </c>
      <c r="D11" s="17" t="str">
        <f>IF($B11="","",IF(VLOOKUP($A11,Spiele!$A$2:$F$17,3,FALSE)=$B11,VLOOKUP($A11,Spiele!$A$2:$F$17,4,FALSE),VLOOKUP($A11,Spiele!$A$2:$F$17,3,FALSE)))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$17,3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$17,3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IF($A12="","",IF(VLOOKUP($A12,Spiele!$A$2:$D$17,3,FALSE)=$B12,"H","G"))</f>
        <v>G</v>
      </c>
      <c r="D12" s="17" t="str">
        <f>IF($B12="","",IF(VLOOKUP($A12,Spiele!$A$2:$F$17,3,FALSE)=$B12,VLOOKUP($A12,Spiele!$A$2:$F$17,4,FALSE),VLOOKUP($A12,Spiele!$A$2:$F$17,3,FALSE)))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$17,3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$17,3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IF($A13="","",IF(VLOOKUP($A13,Spiele!$A$2:$D$17,3,FALSE)=$B13,"H","G"))</f>
        <v>G</v>
      </c>
      <c r="D13" s="17" t="str">
        <f>IF($B13="","",IF(VLOOKUP($A13,Spiele!$A$2:$F$17,3,FALSE)=$B13,VLOOKUP($A13,Spiele!$A$2:$F$17,4,FALSE),VLOOKUP($A13,Spiele!$A$2:$F$17,3,FALSE)))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$17,3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$17,3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IF($A14="","",IF(VLOOKUP($A14,Spiele!$A$2:$D$17,3,FALSE)=$B14,"H","G"))</f>
        <v>H</v>
      </c>
      <c r="D14" s="17" t="str">
        <f>IF($B14="","",IF(VLOOKUP($A14,Spiele!$A$2:$F$17,3,FALSE)=$B14,VLOOKUP($A14,Spiele!$A$2:$F$17,4,FALSE),VLOOKUP($A14,Spiele!$A$2:$F$17,3,FALSE)))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$17,3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$17,3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IF($A15="","",IF(VLOOKUP($A15,Spiele!$A$2:$D$17,3,FALSE)=$B15,"H","G"))</f>
        <v>H</v>
      </c>
      <c r="D15" s="17" t="str">
        <f>IF($B15="","",IF(VLOOKUP($A15,Spiele!$A$2:$F$17,3,FALSE)=$B15,VLOOKUP($A15,Spiele!$A$2:$F$17,4,FALSE),VLOOKUP($A15,Spiele!$A$2:$F$17,3,FALSE)))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$17,3,FALSE)=$B15,COUNTIFS($L$2:$L15,"Tor",$B$2:$B17,$B15,$A$2:$A17,$A15)+COUNTIFS($L$2:$L15,"ET",$B$2:$B17,$B15,$A$2:$A17,$A15)&amp;":"&amp;COUNTIFS($L$2:$L15,"Tor",$B$2:$B17,"&lt;&gt;"&amp;$B15,$A$2:$A17,$A15)+COUNTIFS($L$2:$L15,"ET",$B$2:$B17,"&lt;&gt;"&amp;$B15,$A$2:$A17,$A15),COUNTIFS($L$2:$L15,"Tor",$B$2:$B17,"&lt;&gt;"&amp;$B15,$A$2:$A17,$A15)+COUNTIFS($L$2:$L15,"ET",$B$2:$B17,"&lt;&gt;"&amp;$B15,$A$2:$A17,$A15)&amp;":"&amp;COUNTIFS($L$2:$L15,"Tor",$B$2:$B17,$B15,$A$2:$A17,$A15)+COUNTIFS($L$2:$L15,"ET",$B$2:$B17,$B15,$A$2:$A17,$A15)),""),"")</f>
        <v/>
      </c>
      <c r="J15" s="18">
        <f>_xlfn.IFNA(IF(VLOOKUP($A15,Spiele!$A$2:$D$17,3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IF($A16="","",IF(VLOOKUP($A16,Spiele!$A$2:$D$17,3,FALSE)=$B16,"H","G"))</f>
        <v>H</v>
      </c>
      <c r="D16" s="17" t="str">
        <f>IF($B16="","",IF(VLOOKUP($A16,Spiele!$A$2:$F$17,3,FALSE)=$B16,VLOOKUP($A16,Spiele!$A$2:$F$17,4,FALSE),VLOOKUP($A16,Spiele!$A$2:$F$17,3,FALSE)))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$17,3,FALSE)=$B16,COUNTIFS($L$2:$L16,"Tor",$B$2:$B17,$B16,$A$2:$A17,$A16)+COUNTIFS($L$2:$L16,"ET",$B$2:$B17,$B16,$A$2:$A17,$A16)&amp;":"&amp;COUNTIFS($L$2:$L16,"Tor",$B$2:$B17,"&lt;&gt;"&amp;$B16,$A$2:$A17,$A16)+COUNTIFS($L$2:$L16,"ET",$B$2:$B17,"&lt;&gt;"&amp;$B16,$A$2:$A17,$A16),COUNTIFS($L$2:$L16,"Tor",$B$2:$B17,"&lt;&gt;"&amp;$B16,$A$2:$A17,$A16)+COUNTIFS($L$2:$L16,"ET",$B$2:$B17,"&lt;&gt;"&amp;$B16,$A$2:$A17,$A16)&amp;":"&amp;COUNTIFS($L$2:$L16,"Tor",$B$2:$B17,$B16,$A$2:$A17,$A16)+COUNTIFS($L$2:$L16,"ET",$B$2:$B17,$B16,$A$2:$A17,$A16)),""),"")</f>
        <v/>
      </c>
      <c r="J16" s="18">
        <f>_xlfn.IFNA(IF(VLOOKUP($A16,Spiele!$A$2:$D$17,3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IF($A17="","",IF(VLOOKUP($A17,Spiele!$A$2:$D$17,3,FALSE)=$B17,"H","G"))</f>
        <v>H</v>
      </c>
      <c r="D17" s="17" t="str">
        <f>IF($B17="","",IF(VLOOKUP($A17,Spiele!$A$2:$F$17,3,FALSE)=$B17,VLOOKUP($A17,Spiele!$A$2:$F$17,4,FALSE),VLOOKUP($A17,Spiele!$A$2:$F$17,3,FALSE)))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$17,3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$17,3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IF($A18="","",IF(VLOOKUP($A18,Spiele!$A$2:$D$17,3,FALSE)=$B18,"H","G"))</f>
        <v>G</v>
      </c>
      <c r="D18" s="17" t="str">
        <f>IF($B18="","",IF(VLOOKUP($A18,Spiele!$A$2:$F$17,3,FALSE)=$B18,VLOOKUP($A18,Spiele!$A$2:$F$17,4,FALSE),VLOOKUP($A18,Spiele!$A$2:$F$17,3,FALSE)))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$17,3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$17,3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IF($A19="","",IF(VLOOKUP($A19,Spiele!$A$2:$D$17,3,FALSE)=$B19,"H","G"))</f>
        <v>H</v>
      </c>
      <c r="D19" s="17" t="str">
        <f>IF($B19="","",IF(VLOOKUP($A19,Spiele!$A$2:$F$17,3,FALSE)=$B19,VLOOKUP($A19,Spiele!$A$2:$F$17,4,FALSE),VLOOKUP($A19,Spiele!$A$2:$F$17,3,FALSE)))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$17,3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$17,3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IF($A20="","",IF(VLOOKUP($A20,Spiele!$A$2:$D$17,3,FALSE)=$B20,"H","G"))</f>
        <v>G</v>
      </c>
      <c r="D20" s="17" t="str">
        <f>IF($B20="","",IF(VLOOKUP($A20,Spiele!$A$2:$F$17,3,FALSE)=$B20,VLOOKUP($A20,Spiele!$A$2:$F$17,4,FALSE),VLOOKUP($A20,Spiele!$A$2:$F$17,3,FALSE)))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$17,3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$17,3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IF($A21="","",IF(VLOOKUP($A21,Spiele!$A$2:$D$17,3,FALSE)=$B21,"H","G"))</f>
        <v>H</v>
      </c>
      <c r="D21" s="17" t="str">
        <f>IF($B21="","",IF(VLOOKUP($A21,Spiele!$A$2:$F$17,3,FALSE)=$B21,VLOOKUP($A21,Spiele!$A$2:$F$17,4,FALSE),VLOOKUP($A21,Spiele!$A$2:$F$17,3,FALSE)))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$17,3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$17,3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IF($A22="","",IF(VLOOKUP($A22,Spiele!$A$2:$D$17,3,FALSE)=$B22,"H","G"))</f>
        <v>H</v>
      </c>
      <c r="D22" s="17" t="str">
        <f>IF($B22="","",IF(VLOOKUP($A22,Spiele!$A$2:$F$17,3,FALSE)=$B22,VLOOKUP($A22,Spiele!$A$2:$F$17,4,FALSE),VLOOKUP($A22,Spiele!$A$2:$F$17,3,FALSE)))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$17,3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$17,3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IF($A23="","",IF(VLOOKUP($A23,Spiele!$A$2:$D$17,3,FALSE)=$B23,"H","G"))</f>
        <v>H</v>
      </c>
      <c r="D23" s="17" t="str">
        <f>IF($B23="","",IF(VLOOKUP($A23,Spiele!$A$2:$F$17,3,FALSE)=$B23,VLOOKUP($A23,Spiele!$A$2:$F$17,4,FALSE),VLOOKUP($A23,Spiele!$A$2:$F$17,3,FALSE)))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$17,3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$17,3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IF($A24="","",IF(VLOOKUP($A24,Spiele!$A$2:$D$17,3,FALSE)=$B24,"H","G"))</f>
        <v>H</v>
      </c>
      <c r="D24" s="17" t="str">
        <f>IF($B24="","",IF(VLOOKUP($A24,Spiele!$A$2:$F$17,3,FALSE)=$B24,VLOOKUP($A24,Spiele!$A$2:$F$17,4,FALSE),VLOOKUP($A24,Spiele!$A$2:$F$17,3,FALSE)))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$17,3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$17,3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IF($A25="","",IF(VLOOKUP($A25,Spiele!$A$2:$D$17,3,FALSE)=$B25,"H","G"))</f>
        <v>G</v>
      </c>
      <c r="D25" s="17" t="str">
        <f>IF($B25="","",IF(VLOOKUP($A25,Spiele!$A$2:$F$17,3,FALSE)=$B25,VLOOKUP($A25,Spiele!$A$2:$F$17,4,FALSE),VLOOKUP($A25,Spiele!$A$2:$F$17,3,FALSE)))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$17,3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$17,3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IF($A26="","",IF(VLOOKUP($A26,Spiele!$A$2:$D$17,3,FALSE)=$B26,"H","G"))</f>
        <v>H</v>
      </c>
      <c r="D26" s="17" t="str">
        <f>IF($B26="","",IF(VLOOKUP($A26,Spiele!$A$2:$F$17,3,FALSE)=$B26,VLOOKUP($A26,Spiele!$A$2:$F$17,4,FALSE),VLOOKUP($A26,Spiele!$A$2:$F$17,3,FALSE)))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$17,3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$17,3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IF($A27="","",IF(VLOOKUP($A27,Spiele!$A$2:$D$17,3,FALSE)=$B27,"H","G"))</f>
        <v>H</v>
      </c>
      <c r="D27" s="17" t="str">
        <f>IF($B27="","",IF(VLOOKUP($A27,Spiele!$A$2:$F$17,3,FALSE)=$B27,VLOOKUP($A27,Spiele!$A$2:$F$17,4,FALSE),VLOOKUP($A27,Spiele!$A$2:$F$17,3,FALSE)))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$17,3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$17,3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IF($A28="","",IF(VLOOKUP($A28,Spiele!$A$2:$D$17,3,FALSE)=$B28,"H","G"))</f>
        <v>H</v>
      </c>
      <c r="D28" s="17" t="str">
        <f>IF($B28="","",IF(VLOOKUP($A28,Spiele!$A$2:$F$17,3,FALSE)=$B28,VLOOKUP($A28,Spiele!$A$2:$F$17,4,FALSE),VLOOKUP($A28,Spiele!$A$2:$F$17,3,FALSE)))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$17,3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$17,3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IF($A29="","",IF(VLOOKUP($A29,Spiele!$A$2:$D$17,3,FALSE)=$B29,"H","G"))</f>
        <v>G</v>
      </c>
      <c r="D29" s="17" t="str">
        <f>IF($B29="","",IF(VLOOKUP($A29,Spiele!$A$2:$F$17,3,FALSE)=$B29,VLOOKUP($A29,Spiele!$A$2:$F$17,4,FALSE),VLOOKUP($A29,Spiele!$A$2:$F$17,3,FALSE)))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$17,3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$17,3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IF($A30="","",IF(VLOOKUP($A30,Spiele!$A$2:$D$17,3,FALSE)=$B30,"H","G"))</f>
        <v>H</v>
      </c>
      <c r="D30" s="17" t="str">
        <f>IF($B30="","",IF(VLOOKUP($A30,Spiele!$A$2:$F$17,3,FALSE)=$B30,VLOOKUP($A30,Spiele!$A$2:$F$17,4,FALSE),VLOOKUP($A30,Spiele!$A$2:$F$17,3,FALSE)))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$17,3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$17,3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IF($A31="","",IF(VLOOKUP($A31,Spiele!$A$2:$D$17,3,FALSE)=$B31,"H","G"))</f>
        <v>H</v>
      </c>
      <c r="D31" s="17" t="str">
        <f>IF($B31="","",IF(VLOOKUP($A31,Spiele!$A$2:$F$17,3,FALSE)=$B31,VLOOKUP($A31,Spiele!$A$2:$F$17,4,FALSE),VLOOKUP($A31,Spiele!$A$2:$F$17,3,FALSE)))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$17,3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$17,3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IF($A32="","",IF(VLOOKUP($A32,Spiele!$A$2:$D$17,3,FALSE)=$B32,"H","G"))</f>
        <v>G</v>
      </c>
      <c r="D32" s="17" t="str">
        <f>IF($B32="","",IF(VLOOKUP($A32,Spiele!$A$2:$F$17,3,FALSE)=$B32,VLOOKUP($A32,Spiele!$A$2:$F$17,4,FALSE),VLOOKUP($A32,Spiele!$A$2:$F$17,3,FALSE)))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$17,3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$17,3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IF($A33="","",IF(VLOOKUP($A33,Spiele!$A$2:$D$17,3,FALSE)=$B33,"H","G"))</f>
        <v>G</v>
      </c>
      <c r="D33" s="17" t="str">
        <f>IF($B33="","",IF(VLOOKUP($A33,Spiele!$A$2:$F$17,3,FALSE)=$B33,VLOOKUP($A33,Spiele!$A$2:$F$17,4,FALSE),VLOOKUP($A33,Spiele!$A$2:$F$17,3,FALSE)))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$17,3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$17,3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IF($A34="","",IF(VLOOKUP($A34,Spiele!$A$2:$D$17,3,FALSE)=$B34,"H","G"))</f>
        <v>G</v>
      </c>
      <c r="D34" s="17" t="str">
        <f>IF($B34="","",IF(VLOOKUP($A34,Spiele!$A$2:$F$17,3,FALSE)=$B34,VLOOKUP($A34,Spiele!$A$2:$F$17,4,FALSE),VLOOKUP($A34,Spiele!$A$2:$F$17,3,FALSE)))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$17,3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$17,3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IF($A35="","",IF(VLOOKUP($A35,Spiele!$A$2:$D$17,3,FALSE)=$B35,"H","G"))</f>
        <v>G</v>
      </c>
      <c r="D35" s="17" t="str">
        <f>IF($B35="","",IF(VLOOKUP($A35,Spiele!$A$2:$F$17,3,FALSE)=$B35,VLOOKUP($A35,Spiele!$A$2:$F$17,4,FALSE),VLOOKUP($A35,Spiele!$A$2:$F$17,3,FALSE)))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$17,3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$17,3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IF($A36="","",IF(VLOOKUP($A36,Spiele!$A$2:$D$17,3,FALSE)=$B36,"H","G"))</f>
        <v>H</v>
      </c>
      <c r="D36" s="17" t="str">
        <f>IF($B36="","",IF(VLOOKUP($A36,Spiele!$A$2:$F$17,3,FALSE)=$B36,VLOOKUP($A36,Spiele!$A$2:$F$17,4,FALSE),VLOOKUP($A36,Spiele!$A$2:$F$17,3,FALSE)))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$17,3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$17,3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IF($A37="","",IF(VLOOKUP($A37,Spiele!$A$2:$D$17,3,FALSE)=$B37,"H","G"))</f>
        <v>H</v>
      </c>
      <c r="D37" s="17" t="str">
        <f>IF($B37="","",IF(VLOOKUP($A37,Spiele!$A$2:$F$17,3,FALSE)=$B37,VLOOKUP($A37,Spiele!$A$2:$F$17,4,FALSE),VLOOKUP($A37,Spiele!$A$2:$F$17,3,FALSE)))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$17,3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$17,3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IF($A38="","",IF(VLOOKUP($A38,Spiele!$A$2:$D$17,3,FALSE)=$B38,"H","G"))</f>
        <v>G</v>
      </c>
      <c r="D38" s="17" t="str">
        <f>IF($B38="","",IF(VLOOKUP($A38,Spiele!$A$2:$F$17,3,FALSE)=$B38,VLOOKUP($A38,Spiele!$A$2:$F$17,4,FALSE),VLOOKUP($A38,Spiele!$A$2:$F$17,3,FALSE)))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$17,3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$17,3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IF($A39="","",IF(VLOOKUP($A39,Spiele!$A$2:$D$17,3,FALSE)=$B39,"H","G"))</f>
        <v>G</v>
      </c>
      <c r="D39" s="17" t="str">
        <f>IF($B39="","",IF(VLOOKUP($A39,Spiele!$A$2:$F$17,3,FALSE)=$B39,VLOOKUP($A39,Spiele!$A$2:$F$17,4,FALSE),VLOOKUP($A39,Spiele!$A$2:$F$17,3,FALSE)))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$17,3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$17,3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IF($A40="","",IF(VLOOKUP($A40,Spiele!$A$2:$D$17,3,FALSE)=$B40,"H","G"))</f>
        <v>G</v>
      </c>
      <c r="D40" s="17" t="str">
        <f>IF($B40="","",IF(VLOOKUP($A40,Spiele!$A$2:$F$17,3,FALSE)=$B40,VLOOKUP($A40,Spiele!$A$2:$F$17,4,FALSE),VLOOKUP($A40,Spiele!$A$2:$F$17,3,FALSE)))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$17,3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$17,3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IF($A41="","",IF(VLOOKUP($A41,Spiele!$A$2:$D$17,3,FALSE)=$B41,"H","G"))</f>
        <v>H</v>
      </c>
      <c r="D41" s="17" t="str">
        <f>IF($B41="","",IF(VLOOKUP($A41,Spiele!$A$2:$F$17,3,FALSE)=$B41,VLOOKUP($A41,Spiele!$A$2:$F$17,4,FALSE),VLOOKUP($A41,Spiele!$A$2:$F$17,3,FALSE)))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$17,3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$17,3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IF($A42="","",IF(VLOOKUP($A42,Spiele!$A$2:$D$17,3,FALSE)=$B42,"H","G"))</f>
        <v>G</v>
      </c>
      <c r="D42" s="17" t="str">
        <f>IF($B42="","",IF(VLOOKUP($A42,Spiele!$A$2:$F$17,3,FALSE)=$B42,VLOOKUP($A42,Spiele!$A$2:$F$17,4,FALSE),VLOOKUP($A42,Spiele!$A$2:$F$17,3,FALSE)))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$17,3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$17,3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IF($A43="","",IF(VLOOKUP($A43,Spiele!$A$2:$D$17,3,FALSE)=$B43,"H","G"))</f>
        <v>G</v>
      </c>
      <c r="D43" s="17" t="str">
        <f>IF($B43="","",IF(VLOOKUP($A43,Spiele!$A$2:$F$17,3,FALSE)=$B43,VLOOKUP($A43,Spiele!$A$2:$F$17,4,FALSE),VLOOKUP($A43,Spiele!$A$2:$F$17,3,FALSE)))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$17,3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$17,3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IF($A44="","",IF(VLOOKUP($A44,Spiele!$A$2:$D$17,3,FALSE)=$B44,"H","G"))</f>
        <v>G</v>
      </c>
      <c r="D44" s="17" t="str">
        <f>IF($B44="","",IF(VLOOKUP($A44,Spiele!$A$2:$F$17,3,FALSE)=$B44,VLOOKUP($A44,Spiele!$A$2:$F$17,4,FALSE),VLOOKUP($A44,Spiele!$A$2:$F$17,3,FALSE)))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$17,3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$17,3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IF($A45="","",IF(VLOOKUP($A45,Spiele!$A$2:$D$17,3,FALSE)=$B45,"H","G"))</f>
        <v>G</v>
      </c>
      <c r="D45" s="17" t="str">
        <f>IF($B45="","",IF(VLOOKUP($A45,Spiele!$A$2:$F$17,3,FALSE)=$B45,VLOOKUP($A45,Spiele!$A$2:$F$17,4,FALSE),VLOOKUP($A45,Spiele!$A$2:$F$17,3,FALSE)))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$17,3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$17,3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IF($A46="","",IF(VLOOKUP($A46,Spiele!$A$2:$D$17,3,FALSE)=$B46,"H","G"))</f>
        <v>G</v>
      </c>
      <c r="D46" s="17" t="str">
        <f>IF($B46="","",IF(VLOOKUP($A46,Spiele!$A$2:$F$17,3,FALSE)=$B46,VLOOKUP($A46,Spiele!$A$2:$F$17,4,FALSE),VLOOKUP($A46,Spiele!$A$2:$F$17,3,FALSE)))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$17,3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$17,3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IF($A47="","",IF(VLOOKUP($A47,Spiele!$A$2:$D$17,3,FALSE)=$B47,"H","G"))</f>
        <v>H</v>
      </c>
      <c r="D47" s="17" t="str">
        <f>IF($B47="","",IF(VLOOKUP($A47,Spiele!$A$2:$F$17,3,FALSE)=$B47,VLOOKUP($A47,Spiele!$A$2:$F$17,4,FALSE),VLOOKUP($A47,Spiele!$A$2:$F$17,3,FALSE)))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$17,3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$17,3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IF($A48="","",IF(VLOOKUP($A48,Spiele!$A$2:$D$17,3,FALSE)=$B48,"H","G"))</f>
        <v>H</v>
      </c>
      <c r="D48" s="17" t="str">
        <f>IF($B48="","",IF(VLOOKUP($A48,Spiele!$A$2:$F$17,3,FALSE)=$B48,VLOOKUP($A48,Spiele!$A$2:$F$17,4,FALSE),VLOOKUP($A48,Spiele!$A$2:$F$17,3,FALSE)))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$17,3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$17,3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IF($A49="","",IF(VLOOKUP($A49,Spiele!$A$2:$D$17,3,FALSE)=$B49,"H","G"))</f>
        <v>H</v>
      </c>
      <c r="D49" s="17" t="str">
        <f>IF($B49="","",IF(VLOOKUP($A49,Spiele!$A$2:$F$17,3,FALSE)=$B49,VLOOKUP($A49,Spiele!$A$2:$F$17,4,FALSE),VLOOKUP($A49,Spiele!$A$2:$F$17,3,FALSE)))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$17,3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$17,3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IF($A50="","",IF(VLOOKUP($A50,Spiele!$A$2:$D$17,3,FALSE)=$B50,"H","G"))</f>
        <v>G</v>
      </c>
      <c r="D50" s="17" t="str">
        <f>IF($B50="","",IF(VLOOKUP($A50,Spiele!$A$2:$F$17,3,FALSE)=$B50,VLOOKUP($A50,Spiele!$A$2:$F$17,4,FALSE),VLOOKUP($A50,Spiele!$A$2:$F$17,3,FALSE)))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$17,3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$17,3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IF($A51="","",IF(VLOOKUP($A51,Spiele!$A$2:$D$17,3,FALSE)=$B51,"H","G"))</f>
        <v>G</v>
      </c>
      <c r="D51" s="17" t="str">
        <f>IF($B51="","",IF(VLOOKUP($A51,Spiele!$A$2:$F$17,3,FALSE)=$B51,VLOOKUP($A51,Spiele!$A$2:$F$17,4,FALSE),VLOOKUP($A51,Spiele!$A$2:$F$17,3,FALSE)))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$17,3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$17,3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IF($A52="","",IF(VLOOKUP($A52,Spiele!$A$2:$D$17,3,FALSE)=$B52,"H","G"))</f>
        <v>G</v>
      </c>
      <c r="D52" s="17" t="str">
        <f>IF($B52="","",IF(VLOOKUP($A52,Spiele!$A$2:$F$17,3,FALSE)=$B52,VLOOKUP($A52,Spiele!$A$2:$F$17,4,FALSE),VLOOKUP($A52,Spiele!$A$2:$F$17,3,FALSE)))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$17,3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$17,3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IF($A53="","",IF(VLOOKUP($A53,Spiele!$A$2:$D$17,3,FALSE)=$B53,"H","G"))</f>
        <v>H</v>
      </c>
      <c r="D53" s="17" t="str">
        <f>IF($B53="","",IF(VLOOKUP($A53,Spiele!$A$2:$F$17,3,FALSE)=$B53,VLOOKUP($A53,Spiele!$A$2:$F$17,4,FALSE),VLOOKUP($A53,Spiele!$A$2:$F$17,3,FALSE)))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$17,3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$17,3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IF($A54="","",IF(VLOOKUP($A54,Spiele!$A$2:$D$17,3,FALSE)=$B54,"H","G"))</f>
        <v>H</v>
      </c>
      <c r="D54" s="17" t="str">
        <f>IF($B54="","",IF(VLOOKUP($A54,Spiele!$A$2:$F$17,3,FALSE)=$B54,VLOOKUP($A54,Spiele!$A$2:$F$17,4,FALSE),VLOOKUP($A54,Spiele!$A$2:$F$17,3,FALSE)))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$17,3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$17,3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IF($A55="","",IF(VLOOKUP($A55,Spiele!$A$2:$D$17,3,FALSE)=$B55,"H","G"))</f>
        <v>H</v>
      </c>
      <c r="D55" s="17" t="str">
        <f>IF($B55="","",IF(VLOOKUP($A55,Spiele!$A$2:$F$17,3,FALSE)=$B55,VLOOKUP($A55,Spiele!$A$2:$F$17,4,FALSE),VLOOKUP($A55,Spiele!$A$2:$F$17,3,FALSE)))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$17,3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$17,3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IF($A56="","",IF(VLOOKUP($A56,Spiele!$A$2:$D$17,3,FALSE)=$B56,"H","G"))</f>
        <v>G</v>
      </c>
      <c r="D56" s="17" t="str">
        <f>IF($B56="","",IF(VLOOKUP($A56,Spiele!$A$2:$F$17,3,FALSE)=$B56,VLOOKUP($A56,Spiele!$A$2:$F$17,4,FALSE),VLOOKUP($A56,Spiele!$A$2:$F$17,3,FALSE)))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$17,3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$17,3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IF($A57="","",IF(VLOOKUP($A57,Spiele!$A$2:$D$17,3,FALSE)=$B57,"H","G"))</f>
        <v>G</v>
      </c>
      <c r="D57" s="17" t="str">
        <f>IF($B57="","",IF(VLOOKUP($A57,Spiele!$A$2:$F$17,3,FALSE)=$B57,VLOOKUP($A57,Spiele!$A$2:$F$17,4,FALSE),VLOOKUP($A57,Spiele!$A$2:$F$17,3,FALSE)))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$17,3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$17,3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IF($A58="","",IF(VLOOKUP($A58,Spiele!$A$2:$D$17,3,FALSE)=$B58,"H","G"))</f>
        <v>H</v>
      </c>
      <c r="D58" s="17" t="str">
        <f>IF($B58="","",IF(VLOOKUP($A58,Spiele!$A$2:$F$17,3,FALSE)=$B58,VLOOKUP($A58,Spiele!$A$2:$F$17,4,FALSE),VLOOKUP($A58,Spiele!$A$2:$F$17,3,FALSE)))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$17,3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$17,3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IF($A59="","",IF(VLOOKUP($A59,Spiele!$A$2:$D$17,3,FALSE)=$B59,"H","G"))</f>
        <v>G</v>
      </c>
      <c r="D59" s="17" t="str">
        <f>IF($B59="","",IF(VLOOKUP($A59,Spiele!$A$2:$F$17,3,FALSE)=$B59,VLOOKUP($A59,Spiele!$A$2:$F$17,4,FALSE),VLOOKUP($A59,Spiele!$A$2:$F$17,3,FALSE)))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$17,3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$17,3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IF($A60="","",IF(VLOOKUP($A60,Spiele!$A$2:$D$17,3,FALSE)=$B60,"H","G"))</f>
        <v>G</v>
      </c>
      <c r="D60" s="17" t="str">
        <f>IF($B60="","",IF(VLOOKUP($A60,Spiele!$A$2:$F$17,3,FALSE)=$B60,VLOOKUP($A60,Spiele!$A$2:$F$17,4,FALSE),VLOOKUP($A60,Spiele!$A$2:$F$17,3,FALSE)))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$17,3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$17,3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IF($A61="","",IF(VLOOKUP($A61,Spiele!$A$2:$D$17,3,FALSE)=$B61,"H","G"))</f>
        <v>H</v>
      </c>
      <c r="D61" s="17" t="str">
        <f>IF($B61="","",IF(VLOOKUP($A61,Spiele!$A$2:$F$17,3,FALSE)=$B61,VLOOKUP($A61,Spiele!$A$2:$F$17,4,FALSE),VLOOKUP($A61,Spiele!$A$2:$F$17,3,FALSE)))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$17,3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$17,3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IF($A62="","",IF(VLOOKUP($A62,Spiele!$A$2:$D$17,3,FALSE)=$B62,"H","G"))</f>
        <v>H</v>
      </c>
      <c r="D62" s="17" t="str">
        <f>IF($B62="","",IF(VLOOKUP($A62,Spiele!$A$2:$F$17,3,FALSE)=$B62,VLOOKUP($A62,Spiele!$A$2:$F$17,4,FALSE),VLOOKUP($A62,Spiele!$A$2:$F$17,3,FALSE)))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$17,3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$17,3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IF($A63="","",IF(VLOOKUP($A63,Spiele!$A$2:$D$17,3,FALSE)=$B63,"H","G"))</f>
        <v>H</v>
      </c>
      <c r="D63" s="17" t="str">
        <f>IF($B63="","",IF(VLOOKUP($A63,Spiele!$A$2:$F$17,3,FALSE)=$B63,VLOOKUP($A63,Spiele!$A$2:$F$17,4,FALSE),VLOOKUP($A63,Spiele!$A$2:$F$17,3,FALSE)))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$17,3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$17,3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IF($A64="","",IF(VLOOKUP($A64,Spiele!$A$2:$D$17,3,FALSE)=$B64,"H","G"))</f>
        <v>H</v>
      </c>
      <c r="D64" s="17" t="str">
        <f>IF($B64="","",IF(VLOOKUP($A64,Spiele!$A$2:$F$17,3,FALSE)=$B64,VLOOKUP($A64,Spiele!$A$2:$F$17,4,FALSE),VLOOKUP($A64,Spiele!$A$2:$F$17,3,FALSE)))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$17,3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$17,3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IF($A65="","",IF(VLOOKUP($A65,Spiele!$A$2:$D$17,3,FALSE)=$B65,"H","G"))</f>
        <v>G</v>
      </c>
      <c r="D65" s="17" t="str">
        <f>IF($B65="","",IF(VLOOKUP($A65,Spiele!$A$2:$F$17,3,FALSE)=$B65,VLOOKUP($A65,Spiele!$A$2:$F$17,4,FALSE),VLOOKUP($A65,Spiele!$A$2:$F$17,3,FALSE)))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$17,3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$17,3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IF($A66="","",IF(VLOOKUP($A66,Spiele!$A$2:$D$17,3,FALSE)=$B66,"H","G"))</f>
        <v>G</v>
      </c>
      <c r="D66" s="17" t="str">
        <f>IF($B66="","",IF(VLOOKUP($A66,Spiele!$A$2:$F$17,3,FALSE)=$B66,VLOOKUP($A66,Spiele!$A$2:$F$17,4,FALSE),VLOOKUP($A66,Spiele!$A$2:$F$17,3,FALSE)))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$17,3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$17,3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IF($A67="","",IF(VLOOKUP($A67,Spiele!$A$2:$D$17,3,FALSE)=$B67,"H","G"))</f>
        <v>G</v>
      </c>
      <c r="D67" s="17" t="str">
        <f>IF($B67="","",IF(VLOOKUP($A67,Spiele!$A$2:$F$17,3,FALSE)=$B67,VLOOKUP($A67,Spiele!$A$2:$F$17,4,FALSE),VLOOKUP($A67,Spiele!$A$2:$F$17,3,FALSE)))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$17,3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$17,3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IF($A68="","",IF(VLOOKUP($A68,Spiele!$A$2:$D$17,3,FALSE)=$B68,"H","G"))</f>
        <v>H</v>
      </c>
      <c r="D68" s="17" t="str">
        <f>IF($B68="","",IF(VLOOKUP($A68,Spiele!$A$2:$F$17,3,FALSE)=$B68,VLOOKUP($A68,Spiele!$A$2:$F$17,4,FALSE),VLOOKUP($A68,Spiele!$A$2:$F$17,3,FALSE)))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$17,3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$17,3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IF($A69="","",IF(VLOOKUP($A69,Spiele!$A$2:$D$17,3,FALSE)=$B69,"H","G"))</f>
        <v>H</v>
      </c>
      <c r="D69" s="17" t="str">
        <f>IF($B69="","",IF(VLOOKUP($A69,Spiele!$A$2:$F$17,3,FALSE)=$B69,VLOOKUP($A69,Spiele!$A$2:$F$17,4,FALSE),VLOOKUP($A69,Spiele!$A$2:$F$17,3,FALSE)))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$17,3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$17,3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IF($A70="","",IF(VLOOKUP($A70,Spiele!$A$2:$D$17,3,FALSE)=$B70,"H","G"))</f>
        <v>G</v>
      </c>
      <c r="D70" s="17" t="str">
        <f>IF($B70="","",IF(VLOOKUP($A70,Spiele!$A$2:$F$17,3,FALSE)=$B70,VLOOKUP($A70,Spiele!$A$2:$F$17,4,FALSE),VLOOKUP($A70,Spiele!$A$2:$F$17,3,FALSE)))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$17,3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$17,3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IF($A71="","",IF(VLOOKUP($A71,Spiele!$A$2:$D$17,3,FALSE)=$B71,"H","G"))</f>
        <v>H</v>
      </c>
      <c r="D71" s="17" t="str">
        <f>IF($B71="","",IF(VLOOKUP($A71,Spiele!$A$2:$F$17,3,FALSE)=$B71,VLOOKUP($A71,Spiele!$A$2:$F$17,4,FALSE),VLOOKUP($A71,Spiele!$A$2:$F$17,3,FALSE)))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$17,3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$17,3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IF($A72="","",IF(VLOOKUP($A72,Spiele!$A$2:$D$17,3,FALSE)=$B72,"H","G"))</f>
        <v>H</v>
      </c>
      <c r="D72" s="17" t="str">
        <f>IF($B72="","",IF(VLOOKUP($A72,Spiele!$A$2:$F$17,3,FALSE)=$B72,VLOOKUP($A72,Spiele!$A$2:$F$17,4,FALSE),VLOOKUP($A72,Spiele!$A$2:$F$17,3,FALSE)))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$17,3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$17,3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IF($A73="","",IF(VLOOKUP($A73,Spiele!$A$2:$D$17,3,FALSE)=$B73,"H","G"))</f>
        <v>H</v>
      </c>
      <c r="D73" s="17" t="str">
        <f>IF($B73="","",IF(VLOOKUP($A73,Spiele!$A$2:$F$17,3,FALSE)=$B73,VLOOKUP($A73,Spiele!$A$2:$F$17,4,FALSE),VLOOKUP($A73,Spiele!$A$2:$F$17,3,FALSE)))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$17,3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$17,3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IF($A74="","",IF(VLOOKUP($A74,Spiele!$A$2:$D$17,3,FALSE)=$B74,"H","G"))</f>
        <v>G</v>
      </c>
      <c r="D74" s="17" t="str">
        <f>IF($B74="","",IF(VLOOKUP($A74,Spiele!$A$2:$F$17,3,FALSE)=$B74,VLOOKUP($A74,Spiele!$A$2:$F$17,4,FALSE),VLOOKUP($A74,Spiele!$A$2:$F$17,3,FALSE)))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$17,3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$17,3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IF($A75="","",IF(VLOOKUP($A75,Spiele!$A$2:$D$17,3,FALSE)=$B75,"H","G"))</f>
        <v>H</v>
      </c>
      <c r="D75" s="17" t="str">
        <f>IF($B75="","",IF(VLOOKUP($A75,Spiele!$A$2:$F$17,3,FALSE)=$B75,VLOOKUP($A75,Spiele!$A$2:$F$17,4,FALSE),VLOOKUP($A75,Spiele!$A$2:$F$17,3,FALSE)))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$17,3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$17,3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IF($A76="","",IF(VLOOKUP($A76,Spiele!$A$2:$D$17,3,FALSE)=$B76,"H","G"))</f>
        <v>H</v>
      </c>
      <c r="D76" s="17" t="str">
        <f>IF($B76="","",IF(VLOOKUP($A76,Spiele!$A$2:$F$17,3,FALSE)=$B76,VLOOKUP($A76,Spiele!$A$2:$F$17,4,FALSE),VLOOKUP($A76,Spiele!$A$2:$F$17,3,FALSE)))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$17,3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$17,3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IF($A77="","",IF(VLOOKUP($A77,Spiele!$A$2:$D$17,3,FALSE)=$B77,"H","G"))</f>
        <v>H</v>
      </c>
      <c r="D77" s="17" t="str">
        <f>IF($B77="","",IF(VLOOKUP($A77,Spiele!$A$2:$F$17,3,FALSE)=$B77,VLOOKUP($A77,Spiele!$A$2:$F$17,4,FALSE),VLOOKUP($A77,Spiele!$A$2:$F$17,3,FALSE)))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$17,3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$17,3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IF($A78="","",IF(VLOOKUP($A78,Spiele!$A$2:$D$17,3,FALSE)=$B78,"H","G"))</f>
        <v>H</v>
      </c>
      <c r="D78" s="17" t="str">
        <f>IF($B78="","",IF(VLOOKUP($A78,Spiele!$A$2:$F$17,3,FALSE)=$B78,VLOOKUP($A78,Spiele!$A$2:$F$17,4,FALSE),VLOOKUP($A78,Spiele!$A$2:$F$17,3,FALSE)))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$17,3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$17,3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IF($A79="","",IF(VLOOKUP($A79,Spiele!$A$2:$D$17,3,FALSE)=$B79,"H","G"))</f>
        <v>H</v>
      </c>
      <c r="D79" s="17" t="str">
        <f>IF($B79="","",IF(VLOOKUP($A79,Spiele!$A$2:$F$17,3,FALSE)=$B79,VLOOKUP($A79,Spiele!$A$2:$F$17,4,FALSE),VLOOKUP($A79,Spiele!$A$2:$F$17,3,FALSE)))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$17,3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$17,3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IF($A80="","",IF(VLOOKUP($A80,Spiele!$A$2:$D$17,3,FALSE)=$B80,"H","G"))</f>
        <v>H</v>
      </c>
      <c r="D80" s="17" t="str">
        <f>IF($B80="","",IF(VLOOKUP($A80,Spiele!$A$2:$F$17,3,FALSE)=$B80,VLOOKUP($A80,Spiele!$A$2:$F$17,4,FALSE),VLOOKUP($A80,Spiele!$A$2:$F$17,3,FALSE)))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$17,3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$17,3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IF($A81="","",IF(VLOOKUP($A81,Spiele!$A$2:$D$17,3,FALSE)=$B81,"H","G"))</f>
        <v>H</v>
      </c>
      <c r="D81" s="17" t="str">
        <f>IF($B81="","",IF(VLOOKUP($A81,Spiele!$A$2:$F$17,3,FALSE)=$B81,VLOOKUP($A81,Spiele!$A$2:$F$17,4,FALSE),VLOOKUP($A81,Spiele!$A$2:$F$17,3,FALSE)))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$17,3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$17,3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IF($A82="","",IF(VLOOKUP($A82,Spiele!$A$2:$D$17,3,FALSE)=$B82,"H","G"))</f>
        <v>H</v>
      </c>
      <c r="D82" s="17" t="str">
        <f>IF($B82="","",IF(VLOOKUP($A82,Spiele!$A$2:$F$17,3,FALSE)=$B82,VLOOKUP($A82,Spiele!$A$2:$F$17,4,FALSE),VLOOKUP($A82,Spiele!$A$2:$F$17,3,FALSE)))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$17,3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$17,3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IF($A83="","",IF(VLOOKUP($A83,Spiele!$A$2:$D$17,3,FALSE)=$B83,"H","G"))</f>
        <v>H</v>
      </c>
      <c r="D83" s="17" t="str">
        <f>IF($B83="","",IF(VLOOKUP($A83,Spiele!$A$2:$F$17,3,FALSE)=$B83,VLOOKUP($A83,Spiele!$A$2:$F$17,4,FALSE),VLOOKUP($A83,Spiele!$A$2:$F$17,3,FALSE)))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$17,3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$17,3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IF($A84="","",IF(VLOOKUP($A84,Spiele!$A$2:$D$17,3,FALSE)=$B84,"H","G"))</f>
        <v>G</v>
      </c>
      <c r="D84" s="17" t="str">
        <f>IF($B84="","",IF(VLOOKUP($A84,Spiele!$A$2:$F$17,3,FALSE)=$B84,VLOOKUP($A84,Spiele!$A$2:$F$17,4,FALSE),VLOOKUP($A84,Spiele!$A$2:$F$17,3,FALSE)))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$17,3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$17,3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IF($A85="","",IF(VLOOKUP($A85,Spiele!$A$2:$D$17,3,FALSE)=$B85,"H","G"))</f>
        <v>G</v>
      </c>
      <c r="D85" s="17" t="str">
        <f>IF($B85="","",IF(VLOOKUP($A85,Spiele!$A$2:$F$17,3,FALSE)=$B85,VLOOKUP($A85,Spiele!$A$2:$F$17,4,FALSE),VLOOKUP($A85,Spiele!$A$2:$F$17,3,FALSE)))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$17,3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$17,3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IF($A86="","",IF(VLOOKUP($A86,Spiele!$A$2:$D$17,3,FALSE)=$B86,"H","G"))</f>
        <v>G</v>
      </c>
      <c r="D86" s="17" t="str">
        <f>IF($B86="","",IF(VLOOKUP($A86,Spiele!$A$2:$F$17,3,FALSE)=$B86,VLOOKUP($A86,Spiele!$A$2:$F$17,4,FALSE),VLOOKUP($A86,Spiele!$A$2:$F$17,3,FALSE)))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$17,3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$17,3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IF($A87="","",IF(VLOOKUP($A87,Spiele!$A$2:$D$17,3,FALSE)=$B87,"H","G"))</f>
        <v>G</v>
      </c>
      <c r="D87" s="17" t="str">
        <f>IF($B87="","",IF(VLOOKUP($A87,Spiele!$A$2:$F$17,3,FALSE)=$B87,VLOOKUP($A87,Spiele!$A$2:$F$17,4,FALSE),VLOOKUP($A87,Spiele!$A$2:$F$17,3,FALSE)))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$17,3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$17,3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IF($A88="","",IF(VLOOKUP($A88,Spiele!$A$2:$D$17,3,FALSE)=$B88,"H","G"))</f>
        <v>G</v>
      </c>
      <c r="D88" s="17" t="str">
        <f>IF($B88="","",IF(VLOOKUP($A88,Spiele!$A$2:$F$17,3,FALSE)=$B88,VLOOKUP($A88,Spiele!$A$2:$F$17,4,FALSE),VLOOKUP($A88,Spiele!$A$2:$F$17,3,FALSE)))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$17,3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$17,3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IF($A89="","",IF(VLOOKUP($A89,Spiele!$A$2:$D$17,3,FALSE)=$B89,"H","G"))</f>
        <v>G</v>
      </c>
      <c r="D89" s="17" t="str">
        <f>IF($B89="","",IF(VLOOKUP($A89,Spiele!$A$2:$F$17,3,FALSE)=$B89,VLOOKUP($A89,Spiele!$A$2:$F$17,4,FALSE),VLOOKUP($A89,Spiele!$A$2:$F$17,3,FALSE)))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$17,3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$17,3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IF($A90="","",IF(VLOOKUP($A90,Spiele!$A$2:$D$17,3,FALSE)=$B90,"H","G"))</f>
        <v>G</v>
      </c>
      <c r="D90" s="17" t="str">
        <f>IF($B90="","",IF(VLOOKUP($A90,Spiele!$A$2:$F$17,3,FALSE)=$B90,VLOOKUP($A90,Spiele!$A$2:$F$17,4,FALSE),VLOOKUP($A90,Spiele!$A$2:$F$17,3,FALSE)))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$17,3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$17,3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IF($A91="","",IF(VLOOKUP($A91,Spiele!$A$2:$D$17,3,FALSE)=$B91,"H","G"))</f>
        <v>G</v>
      </c>
      <c r="D91" s="17" t="str">
        <f>IF($B91="","",IF(VLOOKUP($A91,Spiele!$A$2:$F$17,3,FALSE)=$B91,VLOOKUP($A91,Spiele!$A$2:$F$17,4,FALSE),VLOOKUP($A91,Spiele!$A$2:$F$17,3,FALSE)))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$17,3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$17,3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IF($A92="","",IF(VLOOKUP($A92,Spiele!$A$2:$D$17,3,FALSE)=$B92,"H","G"))</f>
        <v>G</v>
      </c>
      <c r="D92" s="17" t="str">
        <f>IF($B92="","",IF(VLOOKUP($A92,Spiele!$A$2:$F$17,3,FALSE)=$B92,VLOOKUP($A92,Spiele!$A$2:$F$17,4,FALSE),VLOOKUP($A92,Spiele!$A$2:$F$17,3,FALSE)))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$17,3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$17,3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IF($A93="","",IF(VLOOKUP($A93,Spiele!$A$2:$D$17,3,FALSE)=$B93,"H","G"))</f>
        <v>G</v>
      </c>
      <c r="D93" s="17" t="str">
        <f>IF($B93="","",IF(VLOOKUP($A93,Spiele!$A$2:$F$17,3,FALSE)=$B93,VLOOKUP($A93,Spiele!$A$2:$F$17,4,FALSE),VLOOKUP($A93,Spiele!$A$2:$F$17,3,FALSE)))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$17,3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$17,3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IF($A94="","",IF(VLOOKUP($A94,Spiele!$A$2:$D$17,3,FALSE)=$B94,"H","G"))</f>
        <v>H</v>
      </c>
      <c r="D94" s="17" t="str">
        <f>IF($B94="","",IF(VLOOKUP($A94,Spiele!$A$2:$F$17,3,FALSE)=$B94,VLOOKUP($A94,Spiele!$A$2:$F$17,4,FALSE),VLOOKUP($A94,Spiele!$A$2:$F$17,3,FALSE)))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$17,3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$17,3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IF($A95="","",IF(VLOOKUP($A95,Spiele!$A$2:$D$17,3,FALSE)=$B95,"H","G"))</f>
        <v>G</v>
      </c>
      <c r="D95" s="17" t="str">
        <f>IF($B95="","",IF(VLOOKUP($A95,Spiele!$A$2:$F$17,3,FALSE)=$B95,VLOOKUP($A95,Spiele!$A$2:$F$17,4,FALSE),VLOOKUP($A95,Spiele!$A$2:$F$17,3,FALSE)))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$17,3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$17,3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IF($A96="","",IF(VLOOKUP($A96,Spiele!$A$2:$D$17,3,FALSE)=$B96,"H","G"))</f>
        <v>H</v>
      </c>
      <c r="D96" s="17" t="str">
        <f>IF($B96="","",IF(VLOOKUP($A96,Spiele!$A$2:$F$17,3,FALSE)=$B96,VLOOKUP($A96,Spiele!$A$2:$F$17,4,FALSE),VLOOKUP($A96,Spiele!$A$2:$F$17,3,FALSE)))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$17,3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$17,3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IF($A97="","",IF(VLOOKUP($A97,Spiele!$A$2:$D$17,3,FALSE)=$B97,"H","G"))</f>
        <v>G</v>
      </c>
      <c r="D97" s="17" t="str">
        <f>IF($B97="","",IF(VLOOKUP($A97,Spiele!$A$2:$F$17,3,FALSE)=$B97,VLOOKUP($A97,Spiele!$A$2:$F$17,4,FALSE),VLOOKUP($A97,Spiele!$A$2:$F$17,3,FALSE)))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$17,3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$17,3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IF($A98="","",IF(VLOOKUP($A98,Spiele!$A$2:$D$17,3,FALSE)=$B98,"H","G"))</f>
        <v>G</v>
      </c>
      <c r="D98" s="17" t="str">
        <f>IF($B98="","",IF(VLOOKUP($A98,Spiele!$A$2:$F$17,3,FALSE)=$B98,VLOOKUP($A98,Spiele!$A$2:$F$17,4,FALSE),VLOOKUP($A98,Spiele!$A$2:$F$17,3,FALSE)))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$17,3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$17,3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IF($A99="","",IF(VLOOKUP($A99,Spiele!$A$2:$D$17,3,FALSE)=$B99,"H","G"))</f>
        <v>G</v>
      </c>
      <c r="D99" s="17" t="str">
        <f>IF($B99="","",IF(VLOOKUP($A99,Spiele!$A$2:$F$17,3,FALSE)=$B99,VLOOKUP($A99,Spiele!$A$2:$F$17,4,FALSE),VLOOKUP($A99,Spiele!$A$2:$F$17,3,FALSE)))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$17,3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$17,3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IF($A100="","",IF(VLOOKUP($A100,Spiele!$A$2:$D$17,3,FALSE)=$B100,"H","G"))</f>
        <v>G</v>
      </c>
      <c r="D100" s="17" t="str">
        <f>IF($B100="","",IF(VLOOKUP($A100,Spiele!$A$2:$F$17,3,FALSE)=$B100,VLOOKUP($A100,Spiele!$A$2:$F$17,4,FALSE),VLOOKUP($A100,Spiele!$A$2:$F$17,3,FALSE)))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$17,3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$17,3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IF($A101="","",IF(VLOOKUP($A101,Spiele!$A$2:$D$17,3,FALSE)=$B101,"H","G"))</f>
        <v>H</v>
      </c>
      <c r="D101" s="17" t="str">
        <f>IF($B101="","",IF(VLOOKUP($A101,Spiele!$A$2:$F$17,3,FALSE)=$B101,VLOOKUP($A101,Spiele!$A$2:$F$17,4,FALSE),VLOOKUP($A101,Spiele!$A$2:$F$17,3,FALSE)))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$17,3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$17,3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IF($A102="","",IF(VLOOKUP($A102,Spiele!$A$2:$D$17,3,FALSE)=$B102,"H","G"))</f>
        <v>G</v>
      </c>
      <c r="D102" s="17" t="str">
        <f>IF($B102="","",IF(VLOOKUP($A102,Spiele!$A$2:$F$17,3,FALSE)=$B102,VLOOKUP($A102,Spiele!$A$2:$F$17,4,FALSE),VLOOKUP($A102,Spiele!$A$2:$F$17,3,FALSE)))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$17,3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$17,3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IF($A103="","",IF(VLOOKUP($A103,Spiele!$A$2:$D$17,3,FALSE)=$B103,"H","G"))</f>
        <v>H</v>
      </c>
      <c r="D103" s="17" t="str">
        <f>IF($B103="","",IF(VLOOKUP($A103,Spiele!$A$2:$F$17,3,FALSE)=$B103,VLOOKUP($A103,Spiele!$A$2:$F$17,4,FALSE),VLOOKUP($A103,Spiele!$A$2:$F$17,3,FALSE)))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$17,3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$17,3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IF($A104="","",IF(VLOOKUP($A104,Spiele!$A$2:$D$17,3,FALSE)=$B104,"H","G"))</f>
        <v>G</v>
      </c>
      <c r="D104" s="17" t="str">
        <f>IF($B104="","",IF(VLOOKUP($A104,Spiele!$A$2:$F$17,3,FALSE)=$B104,VLOOKUP($A104,Spiele!$A$2:$F$17,4,FALSE),VLOOKUP($A104,Spiele!$A$2:$F$17,3,FALSE)))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$17,3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$17,3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IF($A105="","",IF(VLOOKUP($A105,Spiele!$A$2:$D$17,3,FALSE)=$B105,"H","G"))</f>
        <v>G</v>
      </c>
      <c r="D105" s="17" t="str">
        <f>IF($B105="","",IF(VLOOKUP($A105,Spiele!$A$2:$F$17,3,FALSE)=$B105,VLOOKUP($A105,Spiele!$A$2:$F$17,4,FALSE),VLOOKUP($A105,Spiele!$A$2:$F$17,3,FALSE)))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$17,3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$17,3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IF($A106="","",IF(VLOOKUP($A106,Spiele!$A$2:$D$17,3,FALSE)=$B106,"H","G"))</f>
        <v>H</v>
      </c>
      <c r="D106" s="17" t="str">
        <f>IF($B106="","",IF(VLOOKUP($A106,Spiele!$A$2:$F$17,3,FALSE)=$B106,VLOOKUP($A106,Spiele!$A$2:$F$17,4,FALSE),VLOOKUP($A106,Spiele!$A$2:$F$17,3,FALSE)))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$17,3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$17,3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IF($A107="","",IF(VLOOKUP($A107,Spiele!$A$2:$D$17,3,FALSE)=$B107,"H","G"))</f>
        <v>G</v>
      </c>
      <c r="D107" s="17" t="str">
        <f>IF($B107="","",IF(VLOOKUP($A107,Spiele!$A$2:$F$17,3,FALSE)=$B107,VLOOKUP($A107,Spiele!$A$2:$F$17,4,FALSE),VLOOKUP($A107,Spiele!$A$2:$F$17,3,FALSE)))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$17,3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$17,3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IF($A108="","",IF(VLOOKUP($A108,Spiele!$A$2:$D$17,3,FALSE)=$B108,"H","G"))</f>
        <v>H</v>
      </c>
      <c r="D108" s="17" t="str">
        <f>IF($B108="","",IF(VLOOKUP($A108,Spiele!$A$2:$F$17,3,FALSE)=$B108,VLOOKUP($A108,Spiele!$A$2:$F$17,4,FALSE),VLOOKUP($A108,Spiele!$A$2:$F$17,3,FALSE)))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$17,3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$17,3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IF($A109="","",IF(VLOOKUP($A109,Spiele!$A$2:$D$17,3,FALSE)=$B109,"H","G"))</f>
        <v>H</v>
      </c>
      <c r="D109" s="17" t="str">
        <f>IF($B109="","",IF(VLOOKUP($A109,Spiele!$A$2:$F$17,3,FALSE)=$B109,VLOOKUP($A109,Spiele!$A$2:$F$17,4,FALSE),VLOOKUP($A109,Spiele!$A$2:$F$17,3,FALSE)))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$17,3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$17,3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IF($A110="","",IF(VLOOKUP($A110,Spiele!$A$2:$D$17,3,FALSE)=$B110,"H","G"))</f>
        <v>G</v>
      </c>
      <c r="D110" s="17" t="str">
        <f>IF($B110="","",IF(VLOOKUP($A110,Spiele!$A$2:$F$17,3,FALSE)=$B110,VLOOKUP($A110,Spiele!$A$2:$F$17,4,FALSE),VLOOKUP($A110,Spiele!$A$2:$F$17,3,FALSE)))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$17,3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$17,3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IF($A111="","",IF(VLOOKUP($A111,Spiele!$A$2:$D$17,3,FALSE)=$B111,"H","G"))</f>
        <v>H</v>
      </c>
      <c r="D111" s="17" t="str">
        <f>IF($B111="","",IF(VLOOKUP($A111,Spiele!$A$2:$F$17,3,FALSE)=$B111,VLOOKUP($A111,Spiele!$A$2:$F$17,4,FALSE),VLOOKUP($A111,Spiele!$A$2:$F$17,3,FALSE)))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$17,3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$17,3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IF($A112="","",IF(VLOOKUP($A112,Spiele!$A$2:$D$17,3,FALSE)=$B112,"H","G"))</f>
        <v>H</v>
      </c>
      <c r="D112" s="17" t="str">
        <f>IF($B112="","",IF(VLOOKUP($A112,Spiele!$A$2:$F$17,3,FALSE)=$B112,VLOOKUP($A112,Spiele!$A$2:$F$17,4,FALSE),VLOOKUP($A112,Spiele!$A$2:$F$17,3,FALSE)))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$17,3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$17,3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IF($A113="","",IF(VLOOKUP($A113,Spiele!$A$2:$D$17,3,FALSE)=$B113,"H","G"))</f>
        <v>H</v>
      </c>
      <c r="D113" s="17" t="str">
        <f>IF($B113="","",IF(VLOOKUP($A113,Spiele!$A$2:$F$17,3,FALSE)=$B113,VLOOKUP($A113,Spiele!$A$2:$F$17,4,FALSE),VLOOKUP($A113,Spiele!$A$2:$F$17,3,FALSE)))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$17,3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$17,3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IF($A114="","",IF(VLOOKUP($A114,Spiele!$A$2:$D$17,3,FALSE)=$B114,"H","G"))</f>
        <v>H</v>
      </c>
      <c r="D114" s="17" t="str">
        <f>IF($B114="","",IF(VLOOKUP($A114,Spiele!$A$2:$F$17,3,FALSE)=$B114,VLOOKUP($A114,Spiele!$A$2:$F$17,4,FALSE),VLOOKUP($A114,Spiele!$A$2:$F$17,3,FALSE)))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$17,3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$17,3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IF($A115="","",IF(VLOOKUP($A115,Spiele!$A$2:$D$17,3,FALSE)=$B115,"H","G"))</f>
        <v>H</v>
      </c>
      <c r="D115" s="17" t="str">
        <f>IF($B115="","",IF(VLOOKUP($A115,Spiele!$A$2:$F$17,3,FALSE)=$B115,VLOOKUP($A115,Spiele!$A$2:$F$17,4,FALSE),VLOOKUP($A115,Spiele!$A$2:$F$17,3,FALSE)))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$17,3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$17,3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IF($A116="","",IF(VLOOKUP($A116,Spiele!$A$2:$D$17,3,FALSE)=$B116,"H","G"))</f>
        <v>G</v>
      </c>
      <c r="D116" s="17" t="str">
        <f>IF($B116="","",IF(VLOOKUP($A116,Spiele!$A$2:$F$17,3,FALSE)=$B116,VLOOKUP($A116,Spiele!$A$2:$F$17,4,FALSE),VLOOKUP($A116,Spiele!$A$2:$F$17,3,FALSE)))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$17,3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$17,3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IF($A117="","",IF(VLOOKUP($A117,Spiele!$A$2:$D$17,3,FALSE)=$B117,"H","G"))</f>
        <v>G</v>
      </c>
      <c r="D117" s="17" t="str">
        <f>IF($B117="","",IF(VLOOKUP($A117,Spiele!$A$2:$F$17,3,FALSE)=$B117,VLOOKUP($A117,Spiele!$A$2:$F$17,4,FALSE),VLOOKUP($A117,Spiele!$A$2:$F$17,3,FALSE)))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$17,3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$17,3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IF($A118="","",IF(VLOOKUP($A118,Spiele!$A$2:$D$17,3,FALSE)=$B118,"H","G"))</f>
        <v>H</v>
      </c>
      <c r="D118" s="17" t="str">
        <f>IF($B118="","",IF(VLOOKUP($A118,Spiele!$A$2:$F$17,3,FALSE)=$B118,VLOOKUP($A118,Spiele!$A$2:$F$17,4,FALSE),VLOOKUP($A118,Spiele!$A$2:$F$17,3,FALSE)))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$17,3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$17,3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IF($A119="","",IF(VLOOKUP($A119,Spiele!$A$2:$D$17,3,FALSE)=$B119,"H","G"))</f>
        <v>H</v>
      </c>
      <c r="D119" s="17" t="str">
        <f>IF($B119="","",IF(VLOOKUP($A119,Spiele!$A$2:$F$17,3,FALSE)=$B119,VLOOKUP($A119,Spiele!$A$2:$F$17,4,FALSE),VLOOKUP($A119,Spiele!$A$2:$F$17,3,FALSE)))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$17,3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$17,3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IF($A120="","",IF(VLOOKUP($A120,Spiele!$A$2:$D$17,3,FALSE)=$B120,"H","G"))</f>
        <v>H</v>
      </c>
      <c r="D120" s="17" t="str">
        <f>IF($B120="","",IF(VLOOKUP($A120,Spiele!$A$2:$F$17,3,FALSE)=$B120,VLOOKUP($A120,Spiele!$A$2:$F$17,4,FALSE),VLOOKUP($A120,Spiele!$A$2:$F$17,3,FALSE)))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$17,3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$17,3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IF($A121="","",IF(VLOOKUP($A121,Spiele!$A$2:$D$17,3,FALSE)=$B121,"H","G"))</f>
        <v>H</v>
      </c>
      <c r="D121" s="17" t="str">
        <f>IF($B121="","",IF(VLOOKUP($A121,Spiele!$A$2:$F$17,3,FALSE)=$B121,VLOOKUP($A121,Spiele!$A$2:$F$17,4,FALSE),VLOOKUP($A121,Spiele!$A$2:$F$17,3,FALSE)))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$17,3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$17,3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IF($A122="","",IF(VLOOKUP($A122,Spiele!$A$2:$D$17,3,FALSE)=$B122,"H","G"))</f>
        <v>G</v>
      </c>
      <c r="D122" s="17" t="str">
        <f>IF($B122="","",IF(VLOOKUP($A122,Spiele!$A$2:$F$17,3,FALSE)=$B122,VLOOKUP($A122,Spiele!$A$2:$F$17,4,FALSE),VLOOKUP($A122,Spiele!$A$2:$F$17,3,FALSE)))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$17,3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$17,3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IF($A123="","",IF(VLOOKUP($A123,Spiele!$A$2:$D$17,3,FALSE)=$B123,"H","G"))</f>
        <v>H</v>
      </c>
      <c r="D123" s="17" t="str">
        <f>IF($B123="","",IF(VLOOKUP($A123,Spiele!$A$2:$F$17,3,FALSE)=$B123,VLOOKUP($A123,Spiele!$A$2:$F$17,4,FALSE),VLOOKUP($A123,Spiele!$A$2:$F$17,3,FALSE)))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$17,3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$17,3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IF($A124="","",IF(VLOOKUP($A124,Spiele!$A$2:$D$17,3,FALSE)=$B124,"H","G"))</f>
        <v>H</v>
      </c>
      <c r="D124" s="17" t="str">
        <f>IF($B124="","",IF(VLOOKUP($A124,Spiele!$A$2:$F$17,3,FALSE)=$B124,VLOOKUP($A124,Spiele!$A$2:$F$17,4,FALSE),VLOOKUP($A124,Spiele!$A$2:$F$17,3,FALSE)))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$17,3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$17,3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IF($A125="","",IF(VLOOKUP($A125,Spiele!$A$2:$D$17,3,FALSE)=$B125,"H","G"))</f>
        <v>G</v>
      </c>
      <c r="D125" s="17" t="str">
        <f>IF($B125="","",IF(VLOOKUP($A125,Spiele!$A$2:$F$17,3,FALSE)=$B125,VLOOKUP($A125,Spiele!$A$2:$F$17,4,FALSE),VLOOKUP($A125,Spiele!$A$2:$F$17,3,FALSE)))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$17,3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$17,3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IF($A126="","",IF(VLOOKUP($A126,Spiele!$A$2:$D$17,3,FALSE)=$B126,"H","G"))</f>
        <v>G</v>
      </c>
      <c r="D126" s="17" t="str">
        <f>IF($B126="","",IF(VLOOKUP($A126,Spiele!$A$2:$F$17,3,FALSE)=$B126,VLOOKUP($A126,Spiele!$A$2:$F$17,4,FALSE),VLOOKUP($A126,Spiele!$A$2:$F$17,3,FALSE)))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$17,3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$17,3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IF($A127="","",IF(VLOOKUP($A127,Spiele!$A$2:$D$17,3,FALSE)=$B127,"H","G"))</f>
        <v>H</v>
      </c>
      <c r="D127" s="17" t="str">
        <f>IF($B127="","",IF(VLOOKUP($A127,Spiele!$A$2:$F$17,3,FALSE)=$B127,VLOOKUP($A127,Spiele!$A$2:$F$17,4,FALSE),VLOOKUP($A127,Spiele!$A$2:$F$17,3,FALSE)))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$17,3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$17,3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IF($A128="","",IF(VLOOKUP($A128,Spiele!$A$2:$D$17,3,FALSE)=$B128,"H","G"))</f>
        <v>H</v>
      </c>
      <c r="D128" s="17" t="str">
        <f>IF($B128="","",IF(VLOOKUP($A128,Spiele!$A$2:$F$17,3,FALSE)=$B128,VLOOKUP($A128,Spiele!$A$2:$F$17,4,FALSE),VLOOKUP($A128,Spiele!$A$2:$F$17,3,FALSE)))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$17,3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$17,3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IF($A129="","",IF(VLOOKUP($A129,Spiele!$A$2:$D$17,3,FALSE)=$B129,"H","G"))</f>
        <v>G</v>
      </c>
      <c r="D129" s="17" t="str">
        <f>IF($B129="","",IF(VLOOKUP($A129,Spiele!$A$2:$F$17,3,FALSE)=$B129,VLOOKUP($A129,Spiele!$A$2:$F$17,4,FALSE),VLOOKUP($A129,Spiele!$A$2:$F$17,3,FALSE)))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$17,3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$17,3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IF($A130="","",IF(VLOOKUP($A130,Spiele!$A$2:$D$17,3,FALSE)=$B130,"H","G"))</f>
        <v>H</v>
      </c>
      <c r="D130" s="17" t="str">
        <f>IF($B130="","",IF(VLOOKUP($A130,Spiele!$A$2:$F$17,3,FALSE)=$B130,VLOOKUP($A130,Spiele!$A$2:$F$17,4,FALSE),VLOOKUP($A130,Spiele!$A$2:$F$17,3,FALSE)))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$17,3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$17,3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IF($A131="","",IF(VLOOKUP($A131,Spiele!$A$2:$D$17,3,FALSE)=$B131,"H","G"))</f>
        <v>H</v>
      </c>
      <c r="D131" s="17" t="str">
        <f>IF($B131="","",IF(VLOOKUP($A131,Spiele!$A$2:$F$17,3,FALSE)=$B131,VLOOKUP($A131,Spiele!$A$2:$F$17,4,FALSE),VLOOKUP($A131,Spiele!$A$2:$F$17,3,FALSE)))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$17,3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$17,3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IF($A132="","",IF(VLOOKUP($A132,Spiele!$A$2:$D$17,3,FALSE)=$B132,"H","G"))</f>
        <v>H</v>
      </c>
      <c r="D132" s="17" t="str">
        <f>IF($B132="","",IF(VLOOKUP($A132,Spiele!$A$2:$F$17,3,FALSE)=$B132,VLOOKUP($A132,Spiele!$A$2:$F$17,4,FALSE),VLOOKUP($A132,Spiele!$A$2:$F$17,3,FALSE)))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$17,3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$17,3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IF($A133="","",IF(VLOOKUP($A133,Spiele!$A$2:$D$17,3,FALSE)=$B133,"H","G"))</f>
        <v>H</v>
      </c>
      <c r="D133" s="17" t="str">
        <f>IF($B133="","",IF(VLOOKUP($A133,Spiele!$A$2:$F$17,3,FALSE)=$B133,VLOOKUP($A133,Spiele!$A$2:$F$17,4,FALSE),VLOOKUP($A133,Spiele!$A$2:$F$17,3,FALSE)))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$17,3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$17,3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IF($A134="","",IF(VLOOKUP($A134,Spiele!$A$2:$D$17,3,FALSE)=$B134,"H","G"))</f>
        <v>G</v>
      </c>
      <c r="D134" s="17" t="str">
        <f>IF($B134="","",IF(VLOOKUP($A134,Spiele!$A$2:$F$17,3,FALSE)=$B134,VLOOKUP($A134,Spiele!$A$2:$F$17,4,FALSE),VLOOKUP($A134,Spiele!$A$2:$F$17,3,FALSE)))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$17,3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$17,3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IF($A135="","",IF(VLOOKUP($A135,Spiele!$A$2:$D$17,3,FALSE)=$B135,"H","G"))</f>
        <v>H</v>
      </c>
      <c r="D135" s="17" t="str">
        <f>IF($B135="","",IF(VLOOKUP($A135,Spiele!$A$2:$F$17,3,FALSE)=$B135,VLOOKUP($A135,Spiele!$A$2:$F$17,4,FALSE),VLOOKUP($A135,Spiele!$A$2:$F$17,3,FALSE)))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$17,3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$17,3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IF($A136="","",IF(VLOOKUP($A136,Spiele!$A$2:$D$17,3,FALSE)=$B136,"H","G"))</f>
        <v>H</v>
      </c>
      <c r="D136" s="17" t="str">
        <f>IF($B136="","",IF(VLOOKUP($A136,Spiele!$A$2:$F$17,3,FALSE)=$B136,VLOOKUP($A136,Spiele!$A$2:$F$17,4,FALSE),VLOOKUP($A136,Spiele!$A$2:$F$17,3,FALSE)))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$17,3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$17,3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IF($A137="","",IF(VLOOKUP($A137,Spiele!$A$2:$D$17,3,FALSE)=$B137,"H","G"))</f>
        <v>G</v>
      </c>
      <c r="D137" s="17" t="str">
        <f>IF($B137="","",IF(VLOOKUP($A137,Spiele!$A$2:$F$17,3,FALSE)=$B137,VLOOKUP($A137,Spiele!$A$2:$F$17,4,FALSE),VLOOKUP($A137,Spiele!$A$2:$F$17,3,FALSE)))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$17,3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$17,3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IF($A138="","",IF(VLOOKUP($A138,Spiele!$A$2:$D$17,3,FALSE)=$B138,"H","G"))</f>
        <v>H</v>
      </c>
      <c r="D138" s="17" t="str">
        <f>IF($B138="","",IF(VLOOKUP($A138,Spiele!$A$2:$F$17,3,FALSE)=$B138,VLOOKUP($A138,Spiele!$A$2:$F$17,4,FALSE),VLOOKUP($A138,Spiele!$A$2:$F$17,3,FALSE)))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$17,3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$17,3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162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IF($A139="","",IF(VLOOKUP($A139,Spiele!$A$2:$D$17,3,FALSE)=$B139,"H","G"))</f>
        <v>G</v>
      </c>
      <c r="D139" s="17" t="str">
        <f>IF($B139="","",IF(VLOOKUP($A139,Spiele!$A$2:$F$17,3,FALSE)=$B139,VLOOKUP($A139,Spiele!$A$2:$F$17,4,FALSE),VLOOKUP($A139,Spiele!$A$2:$F$17,3,FALSE)))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$17,3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$17,3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IF($A140="","",IF(VLOOKUP($A140,Spiele!$A$2:$D$17,3,FALSE)=$B140,"H","G"))</f>
        <v>G</v>
      </c>
      <c r="D140" s="17" t="str">
        <f>IF($B140="","",IF(VLOOKUP($A140,Spiele!$A$2:$F$17,3,FALSE)=$B140,VLOOKUP($A140,Spiele!$A$2:$F$17,4,FALSE),VLOOKUP($A140,Spiele!$A$2:$F$17,3,FALSE)))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$17,3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$17,3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IF($A141="","",IF(VLOOKUP($A141,Spiele!$A$2:$D$17,3,FALSE)=$B141,"H","G"))</f>
        <v>G</v>
      </c>
      <c r="D141" s="17" t="str">
        <f>IF($B141="","",IF(VLOOKUP($A141,Spiele!$A$2:$F$17,3,FALSE)=$B141,VLOOKUP($A141,Spiele!$A$2:$F$17,4,FALSE),VLOOKUP($A141,Spiele!$A$2:$F$17,3,FALSE)))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$17,3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$17,3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IF($A142="","",IF(VLOOKUP($A142,Spiele!$A$2:$D$17,3,FALSE)=$B142,"H","G"))</f>
        <v>H</v>
      </c>
      <c r="D142" s="17" t="str">
        <f>IF($B142="","",IF(VLOOKUP($A142,Spiele!$A$2:$F$17,3,FALSE)=$B142,VLOOKUP($A142,Spiele!$A$2:$F$17,4,FALSE),VLOOKUP($A142,Spiele!$A$2:$F$17,3,FALSE)))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$17,3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$17,3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IF($A143="","",IF(VLOOKUP($A143,Spiele!$A$2:$D$17,3,FALSE)=$B143,"H","G"))</f>
        <v>H</v>
      </c>
      <c r="D143" s="17" t="str">
        <f>IF($B143="","",IF(VLOOKUP($A143,Spiele!$A$2:$F$17,3,FALSE)=$B143,VLOOKUP($A143,Spiele!$A$2:$F$17,4,FALSE),VLOOKUP($A143,Spiele!$A$2:$F$17,3,FALSE)))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$17,3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$17,3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IF($A144="","",IF(VLOOKUP($A144,Spiele!$A$2:$D$17,3,FALSE)=$B144,"H","G"))</f>
        <v>H</v>
      </c>
      <c r="D144" s="17" t="str">
        <f>IF($B144="","",IF(VLOOKUP($A144,Spiele!$A$2:$F$17,3,FALSE)=$B144,VLOOKUP($A144,Spiele!$A$2:$F$17,4,FALSE),VLOOKUP($A144,Spiele!$A$2:$F$17,3,FALSE)))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$17,3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$17,3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IF($A145="","",IF(VLOOKUP($A145,Spiele!$A$2:$D$17,3,FALSE)=$B145,"H","G"))</f>
        <v>H</v>
      </c>
      <c r="D145" s="17" t="str">
        <f>IF($B145="","",IF(VLOOKUP($A145,Spiele!$A$2:$F$17,3,FALSE)=$B145,VLOOKUP($A145,Spiele!$A$2:$F$17,4,FALSE),VLOOKUP($A145,Spiele!$A$2:$F$17,3,FALSE)))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$17,3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$17,3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IF($A146="","",IF(VLOOKUP($A146,Spiele!$A$2:$D$17,3,FALSE)=$B146,"H","G"))</f>
        <v>G</v>
      </c>
      <c r="D146" s="17" t="str">
        <f>IF($B146="","",IF(VLOOKUP($A146,Spiele!$A$2:$F$17,3,FALSE)=$B146,VLOOKUP($A146,Spiele!$A$2:$F$17,4,FALSE),VLOOKUP($A146,Spiele!$A$2:$F$17,3,FALSE)))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$17,3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$17,3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IF($A147="","",IF(VLOOKUP($A147,Spiele!$A$2:$D$17,3,FALSE)=$B147,"H","G"))</f>
        <v>H</v>
      </c>
      <c r="D147" s="17" t="str">
        <f>IF($B147="","",IF(VLOOKUP($A147,Spiele!$A$2:$F$17,3,FALSE)=$B147,VLOOKUP($A147,Spiele!$A$2:$F$17,4,FALSE),VLOOKUP($A147,Spiele!$A$2:$F$17,3,FALSE)))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$17,3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$17,3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IF($A148="","",IF(VLOOKUP($A148,Spiele!$A$2:$D$17,3,FALSE)=$B148,"H","G"))</f>
        <v>G</v>
      </c>
      <c r="D148" s="17" t="str">
        <f>IF($B148="","",IF(VLOOKUP($A148,Spiele!$A$2:$F$17,3,FALSE)=$B148,VLOOKUP($A148,Spiele!$A$2:$F$17,4,FALSE),VLOOKUP($A148,Spiele!$A$2:$F$17,3,FALSE)))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$17,3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$17,3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IF($A149="","",IF(VLOOKUP($A149,Spiele!$A$2:$D$17,3,FALSE)=$B149,"H","G"))</f>
        <v>G</v>
      </c>
      <c r="D149" s="17" t="str">
        <f>IF($B149="","",IF(VLOOKUP($A149,Spiele!$A$2:$F$17,3,FALSE)=$B149,VLOOKUP($A149,Spiele!$A$2:$F$17,4,FALSE),VLOOKUP($A149,Spiele!$A$2:$F$17,3,FALSE)))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$17,3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$17,3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IF($A150="","",IF(VLOOKUP($A150,Spiele!$A$2:$D$17,3,FALSE)=$B150,"H","G"))</f>
        <v>H</v>
      </c>
      <c r="D150" s="17" t="str">
        <f>IF($B150="","",IF(VLOOKUP($A150,Spiele!$A$2:$F$17,3,FALSE)=$B150,VLOOKUP($A150,Spiele!$A$2:$F$17,4,FALSE),VLOOKUP($A150,Spiele!$A$2:$F$17,3,FALSE)))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$17,3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$17,3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IF($A151="","",IF(VLOOKUP($A151,Spiele!$A$2:$D$17,3,FALSE)=$B151,"H","G"))</f>
        <v>G</v>
      </c>
      <c r="D151" s="17" t="str">
        <f>IF($B151="","",IF(VLOOKUP($A151,Spiele!$A$2:$F$17,3,FALSE)=$B151,VLOOKUP($A151,Spiele!$A$2:$F$17,4,FALSE),VLOOKUP($A151,Spiele!$A$2:$F$17,3,FALSE)))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$17,3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$17,3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IF($A152="","",IF(VLOOKUP($A152,Spiele!$A$2:$D$17,3,FALSE)=$B152,"H","G"))</f>
        <v>G</v>
      </c>
      <c r="D152" s="17" t="str">
        <f>IF($B152="","",IF(VLOOKUP($A152,Spiele!$A$2:$F$17,3,FALSE)=$B152,VLOOKUP($A152,Spiele!$A$2:$F$17,4,FALSE),VLOOKUP($A152,Spiele!$A$2:$F$17,3,FALSE)))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$17,3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$17,3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IF($A153="","",IF(VLOOKUP($A153,Spiele!$A$2:$D$17,3,FALSE)=$B153,"H","G"))</f>
        <v>H</v>
      </c>
      <c r="D153" s="17" t="str">
        <f>IF($B153="","",IF(VLOOKUP($A153,Spiele!$A$2:$F$17,3,FALSE)=$B153,VLOOKUP($A153,Spiele!$A$2:$F$17,4,FALSE),VLOOKUP($A153,Spiele!$A$2:$F$17,3,FALSE)))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$17,3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$17,3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IF($A154="","",IF(VLOOKUP($A154,Spiele!$A$2:$D$17,3,FALSE)=$B154,"H","G"))</f>
        <v>H</v>
      </c>
      <c r="D154" s="17" t="str">
        <f>IF($B154="","",IF(VLOOKUP($A154,Spiele!$A$2:$F$17,3,FALSE)=$B154,VLOOKUP($A154,Spiele!$A$2:$F$17,4,FALSE),VLOOKUP($A154,Spiele!$A$2:$F$17,3,FALSE)))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$17,3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$17,3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IF($A155="","",IF(VLOOKUP($A155,Spiele!$A$2:$D$17,3,FALSE)=$B155,"H","G"))</f>
        <v>H</v>
      </c>
      <c r="D155" s="17" t="str">
        <f>IF($B155="","",IF(VLOOKUP($A155,Spiele!$A$2:$F$17,3,FALSE)=$B155,VLOOKUP($A155,Spiele!$A$2:$F$17,4,FALSE),VLOOKUP($A155,Spiele!$A$2:$F$17,3,FALSE)))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$17,3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$17,3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IF($A156="","",IF(VLOOKUP($A156,Spiele!$A$2:$D$17,3,FALSE)=$B156,"H","G"))</f>
        <v>H</v>
      </c>
      <c r="D156" s="17" t="str">
        <f>IF($B156="","",IF(VLOOKUP($A156,Spiele!$A$2:$F$17,3,FALSE)=$B156,VLOOKUP($A156,Spiele!$A$2:$F$17,4,FALSE),VLOOKUP($A156,Spiele!$A$2:$F$17,3,FALSE)))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$17,3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$17,3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IF($A157="","",IF(VLOOKUP($A157,Spiele!$A$2:$D$17,3,FALSE)=$B157,"H","G"))</f>
        <v>H</v>
      </c>
      <c r="D157" s="17" t="str">
        <f>IF($B157="","",IF(VLOOKUP($A157,Spiele!$A$2:$F$17,3,FALSE)=$B157,VLOOKUP($A157,Spiele!$A$2:$F$17,4,FALSE),VLOOKUP($A157,Spiele!$A$2:$F$17,3,FALSE)))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$17,3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$17,3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IF($A158="","",IF(VLOOKUP($A158,Spiele!$A$2:$D$17,3,FALSE)=$B158,"H","G"))</f>
        <v>H</v>
      </c>
      <c r="D158" s="17" t="str">
        <f>IF($B158="","",IF(VLOOKUP($A158,Spiele!$A$2:$F$17,3,FALSE)=$B158,VLOOKUP($A158,Spiele!$A$2:$F$17,4,FALSE),VLOOKUP($A158,Spiele!$A$2:$F$17,3,FALSE)))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$17,3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$17,3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IF($A159="","",IF(VLOOKUP($A159,Spiele!$A$2:$D$17,3,FALSE)=$B159,"H","G"))</f>
        <v>H</v>
      </c>
      <c r="D159" s="17" t="str">
        <f>IF($B159="","",IF(VLOOKUP($A159,Spiele!$A$2:$F$17,3,FALSE)=$B159,VLOOKUP($A159,Spiele!$A$2:$F$17,4,FALSE),VLOOKUP($A159,Spiele!$A$2:$F$17,3,FALSE)))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$17,3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$17,3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IF($A160="","",IF(VLOOKUP($A160,Spiele!$A$2:$D$17,3,FALSE)=$B160,"H","G"))</f>
        <v>H</v>
      </c>
      <c r="D160" s="17" t="str">
        <f>IF($B160="","",IF(VLOOKUP($A160,Spiele!$A$2:$F$17,3,FALSE)=$B160,VLOOKUP($A160,Spiele!$A$2:$F$17,4,FALSE),VLOOKUP($A160,Spiele!$A$2:$F$17,3,FALSE)))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$17,3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$17,3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IF($A161="","",IF(VLOOKUP($A161,Spiele!$A$2:$D$17,3,FALSE)=$B161,"H","G"))</f>
        <v>H</v>
      </c>
      <c r="D161" s="17" t="str">
        <f>IF($B161="","",IF(VLOOKUP($A161,Spiele!$A$2:$F$17,3,FALSE)=$B161,VLOOKUP($A161,Spiele!$A$2:$F$17,4,FALSE),VLOOKUP($A161,Spiele!$A$2:$F$17,3,FALSE)))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$17,3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$17,3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IF($A162="","",IF(VLOOKUP($A162,Spiele!$A$2:$D$17,3,FALSE)=$B162,"H","G"))</f>
        <v>H</v>
      </c>
      <c r="D162" s="17" t="str">
        <f>IF($B162="","",IF(VLOOKUP($A162,Spiele!$A$2:$F$17,3,FALSE)=$B162,VLOOKUP($A162,Spiele!$A$2:$F$17,4,FALSE),VLOOKUP($A162,Spiele!$A$2:$F$17,3,FALSE)))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$17,3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$17,3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IF($A163="","",IF(VLOOKUP($A163,Spiele!$A$2:$D$17,3,FALSE)=$B163,"H","G"))</f>
        <v>H</v>
      </c>
      <c r="D163" s="17" t="str">
        <f>IF($B163="","",IF(VLOOKUP($A163,Spiele!$A$2:$F$17,3,FALSE)=$B163,VLOOKUP($A163,Spiele!$A$2:$F$17,4,FALSE),VLOOKUP($A163,Spiele!$A$2:$F$17,3,FALSE)))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$17,3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$17,3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IF($A164="","",IF(VLOOKUP($A164,Spiele!$A$2:$D$17,3,FALSE)=$B164,"H","G"))</f>
        <v>H</v>
      </c>
      <c r="D164" s="17" t="str">
        <f>IF($B164="","",IF(VLOOKUP($A164,Spiele!$A$2:$F$17,3,FALSE)=$B164,VLOOKUP($A164,Spiele!$A$2:$F$17,4,FALSE),VLOOKUP($A164,Spiele!$A$2:$F$17,3,FALSE)))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$17,3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$17,3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IF($A165="","",IF(VLOOKUP($A165,Spiele!$A$2:$D$17,3,FALSE)=$B165,"H","G"))</f>
        <v>H</v>
      </c>
      <c r="D165" s="17" t="str">
        <f>IF($B165="","",IF(VLOOKUP($A165,Spiele!$A$2:$F$17,3,FALSE)=$B165,VLOOKUP($A165,Spiele!$A$2:$F$17,4,FALSE),VLOOKUP($A165,Spiele!$A$2:$F$17,3,FALSE)))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$17,3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$17,3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IF($A166="","",IF(VLOOKUP($A166,Spiele!$A$2:$D$17,3,FALSE)=$B166,"H","G"))</f>
        <v>G</v>
      </c>
      <c r="D166" s="17" t="str">
        <f>IF($B166="","",IF(VLOOKUP($A166,Spiele!$A$2:$F$17,3,FALSE)=$B166,VLOOKUP($A166,Spiele!$A$2:$F$17,4,FALSE),VLOOKUP($A166,Spiele!$A$2:$F$17,3,FALSE)))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$17,3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$17,3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IF($A167="","",IF(VLOOKUP($A167,Spiele!$A$2:$D$17,3,FALSE)=$B167,"H","G"))</f>
        <v>H</v>
      </c>
      <c r="D167" s="17" t="str">
        <f>IF($B167="","",IF(VLOOKUP($A167,Spiele!$A$2:$F$17,3,FALSE)=$B167,VLOOKUP($A167,Spiele!$A$2:$F$17,4,FALSE),VLOOKUP($A167,Spiele!$A$2:$F$17,3,FALSE)))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$17,3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$17,3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IF($A168="","",IF(VLOOKUP($A168,Spiele!$A$2:$D$17,3,FALSE)=$B168,"H","G"))</f>
        <v>H</v>
      </c>
      <c r="D168" s="17" t="str">
        <f>IF($B168="","",IF(VLOOKUP($A168,Spiele!$A$2:$F$17,3,FALSE)=$B168,VLOOKUP($A168,Spiele!$A$2:$F$17,4,FALSE),VLOOKUP($A168,Spiele!$A$2:$F$17,3,FALSE)))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$17,3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$17,3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IF($A169="","",IF(VLOOKUP($A169,Spiele!$A$2:$D$17,3,FALSE)=$B169,"H","G"))</f>
        <v>G</v>
      </c>
      <c r="D169" s="17" t="str">
        <f>IF($B169="","",IF(VLOOKUP($A169,Spiele!$A$2:$F$17,3,FALSE)=$B169,VLOOKUP($A169,Spiele!$A$2:$F$17,4,FALSE),VLOOKUP($A169,Spiele!$A$2:$F$17,3,FALSE)))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$17,3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$17,3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IF($A170="","",IF(VLOOKUP($A170,Spiele!$A$2:$D$17,3,FALSE)=$B170,"H","G"))</f>
        <v>G</v>
      </c>
      <c r="D170" s="17" t="str">
        <f>IF($B170="","",IF(VLOOKUP($A170,Spiele!$A$2:$F$17,3,FALSE)=$B170,VLOOKUP($A170,Spiele!$A$2:$F$17,4,FALSE),VLOOKUP($A170,Spiele!$A$2:$F$17,3,FALSE)))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$17,3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$17,3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IF($A171="","",IF(VLOOKUP($A171,Spiele!$A$2:$D$17,3,FALSE)=$B171,"H","G"))</f>
        <v>H</v>
      </c>
      <c r="D171" s="17" t="str">
        <f>IF($B171="","",IF(VLOOKUP($A171,Spiele!$A$2:$F$17,3,FALSE)=$B171,VLOOKUP($A171,Spiele!$A$2:$F$17,4,FALSE),VLOOKUP($A171,Spiele!$A$2:$F$17,3,FALSE)))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$17,3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$17,3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IF($A172="","",IF(VLOOKUP($A172,Spiele!$A$2:$D$17,3,FALSE)=$B172,"H","G"))</f>
        <v>H</v>
      </c>
      <c r="D172" s="17" t="str">
        <f>IF($B172="","",IF(VLOOKUP($A172,Spiele!$A$2:$F$17,3,FALSE)=$B172,VLOOKUP($A172,Spiele!$A$2:$F$17,4,FALSE),VLOOKUP($A172,Spiele!$A$2:$F$17,3,FALSE)))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$17,3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$17,3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IF($A173="","",IF(VLOOKUP($A173,Spiele!$A$2:$D$17,3,FALSE)=$B173,"H","G"))</f>
        <v>G</v>
      </c>
      <c r="D173" s="17" t="str">
        <f>IF($B173="","",IF(VLOOKUP($A173,Spiele!$A$2:$F$17,3,FALSE)=$B173,VLOOKUP($A173,Spiele!$A$2:$F$17,4,FALSE),VLOOKUP($A173,Spiele!$A$2:$F$17,3,FALSE)))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$17,3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$17,3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IF($A174="","",IF(VLOOKUP($A174,Spiele!$A$2:$D$17,3,FALSE)=$B174,"H","G"))</f>
        <v>G</v>
      </c>
      <c r="D174" s="17" t="str">
        <f>IF($B174="","",IF(VLOOKUP($A174,Spiele!$A$2:$F$17,3,FALSE)=$B174,VLOOKUP($A174,Spiele!$A$2:$F$17,4,FALSE),VLOOKUP($A174,Spiele!$A$2:$F$17,3,FALSE)))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$17,3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$17,3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IF($A175="","",IF(VLOOKUP($A175,Spiele!$A$2:$D$17,3,FALSE)=$B175,"H","G"))</f>
        <v>G</v>
      </c>
      <c r="D175" s="17" t="str">
        <f>IF($B175="","",IF(VLOOKUP($A175,Spiele!$A$2:$F$17,3,FALSE)=$B175,VLOOKUP($A175,Spiele!$A$2:$F$17,4,FALSE),VLOOKUP($A175,Spiele!$A$2:$F$17,3,FALSE)))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$17,3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$17,3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IF($A176="","",IF(VLOOKUP($A176,Spiele!$A$2:$D$17,3,FALSE)=$B176,"H","G"))</f>
        <v>H</v>
      </c>
      <c r="D176" s="17" t="str">
        <f>IF($B176="","",IF(VLOOKUP($A176,Spiele!$A$2:$F$17,3,FALSE)=$B176,VLOOKUP($A176,Spiele!$A$2:$F$17,4,FALSE),VLOOKUP($A176,Spiele!$A$2:$F$17,3,FALSE)))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$17,3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$17,3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IF($A177="","",IF(VLOOKUP($A177,Spiele!$A$2:$D$17,3,FALSE)=$B177,"H","G"))</f>
        <v>G</v>
      </c>
      <c r="D177" s="17" t="str">
        <f>IF($B177="","",IF(VLOOKUP($A177,Spiele!$A$2:$F$17,3,FALSE)=$B177,VLOOKUP($A177,Spiele!$A$2:$F$17,4,FALSE),VLOOKUP($A177,Spiele!$A$2:$F$17,3,FALSE)))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$17,3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$17,3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IF($A178="","",IF(VLOOKUP($A178,Spiele!$A$2:$D$17,3,FALSE)=$B178,"H","G"))</f>
        <v>G</v>
      </c>
      <c r="D178" s="17" t="str">
        <f>IF($B178="","",IF(VLOOKUP($A178,Spiele!$A$2:$F$17,3,FALSE)=$B178,VLOOKUP($A178,Spiele!$A$2:$F$17,4,FALSE),VLOOKUP($A178,Spiele!$A$2:$F$17,3,FALSE)))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$17,3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$17,3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IF($A179="","",IF(VLOOKUP($A179,Spiele!$A$2:$D$17,3,FALSE)=$B179,"H","G"))</f>
        <v>H</v>
      </c>
      <c r="D179" s="17" t="str">
        <f>IF($B179="","",IF(VLOOKUP($A179,Spiele!$A$2:$F$17,3,FALSE)=$B179,VLOOKUP($A179,Spiele!$A$2:$F$17,4,FALSE),VLOOKUP($A179,Spiele!$A$2:$F$17,3,FALSE)))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$17,3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$17,3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IF($A180="","",IF(VLOOKUP($A180,Spiele!$A$2:$D$17,3,FALSE)=$B180,"H","G"))</f>
        <v>H</v>
      </c>
      <c r="D180" s="17" t="str">
        <f>IF($B180="","",IF(VLOOKUP($A180,Spiele!$A$2:$F$17,3,FALSE)=$B180,VLOOKUP($A180,Spiele!$A$2:$F$17,4,FALSE),VLOOKUP($A180,Spiele!$A$2:$F$17,3,FALSE)))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$17,3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$17,3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IF($A181="","",IF(VLOOKUP($A181,Spiele!$A$2:$D$17,3,FALSE)=$B181,"H","G"))</f>
        <v>H</v>
      </c>
      <c r="D181" s="17" t="str">
        <f>IF($B181="","",IF(VLOOKUP($A181,Spiele!$A$2:$F$17,3,FALSE)=$B181,VLOOKUP($A181,Spiele!$A$2:$F$17,4,FALSE),VLOOKUP($A181,Spiele!$A$2:$F$17,3,FALSE)))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$17,3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$17,3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IF($A182="","",IF(VLOOKUP($A182,Spiele!$A$2:$D$17,3,FALSE)=$B182,"H","G"))</f>
        <v>G</v>
      </c>
      <c r="D182" s="17" t="str">
        <f>IF($B182="","",IF(VLOOKUP($A182,Spiele!$A$2:$F$17,3,FALSE)=$B182,VLOOKUP($A182,Spiele!$A$2:$F$17,4,FALSE),VLOOKUP($A182,Spiele!$A$2:$F$17,3,FALSE)))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$17,3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$17,3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IF($A183="","",IF(VLOOKUP($A183,Spiele!$A$2:$D$17,3,FALSE)=$B183,"H","G"))</f>
        <v>H</v>
      </c>
      <c r="D183" s="17" t="str">
        <f>IF($B183="","",IF(VLOOKUP($A183,Spiele!$A$2:$F$17,3,FALSE)=$B183,VLOOKUP($A183,Spiele!$A$2:$F$17,4,FALSE),VLOOKUP($A183,Spiele!$A$2:$F$17,3,FALSE)))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$17,3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$17,3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IF($A184="","",IF(VLOOKUP($A184,Spiele!$A$2:$D$17,3,FALSE)=$B184,"H","G"))</f>
        <v>H</v>
      </c>
      <c r="D184" s="17" t="str">
        <f>IF($B184="","",IF(VLOOKUP($A184,Spiele!$A$2:$F$17,3,FALSE)=$B184,VLOOKUP($A184,Spiele!$A$2:$F$17,4,FALSE),VLOOKUP($A184,Spiele!$A$2:$F$17,3,FALSE)))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$17,3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$17,3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IF($A185="","",IF(VLOOKUP($A185,Spiele!$A$2:$D$17,3,FALSE)=$B185,"H","G"))</f>
        <v>G</v>
      </c>
      <c r="D185" s="17" t="str">
        <f>IF($B185="","",IF(VLOOKUP($A185,Spiele!$A$2:$F$17,3,FALSE)=$B185,VLOOKUP($A185,Spiele!$A$2:$F$17,4,FALSE),VLOOKUP($A185,Spiele!$A$2:$F$17,3,FALSE)))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$17,3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$17,3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IF($A186="","",IF(VLOOKUP($A186,Spiele!$A$2:$D$17,3,FALSE)=$B186,"H","G"))</f>
        <v>G</v>
      </c>
      <c r="D186" s="17" t="str">
        <f>IF($B186="","",IF(VLOOKUP($A186,Spiele!$A$2:$F$17,3,FALSE)=$B186,VLOOKUP($A186,Spiele!$A$2:$F$17,4,FALSE),VLOOKUP($A186,Spiele!$A$2:$F$17,3,FALSE)))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$17,3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$17,3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IF($A187="","",IF(VLOOKUP($A187,Spiele!$A$2:$D$17,3,FALSE)=$B187,"H","G"))</f>
        <v>G</v>
      </c>
      <c r="D187" s="17" t="str">
        <f>IF($B187="","",IF(VLOOKUP($A187,Spiele!$A$2:$F$17,3,FALSE)=$B187,VLOOKUP($A187,Spiele!$A$2:$F$17,4,FALSE),VLOOKUP($A187,Spiele!$A$2:$F$17,3,FALSE)))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$17,3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$17,3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IF($A188="","",IF(VLOOKUP($A188,Spiele!$A$2:$D$17,3,FALSE)=$B188,"H","G"))</f>
        <v>G</v>
      </c>
      <c r="D188" s="17" t="str">
        <f>IF($B188="","",IF(VLOOKUP($A188,Spiele!$A$2:$F$17,3,FALSE)=$B188,VLOOKUP($A188,Spiele!$A$2:$F$17,4,FALSE),VLOOKUP($A188,Spiele!$A$2:$F$17,3,FALSE)))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$17,3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$17,3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IF($A189="","",IF(VLOOKUP($A189,Spiele!$A$2:$D$17,3,FALSE)=$B189,"H","G"))</f>
        <v>H</v>
      </c>
      <c r="D189" s="17" t="str">
        <f>IF($B189="","",IF(VLOOKUP($A189,Spiele!$A$2:$F$17,3,FALSE)=$B189,VLOOKUP($A189,Spiele!$A$2:$F$17,4,FALSE),VLOOKUP($A189,Spiele!$A$2:$F$17,3,FALSE)))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$17,3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$17,3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IF($A190="","",IF(VLOOKUP($A190,Spiele!$A$2:$D$17,3,FALSE)=$B190,"H","G"))</f>
        <v>G</v>
      </c>
      <c r="D190" s="17" t="str">
        <f>IF($B190="","",IF(VLOOKUP($A190,Spiele!$A$2:$F$17,3,FALSE)=$B190,VLOOKUP($A190,Spiele!$A$2:$F$17,4,FALSE),VLOOKUP($A190,Spiele!$A$2:$F$17,3,FALSE)))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$17,3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$17,3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IF($A191="","",IF(VLOOKUP($A191,Spiele!$A$2:$D$17,3,FALSE)=$B191,"H","G"))</f>
        <v>H</v>
      </c>
      <c r="D191" s="17" t="str">
        <f>IF($B191="","",IF(VLOOKUP($A191,Spiele!$A$2:$F$17,3,FALSE)=$B191,VLOOKUP($A191,Spiele!$A$2:$F$17,4,FALSE),VLOOKUP($A191,Spiele!$A$2:$F$17,3,FALSE)))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$17,3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$17,3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IF($A192="","",IF(VLOOKUP($A192,Spiele!$A$2:$D$17,3,FALSE)=$B192,"H","G"))</f>
        <v>H</v>
      </c>
      <c r="D192" s="17" t="str">
        <f>IF($B192="","",IF(VLOOKUP($A192,Spiele!$A$2:$F$17,3,FALSE)=$B192,VLOOKUP($A192,Spiele!$A$2:$F$17,4,FALSE),VLOOKUP($A192,Spiele!$A$2:$F$17,3,FALSE)))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$17,3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$17,3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IF($A193="","",IF(VLOOKUP($A193,Spiele!$A$2:$D$17,3,FALSE)=$B193,"H","G"))</f>
        <v>H</v>
      </c>
      <c r="D193" s="17" t="str">
        <f>IF($B193="","",IF(VLOOKUP($A193,Spiele!$A$2:$F$17,3,FALSE)=$B193,VLOOKUP($A193,Spiele!$A$2:$F$17,4,FALSE),VLOOKUP($A193,Spiele!$A$2:$F$17,3,FALSE)))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$17,3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$17,3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IF($A194="","",IF(VLOOKUP($A194,Spiele!$A$2:$D$17,3,FALSE)=$B194,"H","G"))</f>
        <v>G</v>
      </c>
      <c r="D194" s="17" t="str">
        <f>IF($B194="","",IF(VLOOKUP($A194,Spiele!$A$2:$F$17,3,FALSE)=$B194,VLOOKUP($A194,Spiele!$A$2:$F$17,4,FALSE),VLOOKUP($A194,Spiele!$A$2:$F$17,3,FALSE)))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$17,3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$17,3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IF($A195="","",IF(VLOOKUP($A195,Spiele!$A$2:$D$17,3,FALSE)=$B195,"H","G"))</f>
        <v>G</v>
      </c>
      <c r="D195" s="17" t="str">
        <f>IF($B195="","",IF(VLOOKUP($A195,Spiele!$A$2:$F$17,3,FALSE)=$B195,VLOOKUP($A195,Spiele!$A$2:$F$17,4,FALSE),VLOOKUP($A195,Spiele!$A$2:$F$17,3,FALSE)))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$17,3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$17,3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IF($A196="","",IF(VLOOKUP($A196,Spiele!$A$2:$D$17,3,FALSE)=$B196,"H","G"))</f>
        <v>G</v>
      </c>
      <c r="D196" s="17" t="str">
        <f>IF($B196="","",IF(VLOOKUP($A196,Spiele!$A$2:$F$17,3,FALSE)=$B196,VLOOKUP($A196,Spiele!$A$2:$F$17,4,FALSE),VLOOKUP($A196,Spiele!$A$2:$F$17,3,FALSE)))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$17,3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$17,3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IF($A197="","",IF(VLOOKUP($A197,Spiele!$A$2:$D$17,3,FALSE)=$B197,"H","G"))</f>
        <v>G</v>
      </c>
      <c r="D197" s="17" t="str">
        <f>IF($B197="","",IF(VLOOKUP($A197,Spiele!$A$2:$F$17,3,FALSE)=$B197,VLOOKUP($A197,Spiele!$A$2:$F$17,4,FALSE),VLOOKUP($A197,Spiele!$A$2:$F$17,3,FALSE)))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$17,3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$17,3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IF($A198="","",IF(VLOOKUP($A198,Spiele!$A$2:$D$17,3,FALSE)=$B198,"H","G"))</f>
        <v>G</v>
      </c>
      <c r="D198" s="17" t="str">
        <f>IF($B198="","",IF(VLOOKUP($A198,Spiele!$A$2:$F$17,3,FALSE)=$B198,VLOOKUP($A198,Spiele!$A$2:$F$17,4,FALSE),VLOOKUP($A198,Spiele!$A$2:$F$17,3,FALSE)))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$17,3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$17,3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IF($A199="","",IF(VLOOKUP($A199,Spiele!$A$2:$D$17,3,FALSE)=$B199,"H","G"))</f>
        <v>H</v>
      </c>
      <c r="D199" s="17" t="str">
        <f>IF($B199="","",IF(VLOOKUP($A199,Spiele!$A$2:$F$17,3,FALSE)=$B199,VLOOKUP($A199,Spiele!$A$2:$F$17,4,FALSE),VLOOKUP($A199,Spiele!$A$2:$F$17,3,FALSE)))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$17,3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$17,3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IF($A200="","",IF(VLOOKUP($A200,Spiele!$A$2:$D$17,3,FALSE)=$B200,"H","G"))</f>
        <v>H</v>
      </c>
      <c r="D200" s="17" t="str">
        <f>IF($B200="","",IF(VLOOKUP($A200,Spiele!$A$2:$F$17,3,FALSE)=$B200,VLOOKUP($A200,Spiele!$A$2:$F$17,4,FALSE),VLOOKUP($A200,Spiele!$A$2:$F$17,3,FALSE)))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$17,3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$17,3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IF($A201="","",IF(VLOOKUP($A201,Spiele!$A$2:$D$17,3,FALSE)=$B201,"H","G"))</f>
        <v>H</v>
      </c>
      <c r="D201" s="17" t="str">
        <f>IF($B201="","",IF(VLOOKUP($A201,Spiele!$A$2:$F$17,3,FALSE)=$B201,VLOOKUP($A201,Spiele!$A$2:$F$17,4,FALSE),VLOOKUP($A201,Spiele!$A$2:$F$17,3,FALSE)))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$17,3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$17,3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IF($A202="","",IF(VLOOKUP($A202,Spiele!$A$2:$D$17,3,FALSE)=$B202,"H","G"))</f>
        <v>G</v>
      </c>
      <c r="D202" s="17" t="str">
        <f>IF($B202="","",IF(VLOOKUP($A202,Spiele!$A$2:$F$17,3,FALSE)=$B202,VLOOKUP($A202,Spiele!$A$2:$F$17,4,FALSE),VLOOKUP($A202,Spiele!$A$2:$F$17,3,FALSE)))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$17,3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$17,3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IF($A203="","",IF(VLOOKUP($A203,Spiele!$A$2:$D$17,3,FALSE)=$B203,"H","G"))</f>
        <v>G</v>
      </c>
      <c r="D203" s="17" t="str">
        <f>IF($B203="","",IF(VLOOKUP($A203,Spiele!$A$2:$F$17,3,FALSE)=$B203,VLOOKUP($A203,Spiele!$A$2:$F$17,4,FALSE),VLOOKUP($A203,Spiele!$A$2:$F$17,3,FALSE)))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$17,3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$17,3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IF($A204="","",IF(VLOOKUP($A204,Spiele!$A$2:$D$17,3,FALSE)=$B204,"H","G"))</f>
        <v>G</v>
      </c>
      <c r="D204" s="17" t="str">
        <f>IF($B204="","",IF(VLOOKUP($A204,Spiele!$A$2:$F$17,3,FALSE)=$B204,VLOOKUP($A204,Spiele!$A$2:$F$17,4,FALSE),VLOOKUP($A204,Spiele!$A$2:$F$17,3,FALSE)))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$17,3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$17,3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IF($A205="","",IF(VLOOKUP($A205,Spiele!$A$2:$D$17,3,FALSE)=$B205,"H","G"))</f>
        <v>G</v>
      </c>
      <c r="D205" s="17" t="str">
        <f>IF($B205="","",IF(VLOOKUP($A205,Spiele!$A$2:$F$17,3,FALSE)=$B205,VLOOKUP($A205,Spiele!$A$2:$F$17,4,FALSE),VLOOKUP($A205,Spiele!$A$2:$F$17,3,FALSE)))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$17,3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$17,3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IF($A206="","",IF(VLOOKUP($A206,Spiele!$A$2:$D$17,3,FALSE)=$B206,"H","G"))</f>
        <v>G</v>
      </c>
      <c r="D206" s="17" t="str">
        <f>IF($B206="","",IF(VLOOKUP($A206,Spiele!$A$2:$F$17,3,FALSE)=$B206,VLOOKUP($A206,Spiele!$A$2:$F$17,4,FALSE),VLOOKUP($A206,Spiele!$A$2:$F$17,3,FALSE)))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$17,3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$17,3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IF($A207="","",IF(VLOOKUP($A207,Spiele!$A$2:$D$17,3,FALSE)=$B207,"H","G"))</f>
        <v>H</v>
      </c>
      <c r="D207" s="17" t="str">
        <f>IF($B207="","",IF(VLOOKUP($A207,Spiele!$A$2:$F$17,3,FALSE)=$B207,VLOOKUP($A207,Spiele!$A$2:$F$17,4,FALSE),VLOOKUP($A207,Spiele!$A$2:$F$17,3,FALSE)))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$17,3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$17,3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IF($A208="","",IF(VLOOKUP($A208,Spiele!$A$2:$D$17,3,FALSE)=$B208,"H","G"))</f>
        <v>G</v>
      </c>
      <c r="D208" s="17" t="str">
        <f>IF($B208="","",IF(VLOOKUP($A208,Spiele!$A$2:$F$17,3,FALSE)=$B208,VLOOKUP($A208,Spiele!$A$2:$F$17,4,FALSE),VLOOKUP($A208,Spiele!$A$2:$F$17,3,FALSE)))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$17,3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$17,3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IF($A209="","",IF(VLOOKUP($A209,Spiele!$A$2:$D$17,3,FALSE)=$B209,"H","G"))</f>
        <v>H</v>
      </c>
      <c r="D209" s="17" t="str">
        <f>IF($B209="","",IF(VLOOKUP($A209,Spiele!$A$2:$F$17,3,FALSE)=$B209,VLOOKUP($A209,Spiele!$A$2:$F$17,4,FALSE),VLOOKUP($A209,Spiele!$A$2:$F$17,3,FALSE)))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$17,3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$17,3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IF($A210="","",IF(VLOOKUP($A210,Spiele!$A$2:$D$17,3,FALSE)=$B210,"H","G"))</f>
        <v>H</v>
      </c>
      <c r="D210" s="17" t="str">
        <f>IF($B210="","",IF(VLOOKUP($A210,Spiele!$A$2:$F$17,3,FALSE)=$B210,VLOOKUP($A210,Spiele!$A$2:$F$17,4,FALSE),VLOOKUP($A210,Spiele!$A$2:$F$17,3,FALSE)))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$17,3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$17,3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IF($A211="","",IF(VLOOKUP($A211,Spiele!$A$2:$D$17,3,FALSE)=$B211,"H","G"))</f>
        <v>H</v>
      </c>
      <c r="D211" s="17" t="str">
        <f>IF($B211="","",IF(VLOOKUP($A211,Spiele!$A$2:$F$17,3,FALSE)=$B211,VLOOKUP($A211,Spiele!$A$2:$F$17,4,FALSE),VLOOKUP($A211,Spiele!$A$2:$F$17,3,FALSE)))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$17,3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$17,3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IF($A212="","",IF(VLOOKUP($A212,Spiele!$A$2:$D$17,3,FALSE)=$B212,"H","G"))</f>
        <v>G</v>
      </c>
      <c r="D212" s="17" t="str">
        <f>IF($B212="","",IF(VLOOKUP($A212,Spiele!$A$2:$F$17,3,FALSE)=$B212,VLOOKUP($A212,Spiele!$A$2:$F$17,4,FALSE),VLOOKUP($A212,Spiele!$A$2:$F$17,3,FALSE)))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$17,3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$17,3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IF($A213="","",IF(VLOOKUP($A213,Spiele!$A$2:$D$17,3,FALSE)=$B213,"H","G"))</f>
        <v>H</v>
      </c>
      <c r="D213" s="17" t="str">
        <f>IF($B213="","",IF(VLOOKUP($A213,Spiele!$A$2:$F$17,3,FALSE)=$B213,VLOOKUP($A213,Spiele!$A$2:$F$17,4,FALSE),VLOOKUP($A213,Spiele!$A$2:$F$17,3,FALSE)))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$17,3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$17,3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IF($A214="","",IF(VLOOKUP($A214,Spiele!$A$2:$D$17,3,FALSE)=$B214,"H","G"))</f>
        <v>G</v>
      </c>
      <c r="D214" s="17" t="str">
        <f>IF($B214="","",IF(VLOOKUP($A214,Spiele!$A$2:$F$17,3,FALSE)=$B214,VLOOKUP($A214,Spiele!$A$2:$F$17,4,FALSE),VLOOKUP($A214,Spiele!$A$2:$F$17,3,FALSE)))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$17,3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$17,3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IF($A215="","",IF(VLOOKUP($A215,Spiele!$A$2:$D$17,3,FALSE)=$B215,"H","G"))</f>
        <v>G</v>
      </c>
      <c r="D215" s="17" t="str">
        <f>IF($B215="","",IF(VLOOKUP($A215,Spiele!$A$2:$F$17,3,FALSE)=$B215,VLOOKUP($A215,Spiele!$A$2:$F$17,4,FALSE),VLOOKUP($A215,Spiele!$A$2:$F$17,3,FALSE)))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$17,3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$17,3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IF($A216="","",IF(VLOOKUP($A216,Spiele!$A$2:$D$17,3,FALSE)=$B216,"H","G"))</f>
        <v>H</v>
      </c>
      <c r="D216" s="17" t="str">
        <f>IF($B216="","",IF(VLOOKUP($A216,Spiele!$A$2:$F$17,3,FALSE)=$B216,VLOOKUP($A216,Spiele!$A$2:$F$17,4,FALSE),VLOOKUP($A216,Spiele!$A$2:$F$17,3,FALSE)))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$17,3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$17,3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IF($A217="","",IF(VLOOKUP($A217,Spiele!$A$2:$D$17,3,FALSE)=$B217,"H","G"))</f>
        <v>H</v>
      </c>
      <c r="D217" s="17" t="str">
        <f>IF($B217="","",IF(VLOOKUP($A217,Spiele!$A$2:$F$17,3,FALSE)=$B217,VLOOKUP($A217,Spiele!$A$2:$F$17,4,FALSE),VLOOKUP($A217,Spiele!$A$2:$F$17,3,FALSE)))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$17,3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$17,3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IF($A218="","",IF(VLOOKUP($A218,Spiele!$A$2:$D$17,3,FALSE)=$B218,"H","G"))</f>
        <v>H</v>
      </c>
      <c r="D218" s="17" t="str">
        <f>IF($B218="","",IF(VLOOKUP($A218,Spiele!$A$2:$F$17,3,FALSE)=$B218,VLOOKUP($A218,Spiele!$A$2:$F$17,4,FALSE),VLOOKUP($A218,Spiele!$A$2:$F$17,3,FALSE)))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$17,3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$17,3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IF($A219="","",IF(VLOOKUP($A219,Spiele!$A$2:$D$17,3,FALSE)=$B219,"H","G"))</f>
        <v>G</v>
      </c>
      <c r="D219" s="17" t="str">
        <f>IF($B219="","",IF(VLOOKUP($A219,Spiele!$A$2:$F$17,3,FALSE)=$B219,VLOOKUP($A219,Spiele!$A$2:$F$17,4,FALSE),VLOOKUP($A219,Spiele!$A$2:$F$17,3,FALSE)))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$17,3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$17,3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IF($A220="","",IF(VLOOKUP($A220,Spiele!$A$2:$D$17,3,FALSE)=$B220,"H","G"))</f>
        <v>G</v>
      </c>
      <c r="D220" s="17" t="str">
        <f>IF($B220="","",IF(VLOOKUP($A220,Spiele!$A$2:$F$17,3,FALSE)=$B220,VLOOKUP($A220,Spiele!$A$2:$F$17,4,FALSE),VLOOKUP($A220,Spiele!$A$2:$F$17,3,FALSE)))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$17,3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$17,3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IF($A221="","",IF(VLOOKUP($A221,Spiele!$A$2:$D$17,3,FALSE)=$B221,"H","G"))</f>
        <v>G</v>
      </c>
      <c r="D221" s="17" t="str">
        <f>IF($B221="","",IF(VLOOKUP($A221,Spiele!$A$2:$F$17,3,FALSE)=$B221,VLOOKUP($A221,Spiele!$A$2:$F$17,4,FALSE),VLOOKUP($A221,Spiele!$A$2:$F$17,3,FALSE)))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$17,3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$17,3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IF($A222="","",IF(VLOOKUP($A222,Spiele!$A$2:$D$17,3,FALSE)=$B222,"H","G"))</f>
        <v>H</v>
      </c>
      <c r="D222" s="17" t="str">
        <f>IF($B222="","",IF(VLOOKUP($A222,Spiele!$A$2:$F$17,3,FALSE)=$B222,VLOOKUP($A222,Spiele!$A$2:$F$17,4,FALSE),VLOOKUP($A222,Spiele!$A$2:$F$17,3,FALSE)))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$17,3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$17,3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IF($A223="","",IF(VLOOKUP($A223,Spiele!$A$2:$D$17,3,FALSE)=$B223,"H","G"))</f>
        <v>G</v>
      </c>
      <c r="D223" s="17" t="str">
        <f>IF($B223="","",IF(VLOOKUP($A223,Spiele!$A$2:$F$17,3,FALSE)=$B223,VLOOKUP($A223,Spiele!$A$2:$F$17,4,FALSE),VLOOKUP($A223,Spiele!$A$2:$F$17,3,FALSE)))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$17,3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$17,3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IF($A224="","",IF(VLOOKUP($A224,Spiele!$A$2:$D$17,3,FALSE)=$B224,"H","G"))</f>
        <v>G</v>
      </c>
      <c r="D224" s="17" t="str">
        <f>IF($B224="","",IF(VLOOKUP($A224,Spiele!$A$2:$F$17,3,FALSE)=$B224,VLOOKUP($A224,Spiele!$A$2:$F$17,4,FALSE),VLOOKUP($A224,Spiele!$A$2:$F$17,3,FALSE)))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$17,3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$17,3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IF($A225="","",IF(VLOOKUP($A225,Spiele!$A$2:$D$17,3,FALSE)=$B225,"H","G"))</f>
        <v>H</v>
      </c>
      <c r="D225" s="17" t="str">
        <f>IF($B225="","",IF(VLOOKUP($A225,Spiele!$A$2:$F$17,3,FALSE)=$B225,VLOOKUP($A225,Spiele!$A$2:$F$17,4,FALSE),VLOOKUP($A225,Spiele!$A$2:$F$17,3,FALSE)))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$17,3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$17,3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IF($A226="","",IF(VLOOKUP($A226,Spiele!$A$2:$D$17,3,FALSE)=$B226,"H","G"))</f>
        <v>G</v>
      </c>
      <c r="D226" s="17" t="str">
        <f>IF($B226="","",IF(VLOOKUP($A226,Spiele!$A$2:$F$17,3,FALSE)=$B226,VLOOKUP($A226,Spiele!$A$2:$F$17,4,FALSE),VLOOKUP($A226,Spiele!$A$2:$F$17,3,FALSE)))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$17,3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$17,3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IF($A227="","",IF(VLOOKUP($A227,Spiele!$A$2:$D$17,3,FALSE)=$B227,"H","G"))</f>
        <v>G</v>
      </c>
      <c r="D227" s="17" t="str">
        <f>IF($B227="","",IF(VLOOKUP($A227,Spiele!$A$2:$F$17,3,FALSE)=$B227,VLOOKUP($A227,Spiele!$A$2:$F$17,4,FALSE),VLOOKUP($A227,Spiele!$A$2:$F$17,3,FALSE)))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$17,3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$17,3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IF($A228="","",IF(VLOOKUP($A228,Spiele!$A$2:$D$17,3,FALSE)=$B228,"H","G"))</f>
        <v>G</v>
      </c>
      <c r="D228" s="17" t="str">
        <f>IF($B228="","",IF(VLOOKUP($A228,Spiele!$A$2:$F$17,3,FALSE)=$B228,VLOOKUP($A228,Spiele!$A$2:$F$17,4,FALSE),VLOOKUP($A228,Spiele!$A$2:$F$17,3,FALSE)))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$17,3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$17,3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IF($A229="","",IF(VLOOKUP($A229,Spiele!$A$2:$D$17,3,FALSE)=$B229,"H","G"))</f>
        <v>H</v>
      </c>
      <c r="D229" s="17" t="str">
        <f>IF($B229="","",IF(VLOOKUP($A229,Spiele!$A$2:$F$17,3,FALSE)=$B229,VLOOKUP($A229,Spiele!$A$2:$F$17,4,FALSE),VLOOKUP($A229,Spiele!$A$2:$F$17,3,FALSE)))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$17,3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$17,3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IF($A230="","",IF(VLOOKUP($A230,Spiele!$A$2:$D$17,3,FALSE)=$B230,"H","G"))</f>
        <v>H</v>
      </c>
      <c r="D230" s="17" t="str">
        <f>IF($B230="","",IF(VLOOKUP($A230,Spiele!$A$2:$F$17,3,FALSE)=$B230,VLOOKUP($A230,Spiele!$A$2:$F$17,4,FALSE),VLOOKUP($A230,Spiele!$A$2:$F$17,3,FALSE)))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$17,3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$17,3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IF($A231="","",IF(VLOOKUP($A231,Spiele!$A$2:$D$17,3,FALSE)=$B231,"H","G"))</f>
        <v>G</v>
      </c>
      <c r="D231" s="17" t="str">
        <f>IF($B231="","",IF(VLOOKUP($A231,Spiele!$A$2:$F$17,3,FALSE)=$B231,VLOOKUP($A231,Spiele!$A$2:$F$17,4,FALSE),VLOOKUP($A231,Spiele!$A$2:$F$17,3,FALSE)))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$17,3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$17,3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IF($A232="","",IF(VLOOKUP($A232,Spiele!$A$2:$D$17,3,FALSE)=$B232,"H","G"))</f>
        <v>H</v>
      </c>
      <c r="D232" s="17" t="str">
        <f>IF($B232="","",IF(VLOOKUP($A232,Spiele!$A$2:$F$17,3,FALSE)=$B232,VLOOKUP($A232,Spiele!$A$2:$F$17,4,FALSE),VLOOKUP($A232,Spiele!$A$2:$F$17,3,FALSE)))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$17,3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$17,3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IF($A233="","",IF(VLOOKUP($A233,Spiele!$A$2:$D$17,3,FALSE)=$B233,"H","G"))</f>
        <v>H</v>
      </c>
      <c r="D233" s="17" t="str">
        <f>IF($B233="","",IF(VLOOKUP($A233,Spiele!$A$2:$F$17,3,FALSE)=$B233,VLOOKUP($A233,Spiele!$A$2:$F$17,4,FALSE),VLOOKUP($A233,Spiele!$A$2:$F$17,3,FALSE)))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$17,3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$17,3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IF($A234="","",IF(VLOOKUP($A234,Spiele!$A$2:$D$17,3,FALSE)=$B234,"H","G"))</f>
        <v>H</v>
      </c>
      <c r="D234" s="17" t="str">
        <f>IF($B234="","",IF(VLOOKUP($A234,Spiele!$A$2:$F$17,3,FALSE)=$B234,VLOOKUP($A234,Spiele!$A$2:$F$17,4,FALSE),VLOOKUP($A234,Spiele!$A$2:$F$17,3,FALSE)))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$17,3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$17,3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IF($A235="","",IF(VLOOKUP($A235,Spiele!$A$2:$D$17,3,FALSE)=$B235,"H","G"))</f>
        <v>H</v>
      </c>
      <c r="D235" s="17" t="str">
        <f>IF($B235="","",IF(VLOOKUP($A235,Spiele!$A$2:$F$17,3,FALSE)=$B235,VLOOKUP($A235,Spiele!$A$2:$F$17,4,FALSE),VLOOKUP($A235,Spiele!$A$2:$F$17,3,FALSE)))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$17,3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$17,3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162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IF($A236="","",IF(VLOOKUP($A236,Spiele!$A$2:$D$17,3,FALSE)=$B236,"H","G"))</f>
        <v>H</v>
      </c>
      <c r="D236" s="17" t="str">
        <f>IF($B236="","",IF(VLOOKUP($A236,Spiele!$A$2:$F$17,3,FALSE)=$B236,VLOOKUP($A236,Spiele!$A$2:$F$17,4,FALSE),VLOOKUP($A236,Spiele!$A$2:$F$17,3,FALSE)))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$17,3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$17,3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IF($A237="","",IF(VLOOKUP($A237,Spiele!$A$2:$D$17,3,FALSE)=$B237,"H","G"))</f>
        <v>G</v>
      </c>
      <c r="D237" s="17" t="str">
        <f>IF($B237="","",IF(VLOOKUP($A237,Spiele!$A$2:$F$17,3,FALSE)=$B237,VLOOKUP($A237,Spiele!$A$2:$F$17,4,FALSE),VLOOKUP($A237,Spiele!$A$2:$F$17,3,FALSE)))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$17,3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$17,3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IF($A238="","",IF(VLOOKUP($A238,Spiele!$A$2:$D$17,3,FALSE)=$B238,"H","G"))</f>
        <v>G</v>
      </c>
      <c r="D238" s="17" t="str">
        <f>IF($B238="","",IF(VLOOKUP($A238,Spiele!$A$2:$F$17,3,FALSE)=$B238,VLOOKUP($A238,Spiele!$A$2:$F$17,4,FALSE),VLOOKUP($A238,Spiele!$A$2:$F$17,3,FALSE)))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$17,3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$17,3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IF($A239="","",IF(VLOOKUP($A239,Spiele!$A$2:$D$17,3,FALSE)=$B239,"H","G"))</f>
        <v>H</v>
      </c>
      <c r="D239" s="17" t="str">
        <f>IF($B239="","",IF(VLOOKUP($A239,Spiele!$A$2:$F$17,3,FALSE)=$B239,VLOOKUP($A239,Spiele!$A$2:$F$17,4,FALSE),VLOOKUP($A239,Spiele!$A$2:$F$17,3,FALSE)))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$17,3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$17,3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IF($A240="","",IF(VLOOKUP($A240,Spiele!$A$2:$D$17,3,FALSE)=$B240,"H","G"))</f>
        <v>H</v>
      </c>
      <c r="D240" s="17" t="str">
        <f>IF($B240="","",IF(VLOOKUP($A240,Spiele!$A$2:$F$17,3,FALSE)=$B240,VLOOKUP($A240,Spiele!$A$2:$F$17,4,FALSE),VLOOKUP($A240,Spiele!$A$2:$F$17,3,FALSE)))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$17,3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$17,3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IF($A241="","",IF(VLOOKUP($A241,Spiele!$A$2:$D$17,3,FALSE)=$B241,"H","G"))</f>
        <v>G</v>
      </c>
      <c r="D241" s="17" t="str">
        <f>IF($B241="","",IF(VLOOKUP($A241,Spiele!$A$2:$F$17,3,FALSE)=$B241,VLOOKUP($A241,Spiele!$A$2:$F$17,4,FALSE),VLOOKUP($A241,Spiele!$A$2:$F$17,3,FALSE)))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$17,3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$17,3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IF($A242="","",IF(VLOOKUP($A242,Spiele!$A$2:$D$17,3,FALSE)=$B242,"H","G"))</f>
        <v>H</v>
      </c>
      <c r="D242" s="17" t="str">
        <f>IF($B242="","",IF(VLOOKUP($A242,Spiele!$A$2:$F$17,3,FALSE)=$B242,VLOOKUP($A242,Spiele!$A$2:$F$17,4,FALSE),VLOOKUP($A242,Spiele!$A$2:$F$17,3,FALSE)))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$17,3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$17,3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IF($A243="","",IF(VLOOKUP($A243,Spiele!$A$2:$D$17,3,FALSE)=$B243,"H","G"))</f>
        <v>H</v>
      </c>
      <c r="D243" s="17" t="str">
        <f>IF($B243="","",IF(VLOOKUP($A243,Spiele!$A$2:$F$17,3,FALSE)=$B243,VLOOKUP($A243,Spiele!$A$2:$F$17,4,FALSE),VLOOKUP($A243,Spiele!$A$2:$F$17,3,FALSE)))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$17,3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$17,3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IF($A244="","",IF(VLOOKUP($A244,Spiele!$A$2:$D$17,3,FALSE)=$B244,"H","G"))</f>
        <v>H</v>
      </c>
      <c r="D244" s="17" t="str">
        <f>IF($B244="","",IF(VLOOKUP($A244,Spiele!$A$2:$F$17,3,FALSE)=$B244,VLOOKUP($A244,Spiele!$A$2:$F$17,4,FALSE),VLOOKUP($A244,Spiele!$A$2:$F$17,3,FALSE)))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$17,3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$17,3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IF($A245="","",IF(VLOOKUP($A245,Spiele!$A$2:$D$17,3,FALSE)=$B245,"H","G"))</f>
        <v>H</v>
      </c>
      <c r="D245" s="17" t="str">
        <f>IF($B245="","",IF(VLOOKUP($A245,Spiele!$A$2:$F$17,3,FALSE)=$B245,VLOOKUP($A245,Spiele!$A$2:$F$17,4,FALSE),VLOOKUP($A245,Spiele!$A$2:$F$17,3,FALSE)))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$17,3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$17,3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IF($A246="","",IF(VLOOKUP($A246,Spiele!$A$2:$D$17,3,FALSE)=$B246,"H","G"))</f>
        <v>H</v>
      </c>
      <c r="D246" s="17" t="str">
        <f>IF($B246="","",IF(VLOOKUP($A246,Spiele!$A$2:$F$17,3,FALSE)=$B246,VLOOKUP($A246,Spiele!$A$2:$F$17,4,FALSE),VLOOKUP($A246,Spiele!$A$2:$F$17,3,FALSE)))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$17,3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$17,3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IF($A247="","",IF(VLOOKUP($A247,Spiele!$A$2:$D$17,3,FALSE)=$B247,"H","G"))</f>
        <v>G</v>
      </c>
      <c r="D247" s="17" t="str">
        <f>IF($B247="","",IF(VLOOKUP($A247,Spiele!$A$2:$F$17,3,FALSE)=$B247,VLOOKUP($A247,Spiele!$A$2:$F$17,4,FALSE),VLOOKUP($A247,Spiele!$A$2:$F$17,3,FALSE)))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$17,3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$17,3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6</v>
      </c>
      <c r="AG247" s="13">
        <v>1</v>
      </c>
      <c r="AH247" s="19">
        <f t="shared" si="12"/>
        <v>2.5447200238926087</v>
      </c>
      <c r="AI247" s="19">
        <f t="shared" si="13"/>
        <v>17.229273479884245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IF($A248="","",IF(VLOOKUP($A248,Spiele!$A$2:$D$17,3,FALSE)=$B248,"H","G"))</f>
        <v>H</v>
      </c>
      <c r="D248" s="17" t="str">
        <f>IF($B248="","",IF(VLOOKUP($A248,Spiele!$A$2:$F$17,3,FALSE)=$B248,VLOOKUP($A248,Spiele!$A$2:$F$17,4,FALSE),VLOOKUP($A248,Spiele!$A$2:$F$17,3,FALSE)))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$17,3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$17,3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IF($A249="","",IF(VLOOKUP($A249,Spiele!$A$2:$D$17,3,FALSE)=$B249,"H","G"))</f>
        <v>H</v>
      </c>
      <c r="D249" s="17" t="str">
        <f>IF($B249="","",IF(VLOOKUP($A249,Spiele!$A$2:$F$17,3,FALSE)=$B249,VLOOKUP($A249,Spiele!$A$2:$F$17,4,FALSE),VLOOKUP($A249,Spiele!$A$2:$F$17,3,FALSE)))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$17,3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$17,3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IF($A250="","",IF(VLOOKUP($A250,Spiele!$A$2:$D$17,3,FALSE)=$B250,"H","G"))</f>
        <v>G</v>
      </c>
      <c r="D250" s="17" t="str">
        <f>IF($B250="","",IF(VLOOKUP($A250,Spiele!$A$2:$F$17,3,FALSE)=$B250,VLOOKUP($A250,Spiele!$A$2:$F$17,4,FALSE),VLOOKUP($A250,Spiele!$A$2:$F$17,3,FALSE)))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$17,3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$17,3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IF($A251="","",IF(VLOOKUP($A251,Spiele!$A$2:$D$17,3,FALSE)=$B251,"H","G"))</f>
        <v>H</v>
      </c>
      <c r="D251" s="17" t="str">
        <f>IF($B251="","",IF(VLOOKUP($A251,Spiele!$A$2:$F$17,3,FALSE)=$B251,VLOOKUP($A251,Spiele!$A$2:$F$17,4,FALSE),VLOOKUP($A251,Spiele!$A$2:$F$17,3,FALSE)))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$17,3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$17,3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IF($A252="","",IF(VLOOKUP($A252,Spiele!$A$2:$D$17,3,FALSE)=$B252,"H","G"))</f>
        <v>H</v>
      </c>
      <c r="D252" s="17" t="str">
        <f>IF($B252="","",IF(VLOOKUP($A252,Spiele!$A$2:$F$17,3,FALSE)=$B252,VLOOKUP($A252,Spiele!$A$2:$F$17,4,FALSE),VLOOKUP($A252,Spiele!$A$2:$F$17,3,FALSE)))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$17,3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$17,3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IF($A253="","",IF(VLOOKUP($A253,Spiele!$A$2:$D$17,3,FALSE)=$B253,"H","G"))</f>
        <v>G</v>
      </c>
      <c r="D253" s="17" t="str">
        <f>IF($B253="","",IF(VLOOKUP($A253,Spiele!$A$2:$F$17,3,FALSE)=$B253,VLOOKUP($A253,Spiele!$A$2:$F$17,4,FALSE),VLOOKUP($A253,Spiele!$A$2:$F$17,3,FALSE)))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$17,3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$17,3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IF($A254="","",IF(VLOOKUP($A254,Spiele!$A$2:$D$17,3,FALSE)=$B254,"H","G"))</f>
        <v>H</v>
      </c>
      <c r="D254" s="17" t="str">
        <f>IF($B254="","",IF(VLOOKUP($A254,Spiele!$A$2:$F$17,3,FALSE)=$B254,VLOOKUP($A254,Spiele!$A$2:$F$17,4,FALSE),VLOOKUP($A254,Spiele!$A$2:$F$17,3,FALSE)))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$17,3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$17,3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IF($A255="","",IF(VLOOKUP($A255,Spiele!$A$2:$D$17,3,FALSE)=$B255,"H","G"))</f>
        <v>H</v>
      </c>
      <c r="D255" s="17" t="str">
        <f>IF($B255="","",IF(VLOOKUP($A255,Spiele!$A$2:$F$17,3,FALSE)=$B255,VLOOKUP($A255,Spiele!$A$2:$F$17,4,FALSE),VLOOKUP($A255,Spiele!$A$2:$F$17,3,FALSE)))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$17,3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$17,3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IF($A256="","",IF(VLOOKUP($A256,Spiele!$A$2:$D$17,3,FALSE)=$B256,"H","G"))</f>
        <v>G</v>
      </c>
      <c r="D256" s="17" t="str">
        <f>IF($B256="","",IF(VLOOKUP($A256,Spiele!$A$2:$F$17,3,FALSE)=$B256,VLOOKUP($A256,Spiele!$A$2:$F$17,4,FALSE),VLOOKUP($A256,Spiele!$A$2:$F$17,3,FALSE)))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$17,3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$17,3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IF($A257="","",IF(VLOOKUP($A257,Spiele!$A$2:$D$17,3,FALSE)=$B257,"H","G"))</f>
        <v>H</v>
      </c>
      <c r="D257" s="17" t="str">
        <f>IF($B257="","",IF(VLOOKUP($A257,Spiele!$A$2:$F$17,3,FALSE)=$B257,VLOOKUP($A257,Spiele!$A$2:$F$17,4,FALSE),VLOOKUP($A257,Spiele!$A$2:$F$17,3,FALSE)))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$17,3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$17,3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IF($A258="","",IF(VLOOKUP($A258,Spiele!$A$2:$D$17,3,FALSE)=$B258,"H","G"))</f>
        <v>G</v>
      </c>
      <c r="D258" s="17" t="str">
        <f>IF($B258="","",IF(VLOOKUP($A258,Spiele!$A$2:$F$17,3,FALSE)=$B258,VLOOKUP($A258,Spiele!$A$2:$F$17,4,FALSE),VLOOKUP($A258,Spiele!$A$2:$F$17,3,FALSE)))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$17,3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$17,3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21" si="16">IF($L258="ET","",IF($AF258&gt;3.66,SQRT($AG258^2+($AF258-(7.32/2))^2),IF($AF258&lt;-3.66,SQRT($AG258^2+($AF258+(7.32/2))^2),$AG258)))</f>
        <v>2.8836782067352797</v>
      </c>
      <c r="AI258" s="19">
        <f t="shared" ref="AI258:AI32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IF($A259="","",IF(VLOOKUP($A259,Spiele!$A$2:$D$17,3,FALSE)=$B259,"H","G"))</f>
        <v>G</v>
      </c>
      <c r="D259" s="17" t="str">
        <f>IF($B259="","",IF(VLOOKUP($A259,Spiele!$A$2:$F$17,3,FALSE)=$B259,VLOOKUP($A259,Spiele!$A$2:$F$17,4,FALSE),VLOOKUP($A259,Spiele!$A$2:$F$17,3,FALSE)))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$17,3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$17,3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IF($A260="","",IF(VLOOKUP($A260,Spiele!$A$2:$D$17,3,FALSE)=$B260,"H","G"))</f>
        <v>G</v>
      </c>
      <c r="D260" s="17" t="str">
        <f>IF($B260="","",IF(VLOOKUP($A260,Spiele!$A$2:$F$17,3,FALSE)=$B260,VLOOKUP($A260,Spiele!$A$2:$F$17,4,FALSE),VLOOKUP($A260,Spiele!$A$2:$F$17,3,FALSE)))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$17,3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$17,3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IF($A261="","",IF(VLOOKUP($A261,Spiele!$A$2:$D$17,3,FALSE)=$B261,"H","G"))</f>
        <v>G</v>
      </c>
      <c r="D261" s="17" t="str">
        <f>IF($B261="","",IF(VLOOKUP($A261,Spiele!$A$2:$F$17,3,FALSE)=$B261,VLOOKUP($A261,Spiele!$A$2:$F$17,4,FALSE),VLOOKUP($A261,Spiele!$A$2:$F$17,3,FALSE)))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$17,3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$17,3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IF($A262="","",IF(VLOOKUP($A262,Spiele!$A$2:$D$17,3,FALSE)=$B262,"H","G"))</f>
        <v>H</v>
      </c>
      <c r="D262" s="17" t="str">
        <f>IF($B262="","",IF(VLOOKUP($A262,Spiele!$A$2:$F$17,3,FALSE)=$B262,VLOOKUP($A262,Spiele!$A$2:$F$17,4,FALSE),VLOOKUP($A262,Spiele!$A$2:$F$17,3,FALSE)))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$17,3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$17,3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IF($A263="","",IF(VLOOKUP($A263,Spiele!$A$2:$D$17,3,FALSE)=$B263,"H","G"))</f>
        <v>G</v>
      </c>
      <c r="D263" s="17" t="str">
        <f>IF($B263="","",IF(VLOOKUP($A263,Spiele!$A$2:$F$17,3,FALSE)=$B263,VLOOKUP($A263,Spiele!$A$2:$F$17,4,FALSE),VLOOKUP($A263,Spiele!$A$2:$F$17,3,FALSE)))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$17,3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$17,3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IF($A264="","",IF(VLOOKUP($A264,Spiele!$A$2:$D$17,3,FALSE)=$B264,"H","G"))</f>
        <v>H</v>
      </c>
      <c r="D264" s="17" t="str">
        <f>IF($B264="","",IF(VLOOKUP($A264,Spiele!$A$2:$F$17,3,FALSE)=$B264,VLOOKUP($A264,Spiele!$A$2:$F$17,4,FALSE),VLOOKUP($A264,Spiele!$A$2:$F$17,3,FALSE)))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$17,3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$17,3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IF($A265="","",IF(VLOOKUP($A265,Spiele!$A$2:$D$17,3,FALSE)=$B265,"H","G"))</f>
        <v>H</v>
      </c>
      <c r="D265" s="17" t="str">
        <f>IF($B265="","",IF(VLOOKUP($A265,Spiele!$A$2:$F$17,3,FALSE)=$B265,VLOOKUP($A265,Spiele!$A$2:$F$17,4,FALSE),VLOOKUP($A265,Spiele!$A$2:$F$17,3,FALSE)))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$17,3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$17,3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IF($A266="","",IF(VLOOKUP($A266,Spiele!$A$2:$D$17,3,FALSE)=$B266,"H","G"))</f>
        <v>H</v>
      </c>
      <c r="D266" s="17" t="str">
        <f>IF($B266="","",IF(VLOOKUP($A266,Spiele!$A$2:$F$17,3,FALSE)=$B266,VLOOKUP($A266,Spiele!$A$2:$F$17,4,FALSE),VLOOKUP($A266,Spiele!$A$2:$F$17,3,FALSE)))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$17,3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$17,3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IF($A267="","",IF(VLOOKUP($A267,Spiele!$A$2:$D$17,3,FALSE)=$B267,"H","G"))</f>
        <v>H</v>
      </c>
      <c r="D267" s="17" t="str">
        <f>IF($B267="","",IF(VLOOKUP($A267,Spiele!$A$2:$F$17,3,FALSE)=$B267,VLOOKUP($A267,Spiele!$A$2:$F$17,4,FALSE),VLOOKUP($A267,Spiele!$A$2:$F$17,3,FALSE)))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$17,3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$17,3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IF($A268="","",IF(VLOOKUP($A268,Spiele!$A$2:$D$17,3,FALSE)=$B268,"H","G"))</f>
        <v>H</v>
      </c>
      <c r="D268" s="17" t="str">
        <f>IF($B268="","",IF(VLOOKUP($A268,Spiele!$A$2:$F$17,3,FALSE)=$B268,VLOOKUP($A268,Spiele!$A$2:$F$17,4,FALSE),VLOOKUP($A268,Spiele!$A$2:$F$17,3,FALSE)))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$17,3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$17,3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IF($A269="","",IF(VLOOKUP($A269,Spiele!$A$2:$D$17,3,FALSE)=$B269,"H","G"))</f>
        <v>H</v>
      </c>
      <c r="D269" s="17" t="str">
        <f>IF($B269="","",IF(VLOOKUP($A269,Spiele!$A$2:$F$17,3,FALSE)=$B269,VLOOKUP($A269,Spiele!$A$2:$F$17,4,FALSE),VLOOKUP($A269,Spiele!$A$2:$F$17,3,FALSE)))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$17,3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$17,3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IF($A270="","",IF(VLOOKUP($A270,Spiele!$A$2:$D$17,3,FALSE)=$B270,"H","G"))</f>
        <v>H</v>
      </c>
      <c r="D270" s="17" t="str">
        <f>IF($B270="","",IF(VLOOKUP($A270,Spiele!$A$2:$F$17,3,FALSE)=$B270,VLOOKUP($A270,Spiele!$A$2:$F$17,4,FALSE),VLOOKUP($A270,Spiele!$A$2:$F$17,3,FALSE)))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$17,3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$17,3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IF($A271="","",IF(VLOOKUP($A271,Spiele!$A$2:$D$17,3,FALSE)=$B271,"H","G"))</f>
        <v>H</v>
      </c>
      <c r="D271" s="17" t="str">
        <f>IF($B271="","",IF(VLOOKUP($A271,Spiele!$A$2:$F$17,3,FALSE)=$B271,VLOOKUP($A271,Spiele!$A$2:$F$17,4,FALSE),VLOOKUP($A271,Spiele!$A$2:$F$17,3,FALSE)))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$17,3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$17,3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IF($A272="","",IF(VLOOKUP($A272,Spiele!$A$2:$D$17,3,FALSE)=$B272,"H","G"))</f>
        <v>H</v>
      </c>
      <c r="D272" s="17" t="str">
        <f>IF($B272="","",IF(VLOOKUP($A272,Spiele!$A$2:$F$17,3,FALSE)=$B272,VLOOKUP($A272,Spiele!$A$2:$F$17,4,FALSE),VLOOKUP($A272,Spiele!$A$2:$F$17,3,FALSE)))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$17,3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$17,3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IF($A273="","",IF(VLOOKUP($A273,Spiele!$A$2:$D$17,3,FALSE)=$B273,"H","G"))</f>
        <v>G</v>
      </c>
      <c r="D273" s="17" t="str">
        <f>IF($B273="","",IF(VLOOKUP($A273,Spiele!$A$2:$F$17,3,FALSE)=$B273,VLOOKUP($A273,Spiele!$A$2:$F$17,4,FALSE),VLOOKUP($A273,Spiele!$A$2:$F$17,3,FALSE)))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$17,3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$17,3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IF($A274="","",IF(VLOOKUP($A274,Spiele!$A$2:$D$17,3,FALSE)=$B274,"H","G"))</f>
        <v>G</v>
      </c>
      <c r="D274" s="17" t="str">
        <f>IF($B274="","",IF(VLOOKUP($A274,Spiele!$A$2:$F$17,3,FALSE)=$B274,VLOOKUP($A274,Spiele!$A$2:$F$17,4,FALSE),VLOOKUP($A274,Spiele!$A$2:$F$17,3,FALSE)))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$17,3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$17,3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IF($A275="","",IF(VLOOKUP($A275,Spiele!$A$2:$D$17,3,FALSE)=$B275,"H","G"))</f>
        <v>H</v>
      </c>
      <c r="D275" s="17" t="str">
        <f>IF($B275="","",IF(VLOOKUP($A275,Spiele!$A$2:$F$17,3,FALSE)=$B275,VLOOKUP($A275,Spiele!$A$2:$F$17,4,FALSE),VLOOKUP($A275,Spiele!$A$2:$F$17,3,FALSE)))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$17,3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$17,3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IF($A276="","",IF(VLOOKUP($A276,Spiele!$A$2:$D$17,3,FALSE)=$B276,"H","G"))</f>
        <v>H</v>
      </c>
      <c r="D276" s="17" t="str">
        <f>IF($B276="","",IF(VLOOKUP($A276,Spiele!$A$2:$F$17,3,FALSE)=$B276,VLOOKUP($A276,Spiele!$A$2:$F$17,4,FALSE),VLOOKUP($A276,Spiele!$A$2:$F$17,3,FALSE)))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$17,3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$17,3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IF($A277="","",IF(VLOOKUP($A277,Spiele!$A$2:$D$17,3,FALSE)=$B277,"H","G"))</f>
        <v>G</v>
      </c>
      <c r="D277" s="17" t="str">
        <f>IF($B277="","",IF(VLOOKUP($A277,Spiele!$A$2:$F$17,3,FALSE)=$B277,VLOOKUP($A277,Spiele!$A$2:$F$17,4,FALSE),VLOOKUP($A277,Spiele!$A$2:$F$17,3,FALSE)))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$17,3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$17,3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IF($A278="","",IF(VLOOKUP($A278,Spiele!$A$2:$D$17,3,FALSE)=$B278,"H","G"))</f>
        <v>G</v>
      </c>
      <c r="D278" s="17" t="str">
        <f>IF($B278="","",IF(VLOOKUP($A278,Spiele!$A$2:$F$17,3,FALSE)=$B278,VLOOKUP($A278,Spiele!$A$2:$F$17,4,FALSE),VLOOKUP($A278,Spiele!$A$2:$F$17,3,FALSE)))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$17,3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$17,3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40" si="18">IF(AN278=0,"",SQRT(($AF278-$AO278)^2+($AG278-$AP278)^2))</f>
        <v>0.5</v>
      </c>
      <c r="AR278" s="3">
        <v>0</v>
      </c>
      <c r="AU278" s="19" t="str">
        <f t="shared" ref="AU278:AU340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IF($A279="","",IF(VLOOKUP($A279,Spiele!$A$2:$D$17,3,FALSE)=$B279,"H","G"))</f>
        <v>G</v>
      </c>
      <c r="D279" s="17" t="str">
        <f>IF($B279="","",IF(VLOOKUP($A279,Spiele!$A$2:$F$17,3,FALSE)=$B279,VLOOKUP($A279,Spiele!$A$2:$F$17,4,FALSE),VLOOKUP($A279,Spiele!$A$2:$F$17,3,FALSE)))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$17,3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$17,3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IF($A280="","",IF(VLOOKUP($A280,Spiele!$A$2:$D$17,3,FALSE)=$B280,"H","G"))</f>
        <v>H</v>
      </c>
      <c r="D280" s="17" t="str">
        <f>IF($B280="","",IF(VLOOKUP($A280,Spiele!$A$2:$F$17,3,FALSE)=$B280,VLOOKUP($A280,Spiele!$A$2:$F$17,4,FALSE),VLOOKUP($A280,Spiele!$A$2:$F$17,3,FALSE)))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$17,3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$17,3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IF($A281="","",IF(VLOOKUP($A281,Spiele!$A$2:$D$17,3,FALSE)=$B281,"H","G"))</f>
        <v>G</v>
      </c>
      <c r="D281" s="17" t="str">
        <f>IF($B281="","",IF(VLOOKUP($A281,Spiele!$A$2:$F$17,3,FALSE)=$B281,VLOOKUP($A281,Spiele!$A$2:$F$17,4,FALSE),VLOOKUP($A281,Spiele!$A$2:$F$17,3,FALSE)))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$17,3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$17,3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IF($A282="","",IF(VLOOKUP($A282,Spiele!$A$2:$D$17,3,FALSE)=$B282,"H","G"))</f>
        <v>H</v>
      </c>
      <c r="D282" s="17" t="str">
        <f>IF($B282="","",IF(VLOOKUP($A282,Spiele!$A$2:$F$17,3,FALSE)=$B282,VLOOKUP($A282,Spiele!$A$2:$F$17,4,FALSE),VLOOKUP($A282,Spiele!$A$2:$F$17,3,FALSE)))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$17,3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$17,3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IF($A283="","",IF(VLOOKUP($A283,Spiele!$A$2:$D$17,3,FALSE)=$B283,"H","G"))</f>
        <v>G</v>
      </c>
      <c r="D283" s="17" t="str">
        <f>IF($B283="","",IF(VLOOKUP($A283,Spiele!$A$2:$F$17,3,FALSE)=$B283,VLOOKUP($A283,Spiele!$A$2:$F$17,4,FALSE),VLOOKUP($A283,Spiele!$A$2:$F$17,3,FALSE)))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$17,3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$17,3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IF($A284="","",IF(VLOOKUP($A284,Spiele!$A$2:$D$17,3,FALSE)=$B284,"H","G"))</f>
        <v>G</v>
      </c>
      <c r="D284" s="17" t="str">
        <f>IF($B284="","",IF(VLOOKUP($A284,Spiele!$A$2:$F$17,3,FALSE)=$B284,VLOOKUP($A284,Spiele!$A$2:$F$17,4,FALSE),VLOOKUP($A284,Spiele!$A$2:$F$17,3,FALSE)))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$17,3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$17,3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IF($A285="","",IF(VLOOKUP($A285,Spiele!$A$2:$D$17,3,FALSE)=$B285,"H","G"))</f>
        <v>G</v>
      </c>
      <c r="D285" s="17" t="str">
        <f>IF($B285="","",IF(VLOOKUP($A285,Spiele!$A$2:$F$17,3,FALSE)=$B285,VLOOKUP($A285,Spiele!$A$2:$F$17,4,FALSE),VLOOKUP($A285,Spiele!$A$2:$F$17,3,FALSE)))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$17,3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$17,3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IF($A286="","",IF(VLOOKUP($A286,Spiele!$A$2:$D$17,3,FALSE)=$B286,"H","G"))</f>
        <v>G</v>
      </c>
      <c r="D286" s="17" t="str">
        <f>IF($B286="","",IF(VLOOKUP($A286,Spiele!$A$2:$F$17,3,FALSE)=$B286,VLOOKUP($A286,Spiele!$A$2:$F$17,4,FALSE),VLOOKUP($A286,Spiele!$A$2:$F$17,3,FALSE)))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$17,3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$17,3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IF($A287="","",IF(VLOOKUP($A287,Spiele!$A$2:$D$17,3,FALSE)=$B287,"H","G"))</f>
        <v>H</v>
      </c>
      <c r="D287" s="17" t="str">
        <f>IF($B287="","",IF(VLOOKUP($A287,Spiele!$A$2:$F$17,3,FALSE)=$B287,VLOOKUP($A287,Spiele!$A$2:$F$17,4,FALSE),VLOOKUP($A287,Spiele!$A$2:$F$17,3,FALSE)))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$17,3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$17,3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IF($A288="","",IF(VLOOKUP($A288,Spiele!$A$2:$D$17,3,FALSE)=$B288,"H","G"))</f>
        <v>G</v>
      </c>
      <c r="D288" s="17" t="str">
        <f>IF($B288="","",IF(VLOOKUP($A288,Spiele!$A$2:$F$17,3,FALSE)=$B288,VLOOKUP($A288,Spiele!$A$2:$F$17,4,FALSE),VLOOKUP($A288,Spiele!$A$2:$F$17,3,FALSE)))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$17,3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$17,3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IF($A289="","",IF(VLOOKUP($A289,Spiele!$A$2:$D$17,3,FALSE)=$B289,"H","G"))</f>
        <v>H</v>
      </c>
      <c r="D289" s="17" t="str">
        <f>IF($B289="","",IF(VLOOKUP($A289,Spiele!$A$2:$F$17,3,FALSE)=$B289,VLOOKUP($A289,Spiele!$A$2:$F$17,4,FALSE),VLOOKUP($A289,Spiele!$A$2:$F$17,3,FALSE)))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$17,3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$17,3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IF($A290="","",IF(VLOOKUP($A290,Spiele!$A$2:$D$17,3,FALSE)=$B290,"H","G"))</f>
        <v>H</v>
      </c>
      <c r="D290" s="17" t="str">
        <f>IF($B290="","",IF(VLOOKUP($A290,Spiele!$A$2:$F$17,3,FALSE)=$B290,VLOOKUP($A290,Spiele!$A$2:$F$17,4,FALSE),VLOOKUP($A290,Spiele!$A$2:$F$17,3,FALSE)))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$17,3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$17,3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IF($A291="","",IF(VLOOKUP($A291,Spiele!$A$2:$D$17,3,FALSE)=$B291,"H","G"))</f>
        <v>G</v>
      </c>
      <c r="D291" s="17" t="str">
        <f>IF($B291="","",IF(VLOOKUP($A291,Spiele!$A$2:$F$17,3,FALSE)=$B291,VLOOKUP($A291,Spiele!$A$2:$F$17,4,FALSE),VLOOKUP($A291,Spiele!$A$2:$F$17,3,FALSE)))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$17,3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$17,3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IF($A292="","",IF(VLOOKUP($A292,Spiele!$A$2:$D$17,3,FALSE)=$B292,"H","G"))</f>
        <v>G</v>
      </c>
      <c r="D292" s="17" t="str">
        <f>IF($B292="","",IF(VLOOKUP($A292,Spiele!$A$2:$F$17,3,FALSE)=$B292,VLOOKUP($A292,Spiele!$A$2:$F$17,4,FALSE),VLOOKUP($A292,Spiele!$A$2:$F$17,3,FALSE)))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$17,3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$17,3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IF($A293="","",IF(VLOOKUP($A293,Spiele!$A$2:$D$17,3,FALSE)=$B293,"H","G"))</f>
        <v>H</v>
      </c>
      <c r="D293" s="17" t="str">
        <f>IF($B293="","",IF(VLOOKUP($A293,Spiele!$A$2:$F$17,3,FALSE)=$B293,VLOOKUP($A293,Spiele!$A$2:$F$17,4,FALSE),VLOOKUP($A293,Spiele!$A$2:$F$17,3,FALSE)))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$17,3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$17,3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IF($A294="","",IF(VLOOKUP($A294,Spiele!$A$2:$D$17,3,FALSE)=$B294,"H","G"))</f>
        <v>G</v>
      </c>
      <c r="D294" s="17" t="str">
        <f>IF($B294="","",IF(VLOOKUP($A294,Spiele!$A$2:$F$17,3,FALSE)=$B294,VLOOKUP($A294,Spiele!$A$2:$F$17,4,FALSE),VLOOKUP($A294,Spiele!$A$2:$F$17,3,FALSE)))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$17,3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$17,3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IF($A295="","",IF(VLOOKUP($A295,Spiele!$A$2:$D$17,3,FALSE)=$B295,"H","G"))</f>
        <v>H</v>
      </c>
      <c r="D295" s="17" t="str">
        <f>IF($B295="","",IF(VLOOKUP($A295,Spiele!$A$2:$F$17,3,FALSE)=$B295,VLOOKUP($A295,Spiele!$A$2:$F$17,4,FALSE),VLOOKUP($A295,Spiele!$A$2:$F$17,3,FALSE)))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$17,3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$17,3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IF($A296="","",IF(VLOOKUP($A296,Spiele!$A$2:$D$17,3,FALSE)=$B296,"H","G"))</f>
        <v>H</v>
      </c>
      <c r="D296" s="17" t="str">
        <f>IF($B296="","",IF(VLOOKUP($A296,Spiele!$A$2:$F$17,3,FALSE)=$B296,VLOOKUP($A296,Spiele!$A$2:$F$17,4,FALSE),VLOOKUP($A296,Spiele!$A$2:$F$17,3,FALSE)))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$17,3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$17,3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IF($A297="","",IF(VLOOKUP($A297,Spiele!$A$2:$D$17,3,FALSE)=$B297,"H","G"))</f>
        <v>H</v>
      </c>
      <c r="D297" s="17" t="str">
        <f>IF($B297="","",IF(VLOOKUP($A297,Spiele!$A$2:$F$17,3,FALSE)=$B297,VLOOKUP($A297,Spiele!$A$2:$F$17,4,FALSE),VLOOKUP($A297,Spiele!$A$2:$F$17,3,FALSE)))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$17,3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$17,3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IF($A298="","",IF(VLOOKUP($A298,Spiele!$A$2:$D$17,3,FALSE)=$B298,"H","G"))</f>
        <v>H</v>
      </c>
      <c r="D298" s="17" t="str">
        <f>IF($B298="","",IF(VLOOKUP($A298,Spiele!$A$2:$F$17,3,FALSE)=$B298,VLOOKUP($A298,Spiele!$A$2:$F$17,4,FALSE),VLOOKUP($A298,Spiele!$A$2:$F$17,3,FALSE)))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$17,3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$17,3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IF($A299="","",IF(VLOOKUP($A299,Spiele!$A$2:$D$17,3,FALSE)=$B299,"H","G"))</f>
        <v>H</v>
      </c>
      <c r="D299" s="17" t="str">
        <f>IF($B299="","",IF(VLOOKUP($A299,Spiele!$A$2:$F$17,3,FALSE)=$B299,VLOOKUP($A299,Spiele!$A$2:$F$17,4,FALSE),VLOOKUP($A299,Spiele!$A$2:$F$17,3,FALSE)))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$17,3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$17,3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IF($A300="","",IF(VLOOKUP($A300,Spiele!$A$2:$D$17,3,FALSE)=$B300,"H","G"))</f>
        <v>G</v>
      </c>
      <c r="D300" s="17" t="str">
        <f>IF($B300="","",IF(VLOOKUP($A300,Spiele!$A$2:$F$17,3,FALSE)=$B300,VLOOKUP($A300,Spiele!$A$2:$F$17,4,FALSE),VLOOKUP($A300,Spiele!$A$2:$F$17,3,FALSE)))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$17,3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$17,3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IF($A301="","",IF(VLOOKUP($A301,Spiele!$A$2:$D$17,3,FALSE)=$B301,"H","G"))</f>
        <v>G</v>
      </c>
      <c r="D301" s="17" t="str">
        <f>IF($B301="","",IF(VLOOKUP($A301,Spiele!$A$2:$F$17,3,FALSE)=$B301,VLOOKUP($A301,Spiele!$A$2:$F$17,4,FALSE),VLOOKUP($A301,Spiele!$A$2:$F$17,3,FALSE)))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$17,3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$17,3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IF($A302="","",IF(VLOOKUP($A302,Spiele!$A$2:$D$17,3,FALSE)=$B302,"H","G"))</f>
        <v>G</v>
      </c>
      <c r="D302" s="17" t="str">
        <f>IF($B302="","",IF(VLOOKUP($A302,Spiele!$A$2:$F$17,3,FALSE)=$B302,VLOOKUP($A302,Spiele!$A$2:$F$17,4,FALSE),VLOOKUP($A302,Spiele!$A$2:$F$17,3,FALSE)))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$17,3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$17,3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IF($A303="","",IF(VLOOKUP($A303,Spiele!$A$2:$D$17,3,FALSE)=$B303,"H","G"))</f>
        <v>H</v>
      </c>
      <c r="D303" s="17" t="str">
        <f>IF($B303="","",IF(VLOOKUP($A303,Spiele!$A$2:$F$17,3,FALSE)=$B303,VLOOKUP($A303,Spiele!$A$2:$F$17,4,FALSE),VLOOKUP($A303,Spiele!$A$2:$F$17,3,FALSE)))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$17,3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$17,3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IF($A304="","",IF(VLOOKUP($A304,Spiele!$A$2:$D$17,3,FALSE)=$B304,"H","G"))</f>
        <v>G</v>
      </c>
      <c r="D304" s="17" t="str">
        <f>IF($B304="","",IF(VLOOKUP($A304,Spiele!$A$2:$F$17,3,FALSE)=$B304,VLOOKUP($A304,Spiele!$A$2:$F$17,4,FALSE),VLOOKUP($A304,Spiele!$A$2:$F$17,3,FALSE)))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$17,3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$17,3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IF($A305="","",IF(VLOOKUP($A305,Spiele!$A$2:$D$17,3,FALSE)=$B305,"H","G"))</f>
        <v>G</v>
      </c>
      <c r="D305" s="17" t="str">
        <f>IF($B305="","",IF(VLOOKUP($A305,Spiele!$A$2:$F$17,3,FALSE)=$B305,VLOOKUP($A305,Spiele!$A$2:$F$17,4,FALSE),VLOOKUP($A305,Spiele!$A$2:$F$17,3,FALSE)))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$17,3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$17,3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IF($A306="","",IF(VLOOKUP($A306,Spiele!$A$2:$D$17,3,FALSE)=$B306,"H","G"))</f>
        <v>H</v>
      </c>
      <c r="D306" s="17" t="str">
        <f>IF($B306="","",IF(VLOOKUP($A306,Spiele!$A$2:$F$17,3,FALSE)=$B306,VLOOKUP($A306,Spiele!$A$2:$F$17,4,FALSE),VLOOKUP($A306,Spiele!$A$2:$F$17,3,FALSE)))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$17,3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$17,3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IF($A307="","",IF(VLOOKUP($A307,Spiele!$A$2:$D$17,3,FALSE)=$B307,"H","G"))</f>
        <v>G</v>
      </c>
      <c r="D307" s="17" t="str">
        <f>IF($B307="","",IF(VLOOKUP($A307,Spiele!$A$2:$F$17,3,FALSE)=$B307,VLOOKUP($A307,Spiele!$A$2:$F$17,4,FALSE),VLOOKUP($A307,Spiele!$A$2:$F$17,3,FALSE)))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$17,3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$17,3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IF($A308="","",IF(VLOOKUP($A308,Spiele!$A$2:$D$17,3,FALSE)=$B308,"H","G"))</f>
        <v>H</v>
      </c>
      <c r="D308" s="17" t="str">
        <f>IF($B308="","",IF(VLOOKUP($A308,Spiele!$A$2:$F$17,3,FALSE)=$B308,VLOOKUP($A308,Spiele!$A$2:$F$17,4,FALSE),VLOOKUP($A308,Spiele!$A$2:$F$17,3,FALSE)))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$17,3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$17,3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IF($A309="","",IF(VLOOKUP($A309,Spiele!$A$2:$D$17,3,FALSE)=$B309,"H","G"))</f>
        <v>H</v>
      </c>
      <c r="D309" s="17" t="str">
        <f>IF($B309="","",IF(VLOOKUP($A309,Spiele!$A$2:$F$17,3,FALSE)=$B309,VLOOKUP($A309,Spiele!$A$2:$F$17,4,FALSE),VLOOKUP($A309,Spiele!$A$2:$F$17,3,FALSE)))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$17,3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$17,3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IF($A310="","",IF(VLOOKUP($A310,Spiele!$A$2:$D$17,3,FALSE)=$B310,"H","G"))</f>
        <v>G</v>
      </c>
      <c r="D310" s="17" t="str">
        <f>IF($B310="","",IF(VLOOKUP($A310,Spiele!$A$2:$F$17,3,FALSE)=$B310,VLOOKUP($A310,Spiele!$A$2:$F$17,4,FALSE),VLOOKUP($A310,Spiele!$A$2:$F$17,3,FALSE)))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$17,3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$17,3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IF($A311="","",IF(VLOOKUP($A311,Spiele!$A$2:$D$17,3,FALSE)=$B311,"H","G"))</f>
        <v>G</v>
      </c>
      <c r="D311" s="17" t="str">
        <f>IF($B311="","",IF(VLOOKUP($A311,Spiele!$A$2:$F$17,3,FALSE)=$B311,VLOOKUP($A311,Spiele!$A$2:$F$17,4,FALSE),VLOOKUP($A311,Spiele!$A$2:$F$17,3,FALSE)))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$17,3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$17,3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12</v>
      </c>
      <c r="B312" s="2" t="s">
        <v>8</v>
      </c>
      <c r="C312" s="17" t="str">
        <f>IF($A312="","",IF(VLOOKUP($A312,Spiele!$A$2:$D$17,3,FALSE)=$B312,"H","G"))</f>
        <v>H</v>
      </c>
      <c r="D312" s="17" t="str">
        <f>IF($B312="","",IF(VLOOKUP($A312,Spiele!$A$2:$F$17,3,FALSE)=$B312,VLOOKUP($A312,Spiele!$A$2:$F$17,4,FALSE),VLOOKUP($A312,Spiele!$A$2:$F$17,3,FALSE)))</f>
        <v>FCB</v>
      </c>
      <c r="E312" s="18">
        <f>IF(Abschlüsse[[#This Row],[Ergeb]]="ET",0,COUNTIFS($A$2:$A312,$A312,$B$2:$B312,$B312,$L$2:$L312,"&lt;&gt;ET"))</f>
        <v>1</v>
      </c>
      <c r="F312" s="11">
        <v>4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$17,3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>1:0</v>
      </c>
      <c r="J312" s="18">
        <f>_xlfn.IFNA(IF(VLOOKUP($A312,Spiele!$A$2:$D$17,3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0</v>
      </c>
      <c r="M312" s="2" t="s">
        <v>163</v>
      </c>
      <c r="N312" s="2" t="s">
        <v>167</v>
      </c>
      <c r="O312" s="17"/>
      <c r="AA312" s="2" t="s">
        <v>151</v>
      </c>
      <c r="AB312" s="17" t="s">
        <v>143</v>
      </c>
      <c r="AC312" s="14" t="s">
        <v>150</v>
      </c>
      <c r="AD312" s="14" t="s">
        <v>145</v>
      </c>
      <c r="AE312" s="18">
        <v>9</v>
      </c>
      <c r="AF312" s="13">
        <v>6.5</v>
      </c>
      <c r="AG312" s="13">
        <v>12</v>
      </c>
      <c r="AH312" s="19">
        <f t="shared" si="16"/>
        <v>12.331488150259887</v>
      </c>
      <c r="AI312" s="19">
        <f t="shared" si="17"/>
        <v>26.938463956503323</v>
      </c>
      <c r="AJ312" s="2" t="s">
        <v>146</v>
      </c>
      <c r="AK312" s="13">
        <v>4</v>
      </c>
      <c r="AL312" s="13">
        <v>6.5</v>
      </c>
      <c r="AM312" s="19">
        <f>IF(Abschlüsse[[#This Row],[Ergeb]]="ET","",SQRT(($AF312-$AK312)^2+($AG312-$AL312)^2))</f>
        <v>6.0415229867972862</v>
      </c>
      <c r="AN312" s="3">
        <v>1</v>
      </c>
      <c r="AO312" s="13">
        <v>5</v>
      </c>
      <c r="AP312" s="13">
        <v>13</v>
      </c>
      <c r="AQ312" s="19">
        <f t="shared" si="18"/>
        <v>1.8027756377319946</v>
      </c>
      <c r="AR312" s="3">
        <v>0</v>
      </c>
      <c r="AU312" s="19" t="str">
        <f t="shared" si="19"/>
        <v/>
      </c>
    </row>
    <row r="313" spans="1:47" ht="25.05" customHeight="1">
      <c r="A313" s="3">
        <v>12</v>
      </c>
      <c r="B313" s="2" t="s">
        <v>8</v>
      </c>
      <c r="C313" s="17" t="str">
        <f>IF($A313="","",IF(VLOOKUP($A313,Spiele!$A$2:$D$17,3,FALSE)=$B313,"H","G"))</f>
        <v>H</v>
      </c>
      <c r="D313" s="17" t="str">
        <f>IF($B313="","",IF(VLOOKUP($A313,Spiele!$A$2:$F$17,3,FALSE)=$B313,VLOOKUP($A313,Spiele!$A$2:$F$17,4,FALSE),VLOOKUP($A313,Spiele!$A$2:$F$17,3,FALSE)))</f>
        <v>FCB</v>
      </c>
      <c r="E313" s="18">
        <f>IF(Abschlüsse[[#This Row],[Ergeb]]="ET",0,COUNTIFS($A$2:$A313,$A313,$B$2:$B313,$B313,$L$2:$L313,"&lt;&gt;ET"))</f>
        <v>2</v>
      </c>
      <c r="F313" s="11">
        <v>6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$17,3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>2:0</v>
      </c>
      <c r="J313" s="18">
        <f>_xlfn.IFNA(IF(VLOOKUP($A313,Spiele!$A$2:$D$17,3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1</v>
      </c>
      <c r="K313" s="3">
        <v>2</v>
      </c>
      <c r="L313" s="17" t="s">
        <v>0</v>
      </c>
      <c r="M313" s="2" t="s">
        <v>147</v>
      </c>
      <c r="N313" s="2" t="s">
        <v>164</v>
      </c>
      <c r="O313" s="17">
        <v>16</v>
      </c>
      <c r="P313" s="2">
        <v>1</v>
      </c>
      <c r="Q313" s="2">
        <v>20</v>
      </c>
      <c r="AA313" s="2" t="s">
        <v>151</v>
      </c>
      <c r="AB313" s="17" t="s">
        <v>143</v>
      </c>
      <c r="AC313" s="14" t="s">
        <v>150</v>
      </c>
      <c r="AD313" s="14" t="s">
        <v>145</v>
      </c>
      <c r="AE313" s="18">
        <v>7</v>
      </c>
      <c r="AF313" s="13">
        <v>11.5</v>
      </c>
      <c r="AG313" s="13">
        <v>9</v>
      </c>
      <c r="AH313" s="19">
        <f t="shared" si="16"/>
        <v>11.935895441901291</v>
      </c>
      <c r="AI313" s="19">
        <f t="shared" si="17"/>
        <v>18.244285959688021</v>
      </c>
      <c r="AJ313" s="2" t="s">
        <v>146</v>
      </c>
      <c r="AK313" s="13">
        <v>5.5</v>
      </c>
      <c r="AL313" s="13">
        <v>3.5</v>
      </c>
      <c r="AM313" s="19">
        <f>IF(Abschlüsse[[#This Row],[Ergeb]]="ET","",SQRT(($AF313-$AK313)^2+($AG313-$AL313)^2))</f>
        <v>8.1394102980498531</v>
      </c>
      <c r="AN313" s="3">
        <v>1</v>
      </c>
      <c r="AO313" s="13">
        <v>10.5</v>
      </c>
      <c r="AP313" s="13">
        <v>10</v>
      </c>
      <c r="AQ313" s="19">
        <f t="shared" si="18"/>
        <v>1.4142135623730951</v>
      </c>
      <c r="AR313" s="3">
        <v>1</v>
      </c>
      <c r="AS313" s="13">
        <v>7.5</v>
      </c>
      <c r="AT313" s="13">
        <v>7</v>
      </c>
      <c r="AU313" s="19">
        <f t="shared" si="19"/>
        <v>4.4721359549995796</v>
      </c>
    </row>
    <row r="314" spans="1:47" ht="25.05" customHeight="1">
      <c r="A314" s="3">
        <v>12</v>
      </c>
      <c r="B314" s="2" t="s">
        <v>8</v>
      </c>
      <c r="C314" s="17" t="str">
        <f>IF($A314="","",IF(VLOOKUP($A314,Spiele!$A$2:$D$17,3,FALSE)=$B314,"H","G"))</f>
        <v>H</v>
      </c>
      <c r="D314" s="17" t="str">
        <f>IF($B314="","",IF(VLOOKUP($A314,Spiele!$A$2:$F$17,3,FALSE)=$B314,VLOOKUP($A314,Spiele!$A$2:$F$17,4,FALSE),VLOOKUP($A314,Spiele!$A$2:$F$17,3,FALSE)))</f>
        <v>FCB</v>
      </c>
      <c r="E314" s="18">
        <f>IF(Abschlüsse[[#This Row],[Ergeb]]="ET",0,COUNTIFS($A$2:$A314,$A314,$B$2:$B314,$B314,$L$2:$L314,"&lt;&gt;ET"))</f>
        <v>3</v>
      </c>
      <c r="F314" s="11">
        <v>11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$17,3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$17,3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2</v>
      </c>
      <c r="K314" s="3">
        <v>3</v>
      </c>
      <c r="L314" s="17" t="s">
        <v>20</v>
      </c>
      <c r="M314" s="2" t="s">
        <v>163</v>
      </c>
      <c r="N314" s="2" t="s">
        <v>158</v>
      </c>
      <c r="O314" s="17">
        <v>8</v>
      </c>
      <c r="AA314" s="2" t="s">
        <v>151</v>
      </c>
      <c r="AB314" s="17" t="s">
        <v>149</v>
      </c>
      <c r="AC314" s="14" t="s">
        <v>150</v>
      </c>
      <c r="AD314" s="14" t="s">
        <v>156</v>
      </c>
      <c r="AE314" s="18">
        <v>10</v>
      </c>
      <c r="AF314" s="13">
        <v>-12</v>
      </c>
      <c r="AG314" s="13">
        <v>13.5</v>
      </c>
      <c r="AH314" s="19">
        <f t="shared" si="16"/>
        <v>15.868383660600093</v>
      </c>
      <c r="AI314" s="19">
        <f t="shared" si="17"/>
        <v>17.529544013142665</v>
      </c>
      <c r="AJ314" s="2" t="s">
        <v>146</v>
      </c>
      <c r="AK314" s="13">
        <v>-2.5</v>
      </c>
      <c r="AL314" s="13">
        <v>3</v>
      </c>
      <c r="AM314" s="19">
        <f>IF(Abschlüsse[[#This Row],[Ergeb]]="ET","",SQRT(($AF314-$AK314)^2+($AG314-$AL314)^2))</f>
        <v>14.159802258506296</v>
      </c>
      <c r="AN314" s="3">
        <v>0</v>
      </c>
      <c r="AO314" s="13"/>
      <c r="AP314" s="13"/>
      <c r="AQ314" s="19" t="str">
        <f t="shared" si="18"/>
        <v/>
      </c>
      <c r="AR314" s="3">
        <v>1</v>
      </c>
      <c r="AS314" s="13">
        <v>-9.5</v>
      </c>
      <c r="AT314" s="13">
        <v>12.5</v>
      </c>
      <c r="AU314" s="19">
        <f t="shared" si="19"/>
        <v>2.6925824035672519</v>
      </c>
    </row>
    <row r="315" spans="1:47" ht="25.05" customHeight="1">
      <c r="A315" s="3">
        <v>12</v>
      </c>
      <c r="B315" s="2" t="s">
        <v>68</v>
      </c>
      <c r="C315" s="17" t="str">
        <f>IF($A315="","",IF(VLOOKUP($A315,Spiele!$A$2:$D$17,3,FALSE)=$B315,"H","G"))</f>
        <v>G</v>
      </c>
      <c r="D315" s="17" t="str">
        <f>IF($B315="","",IF(VLOOKUP($A315,Spiele!$A$2:$F$17,3,FALSE)=$B315,VLOOKUP($A315,Spiele!$A$2:$F$17,4,FALSE),VLOOKUP($A315,Spiele!$A$2:$F$17,3,FALSE)))</f>
        <v>FCN</v>
      </c>
      <c r="E315" s="18">
        <f>IF(Abschlüsse[[#This Row],[Ergeb]]="ET",0,COUNTIFS($A$2:$A315,$A315,$B$2:$B315,$B315,$L$2:$L315,"&lt;&gt;ET"))</f>
        <v>1</v>
      </c>
      <c r="F315" s="11">
        <v>13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$17,3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>2:1</v>
      </c>
      <c r="J315" s="18">
        <f>_xlfn.IFNA(IF(VLOOKUP($A315,Spiele!$A$2:$D$17,3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-2</v>
      </c>
      <c r="K315" s="3">
        <v>4</v>
      </c>
      <c r="L315" s="17" t="s">
        <v>0</v>
      </c>
      <c r="M315" s="2" t="s">
        <v>147</v>
      </c>
      <c r="N315" s="2" t="s">
        <v>172</v>
      </c>
      <c r="O315" s="17"/>
      <c r="AA315" s="2" t="s">
        <v>141</v>
      </c>
      <c r="AB315" s="17" t="s">
        <v>149</v>
      </c>
      <c r="AC315" s="14" t="s">
        <v>144</v>
      </c>
      <c r="AD315" s="14" t="s">
        <v>145</v>
      </c>
      <c r="AE315" s="18"/>
      <c r="AF315" s="13">
        <v>2.5</v>
      </c>
      <c r="AG315" s="13">
        <v>5.5</v>
      </c>
      <c r="AH315" s="19">
        <f t="shared" si="16"/>
        <v>5.5</v>
      </c>
      <c r="AI315" s="19">
        <f t="shared" si="17"/>
        <v>60.149357337726705</v>
      </c>
      <c r="AJ315" s="2" t="s">
        <v>146</v>
      </c>
      <c r="AK315" s="13">
        <v>2</v>
      </c>
      <c r="AL315" s="13">
        <v>0.5</v>
      </c>
      <c r="AM315" s="19">
        <f>IF(Abschlüsse[[#This Row],[Ergeb]]="ET","",SQRT(($AF315-$AK315)^2+($AG315-$AL315)^2))</f>
        <v>5.024937810560445</v>
      </c>
      <c r="AN315" s="3">
        <v>1</v>
      </c>
      <c r="AO315" s="13">
        <v>1.5</v>
      </c>
      <c r="AP315" s="13">
        <v>5.5</v>
      </c>
      <c r="AQ315" s="19">
        <f t="shared" si="18"/>
        <v>1</v>
      </c>
      <c r="AR315" s="3">
        <v>0</v>
      </c>
      <c r="AU315" s="19" t="str">
        <f t="shared" si="19"/>
        <v/>
      </c>
    </row>
    <row r="316" spans="1:47" ht="25.05" customHeight="1">
      <c r="A316" s="3">
        <v>12</v>
      </c>
      <c r="B316" s="2" t="s">
        <v>68</v>
      </c>
      <c r="C316" s="17" t="str">
        <f>IF($A316="","",IF(VLOOKUP($A316,Spiele!$A$2:$D$17,3,FALSE)=$B316,"H","G"))</f>
        <v>G</v>
      </c>
      <c r="D316" s="17" t="str">
        <f>IF($B316="","",IF(VLOOKUP($A316,Spiele!$A$2:$F$17,3,FALSE)=$B316,VLOOKUP($A316,Spiele!$A$2:$F$17,4,FALSE),VLOOKUP($A316,Spiele!$A$2:$F$17,3,FALSE)))</f>
        <v>FCN</v>
      </c>
      <c r="E316" s="18">
        <f>IF(Abschlüsse[[#This Row],[Ergeb]]="ET",0,COUNTIFS($A$2:$A316,$A316,$B$2:$B316,$B316,$L$2:$L316,"&lt;&gt;ET"))</f>
        <v>2</v>
      </c>
      <c r="F316" s="11">
        <v>17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$17,3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$17,3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-1</v>
      </c>
      <c r="K316" s="3">
        <v>5</v>
      </c>
      <c r="L316" s="17" t="s">
        <v>19</v>
      </c>
      <c r="M316" s="2" t="s">
        <v>140</v>
      </c>
      <c r="N316" s="2" t="s">
        <v>3</v>
      </c>
      <c r="O316" s="17"/>
      <c r="AA316" s="2" t="s">
        <v>141</v>
      </c>
      <c r="AB316" s="17" t="s">
        <v>143</v>
      </c>
      <c r="AC316" s="14" t="s">
        <v>150</v>
      </c>
      <c r="AD316" s="14" t="s">
        <v>145</v>
      </c>
      <c r="AE316" s="18"/>
      <c r="AF316" s="13">
        <v>5</v>
      </c>
      <c r="AG316" s="13">
        <v>19</v>
      </c>
      <c r="AH316" s="19">
        <f t="shared" si="16"/>
        <v>19.047194019067479</v>
      </c>
      <c r="AI316" s="19">
        <f t="shared" si="17"/>
        <v>20.468818692757591</v>
      </c>
      <c r="AJ316" s="2" t="s">
        <v>146</v>
      </c>
      <c r="AK316" s="13">
        <v>0</v>
      </c>
      <c r="AL316" s="13">
        <v>0.5</v>
      </c>
      <c r="AM316" s="19">
        <f>IF(Abschlüsse[[#This Row],[Ergeb]]="ET","",SQRT(($AF316-$AK316)^2+($AG316-$AL316)^2))</f>
        <v>19.1637678967368</v>
      </c>
      <c r="AN316" s="3">
        <v>0</v>
      </c>
      <c r="AO316" s="13"/>
      <c r="AP316" s="13"/>
      <c r="AQ316" s="19" t="str">
        <f t="shared" si="18"/>
        <v/>
      </c>
      <c r="AR316" s="3">
        <v>5</v>
      </c>
      <c r="AS316" s="13">
        <v>3</v>
      </c>
      <c r="AT316" s="13">
        <v>14</v>
      </c>
      <c r="AU316" s="19">
        <f t="shared" si="19"/>
        <v>5.3851648071345037</v>
      </c>
    </row>
    <row r="317" spans="1:47" ht="25.05" customHeight="1">
      <c r="A317" s="3">
        <v>12</v>
      </c>
      <c r="B317" s="2" t="s">
        <v>8</v>
      </c>
      <c r="C317" s="17" t="str">
        <f>IF($A317="","",IF(VLOOKUP($A317,Spiele!$A$2:$D$17,3,FALSE)=$B317,"H","G"))</f>
        <v>H</v>
      </c>
      <c r="D317" s="17" t="str">
        <f>IF($B317="","",IF(VLOOKUP($A317,Spiele!$A$2:$F$17,3,FALSE)=$B317,VLOOKUP($A317,Spiele!$A$2:$F$17,4,FALSE),VLOOKUP($A317,Spiele!$A$2:$F$17,3,FALSE)))</f>
        <v>FCB</v>
      </c>
      <c r="E317" s="18">
        <f>IF(Abschlüsse[[#This Row],[Ergeb]]="ET",0,COUNTIFS($A$2:$A317,$A317,$B$2:$B317,$B317,$L$2:$L317,"&lt;&gt;ET"))</f>
        <v>4</v>
      </c>
      <c r="F317" s="11">
        <v>21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$17,3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$17,3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1</v>
      </c>
      <c r="K317" s="3">
        <v>6</v>
      </c>
      <c r="L317" s="17" t="s">
        <v>19</v>
      </c>
      <c r="M317" s="2" t="s">
        <v>173</v>
      </c>
      <c r="N317" s="2" t="s">
        <v>173</v>
      </c>
      <c r="O317" s="17">
        <v>20</v>
      </c>
      <c r="AA317" s="2" t="s">
        <v>154</v>
      </c>
      <c r="AB317" s="17" t="s">
        <v>160</v>
      </c>
      <c r="AC317" s="14" t="s">
        <v>161</v>
      </c>
      <c r="AD317" s="14" t="s">
        <v>145</v>
      </c>
      <c r="AE317" s="18">
        <v>16</v>
      </c>
      <c r="AF317" s="13">
        <v>-2</v>
      </c>
      <c r="AG317" s="13">
        <v>2.5</v>
      </c>
      <c r="AH317" s="19">
        <f t="shared" si="16"/>
        <v>2.5</v>
      </c>
      <c r="AI317" s="19">
        <f t="shared" si="17"/>
        <v>99.753299249950416</v>
      </c>
      <c r="AJ317" s="2" t="s">
        <v>146</v>
      </c>
      <c r="AK317" s="13">
        <v>0</v>
      </c>
      <c r="AL317" s="13">
        <v>0.5</v>
      </c>
      <c r="AM317" s="19">
        <f>IF(Abschlüsse[[#This Row],[Ergeb]]="ET","",SQRT(($AF317-$AK317)^2+($AG317-$AL317)^2))</f>
        <v>2.8284271247461903</v>
      </c>
      <c r="AN317" s="3">
        <v>1</v>
      </c>
      <c r="AO317" s="13">
        <v>-0.5</v>
      </c>
      <c r="AP317" s="13">
        <v>3</v>
      </c>
      <c r="AQ317" s="19">
        <f t="shared" si="18"/>
        <v>1.5811388300841898</v>
      </c>
      <c r="AR317" s="3">
        <v>0</v>
      </c>
      <c r="AU317" s="19" t="str">
        <f t="shared" si="19"/>
        <v/>
      </c>
    </row>
    <row r="318" spans="1:47" ht="25.05" customHeight="1">
      <c r="A318" s="3">
        <v>12</v>
      </c>
      <c r="B318" s="2" t="s">
        <v>68</v>
      </c>
      <c r="C318" s="17" t="str">
        <f>IF($A318="","",IF(VLOOKUP($A318,Spiele!$A$2:$D$17,3,FALSE)=$B318,"H","G"))</f>
        <v>G</v>
      </c>
      <c r="D318" s="17" t="str">
        <f>IF($B318="","",IF(VLOOKUP($A318,Spiele!$A$2:$F$17,3,FALSE)=$B318,VLOOKUP($A318,Spiele!$A$2:$F$17,4,FALSE),VLOOKUP($A318,Spiele!$A$2:$F$17,3,FALSE)))</f>
        <v>FCN</v>
      </c>
      <c r="E318" s="18">
        <f>IF(Abschlüsse[[#This Row],[Ergeb]]="ET",0,COUNTIFS($A$2:$A318,$A318,$B$2:$B318,$B318,$L$2:$L318,"&lt;&gt;ET"))</f>
        <v>3</v>
      </c>
      <c r="F318" s="11">
        <v>21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$17,3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>2:2</v>
      </c>
      <c r="J318" s="18">
        <f>_xlfn.IFNA(IF(VLOOKUP($A318,Spiele!$A$2:$D$17,3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-1</v>
      </c>
      <c r="K318" s="3">
        <v>7</v>
      </c>
      <c r="L318" s="17" t="s">
        <v>0</v>
      </c>
      <c r="M318" s="2" t="s">
        <v>163</v>
      </c>
      <c r="N318" s="2" t="s">
        <v>172</v>
      </c>
      <c r="O318" s="17"/>
      <c r="AA318" s="2" t="s">
        <v>142</v>
      </c>
      <c r="AB318" s="17" t="s">
        <v>143</v>
      </c>
      <c r="AC318" s="14" t="s">
        <v>150</v>
      </c>
      <c r="AD318" s="14" t="s">
        <v>145</v>
      </c>
      <c r="AE318" s="18"/>
      <c r="AF318" s="13">
        <v>-0.5</v>
      </c>
      <c r="AG318" s="13">
        <v>6.5</v>
      </c>
      <c r="AH318" s="19">
        <f t="shared" si="16"/>
        <v>6.5</v>
      </c>
      <c r="AI318" s="19">
        <f t="shared" si="17"/>
        <v>58.546125075791529</v>
      </c>
      <c r="AJ318" s="2" t="s">
        <v>146</v>
      </c>
      <c r="AK318" s="13">
        <v>-0.5</v>
      </c>
      <c r="AL318" s="13">
        <v>4</v>
      </c>
      <c r="AM318" s="19">
        <f>IF(Abschlüsse[[#This Row],[Ergeb]]="ET","",SQRT(($AF318-$AK318)^2+($AG318-$AL318)^2))</f>
        <v>2.5</v>
      </c>
      <c r="AN318" s="3">
        <v>1</v>
      </c>
      <c r="AO318" s="13">
        <v>-1.5</v>
      </c>
      <c r="AP318" s="13">
        <v>8.5</v>
      </c>
      <c r="AQ318" s="19">
        <f t="shared" si="18"/>
        <v>2.2360679774997898</v>
      </c>
      <c r="AR318" s="3">
        <v>0</v>
      </c>
      <c r="AU318" s="19" t="str">
        <f t="shared" si="19"/>
        <v/>
      </c>
    </row>
    <row r="319" spans="1:47" ht="25.05" customHeight="1">
      <c r="A319" s="3">
        <v>12</v>
      </c>
      <c r="B319" s="2" t="s">
        <v>68</v>
      </c>
      <c r="C319" s="17" t="str">
        <f>IF($A319="","",IF(VLOOKUP($A319,Spiele!$A$2:$D$17,3,FALSE)=$B319,"H","G"))</f>
        <v>G</v>
      </c>
      <c r="D319" s="17" t="str">
        <f>IF($B319="","",IF(VLOOKUP($A319,Spiele!$A$2:$F$17,3,FALSE)=$B319,VLOOKUP($A319,Spiele!$A$2:$F$17,4,FALSE),VLOOKUP($A319,Spiele!$A$2:$F$17,3,FALSE)))</f>
        <v>FCN</v>
      </c>
      <c r="E319" s="18">
        <f>IF(Abschlüsse[[#This Row],[Ergeb]]="ET",0,COUNTIFS($A$2:$A319,$A319,$B$2:$B319,$B319,$L$2:$L319,"&lt;&gt;ET"))</f>
        <v>4</v>
      </c>
      <c r="F319" s="11">
        <v>22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$17,3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$17,3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8</v>
      </c>
      <c r="L319" s="17" t="s">
        <v>18</v>
      </c>
      <c r="M319" s="2" t="s">
        <v>147</v>
      </c>
      <c r="N319" s="2" t="s">
        <v>153</v>
      </c>
      <c r="O319" s="17"/>
      <c r="AA319" s="2" t="s">
        <v>141</v>
      </c>
      <c r="AB319" s="17" t="s">
        <v>143</v>
      </c>
      <c r="AC319" s="14" t="s">
        <v>144</v>
      </c>
      <c r="AD319" s="14" t="s">
        <v>145</v>
      </c>
      <c r="AE319" s="18"/>
      <c r="AF319" s="13">
        <v>0.5</v>
      </c>
      <c r="AG319" s="13">
        <v>6.5</v>
      </c>
      <c r="AH319" s="19">
        <f t="shared" si="16"/>
        <v>6.5</v>
      </c>
      <c r="AI319" s="19">
        <f t="shared" si="17"/>
        <v>58.546125075791529</v>
      </c>
      <c r="AJ319" s="2" t="s">
        <v>146</v>
      </c>
      <c r="AK319" s="13">
        <v>0.5</v>
      </c>
      <c r="AL319" s="13">
        <v>2</v>
      </c>
      <c r="AM319" s="19">
        <f>IF(Abschlüsse[[#This Row],[Ergeb]]="ET","",SQRT(($AF319-$AK319)^2+($AG319-$AL319)^2))</f>
        <v>4.5</v>
      </c>
      <c r="AN319" s="3">
        <v>0</v>
      </c>
      <c r="AO319" s="13"/>
      <c r="AP319" s="13"/>
      <c r="AQ319" s="19" t="str">
        <f t="shared" si="18"/>
        <v/>
      </c>
      <c r="AR319" s="3">
        <v>0</v>
      </c>
      <c r="AU319" s="19" t="str">
        <f t="shared" si="19"/>
        <v/>
      </c>
    </row>
    <row r="320" spans="1:47" ht="25.05" customHeight="1">
      <c r="A320" s="3">
        <v>12</v>
      </c>
      <c r="B320" s="2" t="s">
        <v>68</v>
      </c>
      <c r="C320" s="17" t="str">
        <f>IF($A320="","",IF(VLOOKUP($A320,Spiele!$A$2:$D$17,3,FALSE)=$B320,"H","G"))</f>
        <v>G</v>
      </c>
      <c r="D320" s="17" t="str">
        <f>IF($B320="","",IF(VLOOKUP($A320,Spiele!$A$2:$F$17,3,FALSE)=$B320,VLOOKUP($A320,Spiele!$A$2:$F$17,4,FALSE),VLOOKUP($A320,Spiele!$A$2:$F$17,3,FALSE)))</f>
        <v>FCN</v>
      </c>
      <c r="E320" s="18">
        <f>IF(Abschlüsse[[#This Row],[Ergeb]]="ET",0,COUNTIFS($A$2:$A320,$A320,$B$2:$B320,$B320,$L$2:$L320,"&lt;&gt;ET"))</f>
        <v>5</v>
      </c>
      <c r="F320" s="11">
        <v>22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$17,3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>2:3</v>
      </c>
      <c r="J320" s="18">
        <f>_xlfn.IFNA(IF(VLOOKUP($A320,Spiele!$A$2:$D$17,3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8</v>
      </c>
      <c r="L320" s="17" t="s">
        <v>0</v>
      </c>
      <c r="M320" s="2" t="s">
        <v>147</v>
      </c>
      <c r="N320" s="2" t="s">
        <v>165</v>
      </c>
      <c r="O320" s="17"/>
      <c r="AA320" s="2" t="s">
        <v>151</v>
      </c>
      <c r="AB320" s="17" t="s">
        <v>143</v>
      </c>
      <c r="AC320" s="14" t="s">
        <v>150</v>
      </c>
      <c r="AD320" s="14" t="s">
        <v>145</v>
      </c>
      <c r="AE320" s="18"/>
      <c r="AF320" s="13">
        <v>-5</v>
      </c>
      <c r="AG320" s="13">
        <v>2.5</v>
      </c>
      <c r="AH320" s="19">
        <f t="shared" si="16"/>
        <v>2.8364766877236978</v>
      </c>
      <c r="AI320" s="19">
        <f t="shared" si="17"/>
        <v>45.706130006822427</v>
      </c>
      <c r="AJ320" s="2" t="s">
        <v>169</v>
      </c>
      <c r="AK320" s="13">
        <v>-0.5</v>
      </c>
      <c r="AL320" s="13">
        <v>1.5</v>
      </c>
      <c r="AM320" s="19">
        <f>IF(Abschlüsse[[#This Row],[Ergeb]]="ET","",SQRT(($AF320-$AK320)^2+($AG320-$AL320)^2))</f>
        <v>4.6097722286464435</v>
      </c>
      <c r="AN320" s="3">
        <v>0</v>
      </c>
      <c r="AO320" s="13"/>
      <c r="AP320" s="13"/>
      <c r="AQ320" s="19" t="str">
        <f t="shared" si="18"/>
        <v/>
      </c>
      <c r="AR320" s="3">
        <v>0</v>
      </c>
      <c r="AU320" s="19" t="str">
        <f t="shared" si="19"/>
        <v/>
      </c>
    </row>
    <row r="321" spans="1:47" ht="25.05" customHeight="1">
      <c r="A321" s="3">
        <v>12</v>
      </c>
      <c r="B321" s="2" t="s">
        <v>8</v>
      </c>
      <c r="C321" s="17" t="str">
        <f>IF($A321="","",IF(VLOOKUP($A321,Spiele!$A$2:$D$17,3,FALSE)=$B321,"H","G"))</f>
        <v>H</v>
      </c>
      <c r="D321" s="17" t="str">
        <f>IF($B321="","",IF(VLOOKUP($A321,Spiele!$A$2:$F$17,3,FALSE)=$B321,VLOOKUP($A321,Spiele!$A$2:$F$17,4,FALSE),VLOOKUP($A321,Spiele!$A$2:$F$17,3,FALSE)))</f>
        <v>FCB</v>
      </c>
      <c r="E321" s="18">
        <f>IF(Abschlüsse[[#This Row],[Ergeb]]="ET",0,COUNTIFS($A$2:$A321,$A321,$B$2:$B321,$B321,$L$2:$L321,"&lt;&gt;ET"))</f>
        <v>5</v>
      </c>
      <c r="F321" s="11">
        <v>25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$17,3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$17,3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-1</v>
      </c>
      <c r="K321" s="3">
        <v>9</v>
      </c>
      <c r="L321" s="17" t="s">
        <v>18</v>
      </c>
      <c r="M321" s="2" t="s">
        <v>147</v>
      </c>
      <c r="N321" s="2" t="s">
        <v>152</v>
      </c>
      <c r="O321" s="17">
        <v>10</v>
      </c>
      <c r="P321" s="2">
        <v>6</v>
      </c>
      <c r="Q321" s="2">
        <v>20</v>
      </c>
      <c r="R321" s="2">
        <v>1</v>
      </c>
      <c r="S321" s="2">
        <v>16</v>
      </c>
      <c r="AA321" s="2" t="s">
        <v>151</v>
      </c>
      <c r="AB321" s="17" t="s">
        <v>143</v>
      </c>
      <c r="AC321" s="14" t="s">
        <v>150</v>
      </c>
      <c r="AD321" s="14" t="s">
        <v>156</v>
      </c>
      <c r="AE321" s="18">
        <v>8</v>
      </c>
      <c r="AF321" s="13">
        <v>-8</v>
      </c>
      <c r="AG321" s="13">
        <v>12</v>
      </c>
      <c r="AH321" s="19">
        <f t="shared" si="16"/>
        <v>12.76070530966059</v>
      </c>
      <c r="AI321" s="19">
        <f t="shared" si="17"/>
        <v>24.293333882874293</v>
      </c>
      <c r="AJ321" s="2" t="s">
        <v>146</v>
      </c>
      <c r="AK321" s="13">
        <v>-2.5</v>
      </c>
      <c r="AL321" s="13">
        <v>3.5</v>
      </c>
      <c r="AM321" s="19">
        <f>IF(Abschlüsse[[#This Row],[Ergeb]]="ET","",SQRT(($AF321-$AK321)^2+($AG321-$AL321)^2))</f>
        <v>10.124228365658293</v>
      </c>
      <c r="AN321" s="3">
        <v>2</v>
      </c>
      <c r="AO321" s="13">
        <v>-6.5</v>
      </c>
      <c r="AP321" s="13">
        <v>11</v>
      </c>
      <c r="AQ321" s="19">
        <f t="shared" si="18"/>
        <v>1.8027756377319946</v>
      </c>
      <c r="AR321" s="3">
        <v>0</v>
      </c>
      <c r="AU321" s="19" t="str">
        <f t="shared" si="19"/>
        <v/>
      </c>
    </row>
    <row r="322" spans="1:47" ht="25.05" customHeight="1">
      <c r="A322" s="3">
        <v>12</v>
      </c>
      <c r="B322" s="2" t="s">
        <v>8</v>
      </c>
      <c r="C322" s="17" t="str">
        <f>IF($A322="","",IF(VLOOKUP($A322,Spiele!$A$2:$D$17,3,FALSE)=$B322,"H","G"))</f>
        <v>H</v>
      </c>
      <c r="D322" s="17" t="str">
        <f>IF($B322="","",IF(VLOOKUP($A322,Spiele!$A$2:$F$17,3,FALSE)=$B322,VLOOKUP($A322,Spiele!$A$2:$F$17,4,FALSE),VLOOKUP($A322,Spiele!$A$2:$F$17,3,FALSE)))</f>
        <v>FCB</v>
      </c>
      <c r="E322" s="18">
        <f>IF(Abschlüsse[[#This Row],[Ergeb]]="ET",0,COUNTIFS($A$2:$A322,$A322,$B$2:$B322,$B322,$L$2:$L322,"&lt;&gt;ET"))</f>
        <v>6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$17,3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>3:3</v>
      </c>
      <c r="J322" s="18">
        <f>_xlfn.IFNA(IF(VLOOKUP($A322,Spiele!$A$2:$D$17,3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-1</v>
      </c>
      <c r="K322" s="3">
        <v>9</v>
      </c>
      <c r="L322" s="17" t="s">
        <v>0</v>
      </c>
      <c r="M322" s="2" t="s">
        <v>173</v>
      </c>
      <c r="N322" s="2" t="s">
        <v>165</v>
      </c>
      <c r="O322" s="17"/>
      <c r="AA322" s="2" t="s">
        <v>141</v>
      </c>
      <c r="AB322" s="17" t="s">
        <v>149</v>
      </c>
      <c r="AC322" s="14" t="s">
        <v>144</v>
      </c>
      <c r="AD322" s="14" t="s">
        <v>145</v>
      </c>
      <c r="AE322" s="18">
        <v>7</v>
      </c>
      <c r="AF322" s="13">
        <v>4</v>
      </c>
      <c r="AG322" s="13">
        <v>6</v>
      </c>
      <c r="AH322" s="19">
        <f t="shared" ref="AH322:AH385" si="20">IF($L322="ET","",IF($AF322&gt;3.66,SQRT($AG322^2+($AF322-(7.32/2))^2),IF($AF322&lt;-3.66,SQRT($AG322^2+($AF322+(7.32/2))^2),$AG322)))</f>
        <v>6.0096256122989891</v>
      </c>
      <c r="AI322" s="19">
        <f t="shared" ref="AI322:AI385" si="21">IF($L322="ET","",IF(DEGREES(ATAN((7.32*$AG322)/($AG322^2+$AF322^2-(7.32/2)^2)))&lt;=0,180+DEGREES(ATAN((7.32*$AG322)/($AG322^2+$AF322^2-(7.32/2)^2))),DEGREES(ATAN((7.32*$AG322)/($AG322^2+$AF322^2-(7.32/2)^2)))))</f>
        <v>48.68547103685485</v>
      </c>
      <c r="AJ322" s="2" t="s">
        <v>169</v>
      </c>
      <c r="AK322" s="13">
        <v>-1.5</v>
      </c>
      <c r="AL322" s="13">
        <v>3.5</v>
      </c>
      <c r="AM322" s="19">
        <f>IF(Abschlüsse[[#This Row],[Ergeb]]="ET","",SQRT(($AF322-$AK322)^2+($AG322-$AL322)^2))</f>
        <v>6.0415229867972862</v>
      </c>
      <c r="AN322" s="3">
        <v>1</v>
      </c>
      <c r="AO322" s="13">
        <v>1.5</v>
      </c>
      <c r="AP322" s="13">
        <v>7</v>
      </c>
      <c r="AQ322" s="19">
        <f t="shared" si="18"/>
        <v>2.6925824035672519</v>
      </c>
      <c r="AR322" s="3">
        <v>1</v>
      </c>
      <c r="AS322" s="13">
        <v>3.5</v>
      </c>
      <c r="AT322" s="13">
        <v>3.5</v>
      </c>
      <c r="AU322" s="19">
        <f t="shared" si="19"/>
        <v>2.5495097567963922</v>
      </c>
    </row>
    <row r="323" spans="1:47" ht="25.05" customHeight="1">
      <c r="A323" s="3">
        <v>12</v>
      </c>
      <c r="B323" s="2" t="s">
        <v>8</v>
      </c>
      <c r="C323" s="17" t="str">
        <f>IF($A323="","",IF(VLOOKUP($A323,Spiele!$A$2:$D$17,3,FALSE)=$B323,"H","G"))</f>
        <v>H</v>
      </c>
      <c r="D323" s="17" t="str">
        <f>IF($B323="","",IF(VLOOKUP($A323,Spiele!$A$2:$F$17,3,FALSE)=$B323,VLOOKUP($A323,Spiele!$A$2:$F$17,4,FALSE),VLOOKUP($A323,Spiele!$A$2:$F$17,3,FALSE)))</f>
        <v>FCB</v>
      </c>
      <c r="E323" s="18">
        <f>IF(Abschlüsse[[#This Row],[Ergeb]]="ET",0,COUNTIFS($A$2:$A323,$A323,$B$2:$B323,$B323,$L$2:$L323,"&lt;&gt;ET"))</f>
        <v>7</v>
      </c>
      <c r="F323" s="11">
        <v>33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$17,3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>4:3</v>
      </c>
      <c r="J323" s="18">
        <f>_xlfn.IFNA(IF(VLOOKUP($A323,Spiele!$A$2:$D$17,3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0</v>
      </c>
      <c r="M323" s="2" t="s">
        <v>177</v>
      </c>
      <c r="O323" s="17"/>
      <c r="AA323" s="2" t="s">
        <v>142</v>
      </c>
      <c r="AB323" s="17" t="s">
        <v>143</v>
      </c>
      <c r="AC323" s="14" t="s">
        <v>150</v>
      </c>
      <c r="AD323" s="14" t="s">
        <v>145</v>
      </c>
      <c r="AE323" s="18">
        <v>7</v>
      </c>
      <c r="AF323" s="13">
        <v>0</v>
      </c>
      <c r="AG323" s="13">
        <v>11</v>
      </c>
      <c r="AH323" s="19">
        <f t="shared" si="20"/>
        <v>11</v>
      </c>
      <c r="AI323" s="19">
        <f t="shared" si="21"/>
        <v>36.807381798785883</v>
      </c>
      <c r="AJ323" s="2" t="s">
        <v>146</v>
      </c>
      <c r="AK323" s="13">
        <v>0</v>
      </c>
      <c r="AL323" s="13">
        <v>0</v>
      </c>
      <c r="AM323" s="19">
        <f>IF(Abschlüsse[[#This Row],[Ergeb]]="ET","",SQRT(($AF323-$AK323)^2+($AG323-$AL323)^2))</f>
        <v>11</v>
      </c>
      <c r="AN323" s="3">
        <v>0</v>
      </c>
      <c r="AO323" s="13"/>
      <c r="AP323" s="13"/>
      <c r="AQ323" s="19" t="str">
        <f t="shared" si="18"/>
        <v/>
      </c>
      <c r="AR323" s="3">
        <v>0</v>
      </c>
      <c r="AU323" s="19" t="str">
        <f t="shared" si="19"/>
        <v/>
      </c>
    </row>
    <row r="324" spans="1:47" ht="25.05" customHeight="1">
      <c r="A324" s="3">
        <v>12</v>
      </c>
      <c r="B324" s="2" t="s">
        <v>68</v>
      </c>
      <c r="C324" s="17" t="str">
        <f>IF($A324="","",IF(VLOOKUP($A324,Spiele!$A$2:$D$17,3,FALSE)=$B324,"H","G"))</f>
        <v>G</v>
      </c>
      <c r="D324" s="17" t="str">
        <f>IF($B324="","",IF(VLOOKUP($A324,Spiele!$A$2:$F$17,3,FALSE)=$B324,VLOOKUP($A324,Spiele!$A$2:$F$17,4,FALSE),VLOOKUP($A324,Spiele!$A$2:$F$17,3,FALSE)))</f>
        <v>FCN</v>
      </c>
      <c r="E324" s="18">
        <f>IF(Abschlüsse[[#This Row],[Ergeb]]="ET",0,COUNTIFS($A$2:$A324,$A324,$B$2:$B324,$B324,$L$2:$L324,"&lt;&gt;ET"))</f>
        <v>6</v>
      </c>
      <c r="F324" s="11">
        <v>34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$17,3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$17,3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-1</v>
      </c>
      <c r="K324" s="3">
        <v>11</v>
      </c>
      <c r="L324" s="17" t="s">
        <v>19</v>
      </c>
      <c r="M324" s="2" t="s">
        <v>163</v>
      </c>
      <c r="N324" s="2" t="s">
        <v>158</v>
      </c>
      <c r="O324" s="17"/>
      <c r="AA324" s="2" t="s">
        <v>151</v>
      </c>
      <c r="AB324" s="17" t="s">
        <v>143</v>
      </c>
      <c r="AC324" s="14" t="s">
        <v>150</v>
      </c>
      <c r="AD324" s="14" t="s">
        <v>156</v>
      </c>
      <c r="AE324" s="18"/>
      <c r="AF324" s="13">
        <v>1.5</v>
      </c>
      <c r="AG324" s="13">
        <v>25.5</v>
      </c>
      <c r="AH324" s="19">
        <f t="shared" si="20"/>
        <v>25.5</v>
      </c>
      <c r="AI324" s="19">
        <f t="shared" si="21"/>
        <v>16.281233769245208</v>
      </c>
      <c r="AJ324" s="2" t="s">
        <v>146</v>
      </c>
      <c r="AK324" s="13">
        <v>0</v>
      </c>
      <c r="AL324" s="13">
        <v>2.5</v>
      </c>
      <c r="AM324" s="19">
        <f>IF(Abschlüsse[[#This Row],[Ergeb]]="ET","",SQRT(($AF324-$AK324)^2+($AG324-$AL324)^2))</f>
        <v>23.048861143232219</v>
      </c>
      <c r="AN324" s="3">
        <v>2</v>
      </c>
      <c r="AO324" s="13">
        <v>1</v>
      </c>
      <c r="AP324" s="13">
        <v>25</v>
      </c>
      <c r="AQ324" s="19">
        <f t="shared" si="18"/>
        <v>0.70710678118654757</v>
      </c>
      <c r="AR324" s="3">
        <v>1</v>
      </c>
      <c r="AS324" s="13">
        <v>0</v>
      </c>
      <c r="AT324" s="13">
        <v>16.5</v>
      </c>
      <c r="AU324" s="19">
        <f t="shared" si="19"/>
        <v>9.1241437954473295</v>
      </c>
    </row>
    <row r="325" spans="1:47" ht="25.05" customHeight="1">
      <c r="A325" s="3">
        <v>12</v>
      </c>
      <c r="B325" s="2" t="s">
        <v>8</v>
      </c>
      <c r="C325" s="17" t="str">
        <f>IF($A325="","",IF(VLOOKUP($A325,Spiele!$A$2:$D$17,3,FALSE)=$B325,"H","G"))</f>
        <v>H</v>
      </c>
      <c r="D325" s="17" t="str">
        <f>IF($B325="","",IF(VLOOKUP($A325,Spiele!$A$2:$F$17,3,FALSE)=$B325,VLOOKUP($A325,Spiele!$A$2:$F$17,4,FALSE),VLOOKUP($A325,Spiele!$A$2:$F$17,3,FALSE)))</f>
        <v>FCB</v>
      </c>
      <c r="E325" s="18">
        <f>IF(Abschlüsse[[#This Row],[Ergeb]]="ET",0,COUNTIFS($A$2:$A325,$A325,$B$2:$B325,$B325,$L$2:$L325,"&lt;&gt;ET"))</f>
        <v>8</v>
      </c>
      <c r="F325" s="11">
        <v>38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$17,3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$17,3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1</v>
      </c>
      <c r="K325" s="3">
        <v>12</v>
      </c>
      <c r="L325" s="17" t="s">
        <v>19</v>
      </c>
      <c r="M325" s="2" t="s">
        <v>147</v>
      </c>
      <c r="N325" s="2" t="s">
        <v>172</v>
      </c>
      <c r="O325" s="17">
        <v>9</v>
      </c>
      <c r="P325" s="2">
        <v>26</v>
      </c>
      <c r="Q325" s="2">
        <v>16</v>
      </c>
      <c r="R325" s="2">
        <v>6</v>
      </c>
      <c r="AA325" s="2" t="s">
        <v>142</v>
      </c>
      <c r="AB325" s="17" t="s">
        <v>149</v>
      </c>
      <c r="AC325" s="14" t="s">
        <v>150</v>
      </c>
      <c r="AD325" s="14" t="s">
        <v>145</v>
      </c>
      <c r="AE325" s="18">
        <v>10</v>
      </c>
      <c r="AF325" s="13">
        <v>-4.5</v>
      </c>
      <c r="AG325" s="13">
        <v>7.5</v>
      </c>
      <c r="AH325" s="19">
        <f t="shared" si="20"/>
        <v>7.5468934005986856</v>
      </c>
      <c r="AI325" s="19">
        <f t="shared" si="21"/>
        <v>41.022841118202912</v>
      </c>
      <c r="AJ325" s="2" t="s">
        <v>146</v>
      </c>
      <c r="AK325" s="13">
        <v>-0.5</v>
      </c>
      <c r="AL325" s="13">
        <v>2.5</v>
      </c>
      <c r="AM325" s="19">
        <f>IF(Abschlüsse[[#This Row],[Ergeb]]="ET","",SQRT(($AF325-$AK325)^2+($AG325-$AL325)^2))</f>
        <v>6.4031242374328485</v>
      </c>
      <c r="AN325" s="3">
        <v>0</v>
      </c>
      <c r="AO325" s="13"/>
      <c r="AP325" s="13"/>
      <c r="AQ325" s="19" t="str">
        <f t="shared" si="18"/>
        <v/>
      </c>
      <c r="AR325" s="3">
        <v>0</v>
      </c>
      <c r="AU325" s="19" t="str">
        <f t="shared" si="19"/>
        <v/>
      </c>
    </row>
    <row r="326" spans="1:47" ht="25.05" customHeight="1">
      <c r="A326" s="3">
        <v>12</v>
      </c>
      <c r="B326" s="2" t="s">
        <v>68</v>
      </c>
      <c r="C326" s="17" t="str">
        <f>IF($A326="","",IF(VLOOKUP($A326,Spiele!$A$2:$D$17,3,FALSE)=$B326,"H","G"))</f>
        <v>G</v>
      </c>
      <c r="D326" s="17" t="str">
        <f>IF($B326="","",IF(VLOOKUP($A326,Spiele!$A$2:$F$17,3,FALSE)=$B326,VLOOKUP($A326,Spiele!$A$2:$F$17,4,FALSE),VLOOKUP($A326,Spiele!$A$2:$F$17,3,FALSE)))</f>
        <v>FCN</v>
      </c>
      <c r="E326" s="18">
        <f>IF(Abschlüsse[[#This Row],[Ergeb]]="ET",0,COUNTIFS($A$2:$A326,$A326,$B$2:$B326,$B326,$L$2:$L326,"&lt;&gt;ET"))</f>
        <v>7</v>
      </c>
      <c r="F326" s="11">
        <v>41</v>
      </c>
      <c r="G326" s="12">
        <v>2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$17,3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>4:4</v>
      </c>
      <c r="J326" s="18">
        <f>_xlfn.IFNA(IF(VLOOKUP($A326,Spiele!$A$2:$D$17,3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-1</v>
      </c>
      <c r="K326" s="3">
        <v>13</v>
      </c>
      <c r="L326" s="17" t="s">
        <v>0</v>
      </c>
      <c r="M326" s="2" t="s">
        <v>163</v>
      </c>
      <c r="N326" s="2" t="s">
        <v>172</v>
      </c>
      <c r="O326" s="17"/>
      <c r="AA326" s="2" t="s">
        <v>142</v>
      </c>
      <c r="AB326" s="17" t="s">
        <v>143</v>
      </c>
      <c r="AC326" s="14" t="s">
        <v>150</v>
      </c>
      <c r="AD326" s="14" t="s">
        <v>162</v>
      </c>
      <c r="AE326" s="18"/>
      <c r="AF326" s="13">
        <v>4</v>
      </c>
      <c r="AG326" s="13">
        <v>4.5</v>
      </c>
      <c r="AH326" s="19">
        <f t="shared" si="20"/>
        <v>4.5128261654976249</v>
      </c>
      <c r="AI326" s="19">
        <f t="shared" si="21"/>
        <v>55.246349459702699</v>
      </c>
      <c r="AJ326" s="2" t="s">
        <v>146</v>
      </c>
      <c r="AK326" s="13">
        <v>3.5</v>
      </c>
      <c r="AL326" s="13">
        <v>1</v>
      </c>
      <c r="AM326" s="19">
        <f>IF(Abschlüsse[[#This Row],[Ergeb]]="ET","",SQRT(($AF326-$AK326)^2+($AG326-$AL326)^2))</f>
        <v>3.5355339059327378</v>
      </c>
      <c r="AN326" s="3">
        <v>0</v>
      </c>
      <c r="AO326" s="13"/>
      <c r="AP326" s="13"/>
      <c r="AQ326" s="19" t="str">
        <f t="shared" si="18"/>
        <v/>
      </c>
      <c r="AR326" s="3">
        <v>1</v>
      </c>
      <c r="AS326" s="13">
        <v>3.5</v>
      </c>
      <c r="AT326" s="13">
        <v>4</v>
      </c>
      <c r="AU326" s="19">
        <f t="shared" si="19"/>
        <v>0.70710678118654757</v>
      </c>
    </row>
    <row r="327" spans="1:47" ht="25.05" customHeight="1">
      <c r="A327" s="3">
        <v>12</v>
      </c>
      <c r="B327" s="2" t="s">
        <v>68</v>
      </c>
      <c r="C327" s="17" t="str">
        <f>IF($A327="","",IF(VLOOKUP($A327,Spiele!$A$2:$D$17,3,FALSE)=$B327,"H","G"))</f>
        <v>G</v>
      </c>
      <c r="D327" s="17" t="str">
        <f>IF($B327="","",IF(VLOOKUP($A327,Spiele!$A$2:$F$17,3,FALSE)=$B327,VLOOKUP($A327,Spiele!$A$2:$F$17,4,FALSE),VLOOKUP($A327,Spiele!$A$2:$F$17,3,FALSE)))</f>
        <v>FCN</v>
      </c>
      <c r="E327" s="18">
        <f>IF(Abschlüsse[[#This Row],[Ergeb]]="ET",0,COUNTIFS($A$2:$A327,$A327,$B$2:$B327,$B327,$L$2:$L327,"&lt;&gt;ET"))</f>
        <v>8</v>
      </c>
      <c r="F327" s="11">
        <v>42</v>
      </c>
      <c r="G327" s="12">
        <v>2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$17,3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>4:5</v>
      </c>
      <c r="J327" s="18">
        <f>_xlfn.IFNA(IF(VLOOKUP($A327,Spiele!$A$2:$D$17,3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0</v>
      </c>
      <c r="M327" s="2" t="s">
        <v>163</v>
      </c>
      <c r="N327" s="2" t="s">
        <v>164</v>
      </c>
      <c r="O327" s="17"/>
      <c r="AA327" s="2" t="s">
        <v>151</v>
      </c>
      <c r="AB327" s="17" t="s">
        <v>149</v>
      </c>
      <c r="AC327" s="14" t="s">
        <v>150</v>
      </c>
      <c r="AD327" s="14" t="s">
        <v>156</v>
      </c>
      <c r="AE327" s="18"/>
      <c r="AF327" s="13">
        <v>-2</v>
      </c>
      <c r="AG327" s="13">
        <v>18</v>
      </c>
      <c r="AH327" s="19">
        <f t="shared" si="20"/>
        <v>18</v>
      </c>
      <c r="AI327" s="19">
        <f t="shared" si="21"/>
        <v>22.724505268660117</v>
      </c>
      <c r="AJ327" s="2" t="s">
        <v>146</v>
      </c>
      <c r="AK327" s="13">
        <v>0</v>
      </c>
      <c r="AL327" s="13">
        <v>1.5</v>
      </c>
      <c r="AM327" s="19">
        <f>IF(Abschlüsse[[#This Row],[Ergeb]]="ET","",SQRT(($AF327-$AK327)^2+($AG327-$AL327)^2))</f>
        <v>16.620770138594661</v>
      </c>
      <c r="AN327" s="3">
        <v>0</v>
      </c>
      <c r="AO327" s="13"/>
      <c r="AP327" s="13"/>
      <c r="AQ327" s="19" t="str">
        <f t="shared" si="18"/>
        <v/>
      </c>
      <c r="AR327" s="3">
        <v>2</v>
      </c>
      <c r="AS327" s="13">
        <v>-3</v>
      </c>
      <c r="AT327" s="13">
        <v>16</v>
      </c>
      <c r="AU327" s="19">
        <f t="shared" si="19"/>
        <v>2.2360679774997898</v>
      </c>
    </row>
    <row r="328" spans="1:47" ht="25.05" customHeight="1">
      <c r="A328" s="3">
        <v>12</v>
      </c>
      <c r="B328" s="2" t="s">
        <v>8</v>
      </c>
      <c r="C328" s="17" t="str">
        <f>IF($A328="","",IF(VLOOKUP($A328,Spiele!$A$2:$D$17,3,FALSE)=$B328,"H","G"))</f>
        <v>H</v>
      </c>
      <c r="D328" s="17" t="str">
        <f>IF($B328="","",IF(VLOOKUP($A328,Spiele!$A$2:$F$17,3,FALSE)=$B328,VLOOKUP($A328,Spiele!$A$2:$F$17,4,FALSE),VLOOKUP($A328,Spiele!$A$2:$F$17,3,FALSE)))</f>
        <v>FCB</v>
      </c>
      <c r="E328" s="18">
        <f>IF(Abschlüsse[[#This Row],[Ergeb]]="ET",0,COUNTIFS($A$2:$A328,$A328,$B$2:$B328,$B328,$L$2:$L328,"&lt;&gt;ET"))</f>
        <v>9</v>
      </c>
      <c r="F328" s="11">
        <v>46</v>
      </c>
      <c r="G328" s="12">
        <v>2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$17,3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5:5</v>
      </c>
      <c r="J328" s="18">
        <f>_xlfn.IFNA(IF(VLOOKUP($A328,Spiele!$A$2:$D$17,3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-1</v>
      </c>
      <c r="K328" s="3">
        <v>15</v>
      </c>
      <c r="L328" s="17" t="s">
        <v>0</v>
      </c>
      <c r="M328" s="2" t="s">
        <v>163</v>
      </c>
      <c r="N328" s="2" t="s">
        <v>148</v>
      </c>
      <c r="O328" s="17">
        <v>8</v>
      </c>
      <c r="AA328" s="2" t="s">
        <v>151</v>
      </c>
      <c r="AB328" s="17" t="s">
        <v>143</v>
      </c>
      <c r="AC328" s="14" t="s">
        <v>150</v>
      </c>
      <c r="AD328" s="14" t="s">
        <v>145</v>
      </c>
      <c r="AE328" s="18">
        <v>9</v>
      </c>
      <c r="AF328" s="13">
        <v>4</v>
      </c>
      <c r="AG328" s="13">
        <v>19.5</v>
      </c>
      <c r="AH328" s="19">
        <f t="shared" si="20"/>
        <v>19.502963877318749</v>
      </c>
      <c r="AI328" s="19">
        <f t="shared" si="21"/>
        <v>20.447016046102707</v>
      </c>
      <c r="AJ328" s="2" t="s">
        <v>146</v>
      </c>
      <c r="AK328" s="13">
        <v>2</v>
      </c>
      <c r="AL328" s="13">
        <v>5.5</v>
      </c>
      <c r="AM328" s="19">
        <f>IF(Abschlüsse[[#This Row],[Ergeb]]="ET","",SQRT(($AF328-$AK328)^2+($AG328-$AL328)^2))</f>
        <v>14.142135623730951</v>
      </c>
      <c r="AN328" s="3">
        <v>1</v>
      </c>
      <c r="AO328" s="13">
        <v>2</v>
      </c>
      <c r="AP328" s="13">
        <v>19</v>
      </c>
      <c r="AQ328" s="19">
        <f t="shared" si="18"/>
        <v>2.0615528128088303</v>
      </c>
      <c r="AR328" s="3">
        <v>0</v>
      </c>
      <c r="AU328" s="19" t="str">
        <f t="shared" si="19"/>
        <v/>
      </c>
    </row>
    <row r="329" spans="1:47" ht="25.05" customHeight="1">
      <c r="A329" s="3">
        <v>12</v>
      </c>
      <c r="B329" s="2" t="s">
        <v>68</v>
      </c>
      <c r="C329" s="17" t="str">
        <f>IF($A329="","",IF(VLOOKUP($A329,Spiele!$A$2:$D$17,3,FALSE)=$B329,"H","G"))</f>
        <v>G</v>
      </c>
      <c r="D329" s="17" t="str">
        <f>IF($B329="","",IF(VLOOKUP($A329,Spiele!$A$2:$F$17,3,FALSE)=$B329,VLOOKUP($A329,Spiele!$A$2:$F$17,4,FALSE),VLOOKUP($A329,Spiele!$A$2:$F$17,3,FALSE)))</f>
        <v>FCN</v>
      </c>
      <c r="E329" s="18">
        <f>IF(Abschlüsse[[#This Row],[Ergeb]]="ET",0,COUNTIFS($A$2:$A329,$A329,$B$2:$B329,$B329,$L$2:$L329,"&lt;&gt;ET"))</f>
        <v>9</v>
      </c>
      <c r="F329" s="11">
        <v>54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$17,3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$17,3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0</v>
      </c>
      <c r="K329" s="3">
        <v>16</v>
      </c>
      <c r="L329" s="17" t="s">
        <v>18</v>
      </c>
      <c r="M329" s="2" t="s">
        <v>147</v>
      </c>
      <c r="N329" s="2" t="s">
        <v>164</v>
      </c>
      <c r="O329" s="17"/>
      <c r="AA329" s="2" t="s">
        <v>151</v>
      </c>
      <c r="AB329" s="17" t="s">
        <v>149</v>
      </c>
      <c r="AC329" s="14" t="s">
        <v>150</v>
      </c>
      <c r="AD329" s="14" t="s">
        <v>145</v>
      </c>
      <c r="AE329" s="18"/>
      <c r="AF329" s="13">
        <v>-12.5</v>
      </c>
      <c r="AG329" s="13">
        <v>4.5</v>
      </c>
      <c r="AH329" s="19">
        <f t="shared" si="20"/>
        <v>9.919455630224876</v>
      </c>
      <c r="AI329" s="19">
        <f t="shared" si="21"/>
        <v>11.417681598929315</v>
      </c>
      <c r="AJ329" s="2" t="s">
        <v>146</v>
      </c>
      <c r="AK329" s="13">
        <v>-4</v>
      </c>
      <c r="AL329" s="13">
        <v>0.5</v>
      </c>
      <c r="AM329" s="19">
        <f>IF(Abschlüsse[[#This Row],[Ergeb]]="ET","",SQRT(($AF329-$AK329)^2+($AG329-$AL329)^2))</f>
        <v>9.3941471140279678</v>
      </c>
      <c r="AN329" s="3">
        <v>2</v>
      </c>
      <c r="AO329" s="13">
        <v>-13</v>
      </c>
      <c r="AP329" s="13">
        <v>6</v>
      </c>
      <c r="AQ329" s="19">
        <f t="shared" si="18"/>
        <v>1.5811388300841898</v>
      </c>
      <c r="AR329" s="3">
        <v>0</v>
      </c>
      <c r="AU329" s="19" t="str">
        <f t="shared" si="19"/>
        <v/>
      </c>
    </row>
    <row r="330" spans="1:47" ht="25.05" customHeight="1">
      <c r="A330" s="3">
        <v>12</v>
      </c>
      <c r="B330" s="2" t="s">
        <v>68</v>
      </c>
      <c r="C330" s="17" t="str">
        <f>IF($A330="","",IF(VLOOKUP($A330,Spiele!$A$2:$D$17,3,FALSE)=$B330,"H","G"))</f>
        <v>G</v>
      </c>
      <c r="D330" s="17" t="str">
        <f>IF($B330="","",IF(VLOOKUP($A330,Spiele!$A$2:$F$17,3,FALSE)=$B330,VLOOKUP($A330,Spiele!$A$2:$F$17,4,FALSE),VLOOKUP($A330,Spiele!$A$2:$F$17,3,FALSE)))</f>
        <v>FCN</v>
      </c>
      <c r="E330" s="18">
        <f>IF(Abschlüsse[[#This Row],[Ergeb]]="ET",0,COUNTIFS($A$2:$A330,$A330,$B$2:$B330,$B330,$L$2:$L330,"&lt;&gt;ET"))</f>
        <v>10</v>
      </c>
      <c r="F330" s="11">
        <v>54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$17,3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>5:6</v>
      </c>
      <c r="J330" s="18">
        <f>_xlfn.IFNA(IF(VLOOKUP($A330,Spiele!$A$2:$D$17,3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0</v>
      </c>
      <c r="K330" s="3">
        <v>16</v>
      </c>
      <c r="L330" s="17" t="s">
        <v>0</v>
      </c>
      <c r="M330" s="2" t="s">
        <v>173</v>
      </c>
      <c r="N330" s="2" t="s">
        <v>165</v>
      </c>
      <c r="O330" s="17"/>
      <c r="AA330" s="2" t="s">
        <v>142</v>
      </c>
      <c r="AB330" s="17" t="s">
        <v>143</v>
      </c>
      <c r="AC330" s="14" t="s">
        <v>150</v>
      </c>
      <c r="AD330" s="14" t="s">
        <v>145</v>
      </c>
      <c r="AE330" s="18"/>
      <c r="AF330" s="13">
        <v>-7</v>
      </c>
      <c r="AG330" s="13">
        <v>8</v>
      </c>
      <c r="AH330" s="19">
        <f t="shared" si="20"/>
        <v>8.669232953381746</v>
      </c>
      <c r="AI330" s="19">
        <f t="shared" si="21"/>
        <v>30.452370440574189</v>
      </c>
      <c r="AJ330" s="2" t="s">
        <v>169</v>
      </c>
      <c r="AK330" s="13">
        <v>-3.5</v>
      </c>
      <c r="AL330" s="13">
        <v>1.5</v>
      </c>
      <c r="AM330" s="19">
        <f>IF(Abschlüsse[[#This Row],[Ergeb]]="ET","",SQRT(($AF330-$AK330)^2+($AG330-$AL330)^2))</f>
        <v>7.3824115301167001</v>
      </c>
      <c r="AN330" s="3">
        <v>0</v>
      </c>
      <c r="AO330" s="13"/>
      <c r="AP330" s="13"/>
      <c r="AQ330" s="19" t="str">
        <f t="shared" si="18"/>
        <v/>
      </c>
      <c r="AR330" s="3">
        <v>3</v>
      </c>
      <c r="AS330" s="13">
        <v>-3.5</v>
      </c>
      <c r="AT330" s="13">
        <v>3</v>
      </c>
      <c r="AU330" s="19">
        <f t="shared" si="19"/>
        <v>6.103277807866851</v>
      </c>
    </row>
    <row r="331" spans="1:47" ht="25.05" customHeight="1">
      <c r="A331" s="3">
        <v>12</v>
      </c>
      <c r="B331" s="2" t="s">
        <v>8</v>
      </c>
      <c r="C331" s="17" t="str">
        <f>IF($A331="","",IF(VLOOKUP($A331,Spiele!$A$2:$D$17,3,FALSE)=$B331,"H","G"))</f>
        <v>H</v>
      </c>
      <c r="D331" s="17" t="str">
        <f>IF($B331="","",IF(VLOOKUP($A331,Spiele!$A$2:$F$17,3,FALSE)=$B331,VLOOKUP($A331,Spiele!$A$2:$F$17,4,FALSE),VLOOKUP($A331,Spiele!$A$2:$F$17,3,FALSE)))</f>
        <v>FCB</v>
      </c>
      <c r="E331" s="18">
        <f>IF(Abschlüsse[[#This Row],[Ergeb]]="ET",0,COUNTIFS($A$2:$A331,$A331,$B$2:$B331,$B331,$L$2:$L331,"&lt;&gt;ET"))</f>
        <v>10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$17,3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$17,3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20</v>
      </c>
      <c r="M331" s="2" t="s">
        <v>147</v>
      </c>
      <c r="N331" s="2" t="s">
        <v>164</v>
      </c>
      <c r="O331" s="17">
        <v>26</v>
      </c>
      <c r="P331" s="2">
        <v>20</v>
      </c>
      <c r="Q331" s="2">
        <v>23</v>
      </c>
      <c r="R331" s="2">
        <v>10</v>
      </c>
      <c r="AA331" s="2" t="s">
        <v>151</v>
      </c>
      <c r="AB331" s="17" t="s">
        <v>149</v>
      </c>
      <c r="AC331" s="14" t="s">
        <v>150</v>
      </c>
      <c r="AD331" s="14" t="s">
        <v>156</v>
      </c>
      <c r="AE331" s="18">
        <v>10</v>
      </c>
      <c r="AF331" s="13">
        <v>13</v>
      </c>
      <c r="AG331" s="13">
        <v>11.5</v>
      </c>
      <c r="AH331" s="19">
        <f t="shared" si="20"/>
        <v>14.815046405597249</v>
      </c>
      <c r="AI331" s="19">
        <f t="shared" si="21"/>
        <v>16.30100534020518</v>
      </c>
      <c r="AJ331" s="2" t="s">
        <v>146</v>
      </c>
      <c r="AK331" s="13">
        <v>3</v>
      </c>
      <c r="AL331" s="13">
        <v>2</v>
      </c>
      <c r="AM331" s="19">
        <f>IF(Abschlüsse[[#This Row],[Ergeb]]="ET","",SQRT(($AF331-$AK331)^2+($AG331-$AL331)^2))</f>
        <v>13.793114224133722</v>
      </c>
      <c r="AN331" s="3">
        <v>1</v>
      </c>
      <c r="AO331" s="13">
        <v>12.5</v>
      </c>
      <c r="AP331" s="13">
        <v>10</v>
      </c>
      <c r="AQ331" s="19">
        <f t="shared" si="18"/>
        <v>1.5811388300841898</v>
      </c>
      <c r="AR331" s="3">
        <v>2</v>
      </c>
      <c r="AS331" s="13">
        <v>11</v>
      </c>
      <c r="AT331" s="13">
        <v>10.5</v>
      </c>
      <c r="AU331" s="19">
        <f t="shared" si="19"/>
        <v>2.2360679774997898</v>
      </c>
    </row>
    <row r="332" spans="1:47" ht="25.05" customHeight="1">
      <c r="A332" s="3">
        <v>12</v>
      </c>
      <c r="B332" s="2" t="s">
        <v>68</v>
      </c>
      <c r="C332" s="17" t="str">
        <f>IF($A332="","",IF(VLOOKUP($A332,Spiele!$A$2:$D$17,3,FALSE)=$B332,"H","G"))</f>
        <v>G</v>
      </c>
      <c r="D332" s="17" t="str">
        <f>IF($B332="","",IF(VLOOKUP($A332,Spiele!$A$2:$F$17,3,FALSE)=$B332,VLOOKUP($A332,Spiele!$A$2:$F$17,4,FALSE),VLOOKUP($A332,Spiele!$A$2:$F$17,3,FALSE)))</f>
        <v>FCN</v>
      </c>
      <c r="E332" s="18">
        <f>IF(Abschlüsse[[#This Row],[Ergeb]]="ET",0,COUNTIFS($A$2:$A332,$A332,$B$2:$B332,$B332,$L$2:$L332,"&lt;&gt;ET"))</f>
        <v>11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$17,3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$17,3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163</v>
      </c>
      <c r="N332" s="2" t="s">
        <v>152</v>
      </c>
      <c r="O332" s="17"/>
      <c r="AA332" s="2" t="s">
        <v>151</v>
      </c>
      <c r="AB332" s="17" t="s">
        <v>149</v>
      </c>
      <c r="AC332" s="14" t="s">
        <v>150</v>
      </c>
      <c r="AD332" s="14" t="s">
        <v>156</v>
      </c>
      <c r="AE332" s="18"/>
      <c r="AF332" s="13">
        <v>-9</v>
      </c>
      <c r="AG332" s="13">
        <v>6.5</v>
      </c>
      <c r="AH332" s="19">
        <f t="shared" si="20"/>
        <v>8.4122291932638174</v>
      </c>
      <c r="AI332" s="19">
        <f t="shared" si="21"/>
        <v>23.418340791810341</v>
      </c>
      <c r="AJ332" s="2" t="s">
        <v>146</v>
      </c>
      <c r="AK332" s="13">
        <v>-3</v>
      </c>
      <c r="AL332" s="13">
        <v>0.5</v>
      </c>
      <c r="AM332" s="19">
        <f>IF(Abschlüsse[[#This Row],[Ergeb]]="ET","",SQRT(($AF332-$AK332)^2+($AG332-$AL332)^2))</f>
        <v>8.4852813742385695</v>
      </c>
      <c r="AN332" s="3">
        <v>1</v>
      </c>
      <c r="AO332" s="13">
        <v>-5.5</v>
      </c>
      <c r="AP332" s="13">
        <v>6.5</v>
      </c>
      <c r="AQ332" s="19">
        <f t="shared" si="18"/>
        <v>3.5</v>
      </c>
      <c r="AR332" s="3">
        <v>0</v>
      </c>
      <c r="AU332" s="19" t="str">
        <f t="shared" si="19"/>
        <v/>
      </c>
    </row>
    <row r="333" spans="1:47" ht="25.05" customHeight="1">
      <c r="A333" s="3">
        <v>12</v>
      </c>
      <c r="B333" s="2" t="s">
        <v>68</v>
      </c>
      <c r="C333" s="17" t="str">
        <f>IF($A333="","",IF(VLOOKUP($A333,Spiele!$A$2:$D$17,3,FALSE)=$B333,"H","G"))</f>
        <v>G</v>
      </c>
      <c r="D333" s="17" t="str">
        <f>IF($B333="","",IF(VLOOKUP($A333,Spiele!$A$2:$F$17,3,FALSE)=$B333,VLOOKUP($A333,Spiele!$A$2:$F$17,4,FALSE),VLOOKUP($A333,Spiele!$A$2:$F$17,3,FALSE)))</f>
        <v>FCN</v>
      </c>
      <c r="E333" s="18">
        <f>IF(Abschlüsse[[#This Row],[Ergeb]]="ET",0,COUNTIFS($A$2:$A333,$A333,$B$2:$B333,$B333,$L$2:$L333,"&lt;&gt;ET"))</f>
        <v>12</v>
      </c>
      <c r="F333" s="11">
        <v>59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$17,3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$17,3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19</v>
      </c>
      <c r="M333" s="2" t="s">
        <v>163</v>
      </c>
      <c r="N333" s="2" t="s">
        <v>158</v>
      </c>
      <c r="O333" s="17"/>
      <c r="AA333" s="2" t="s">
        <v>151</v>
      </c>
      <c r="AB333" s="17" t="s">
        <v>143</v>
      </c>
      <c r="AC333" s="14" t="s">
        <v>150</v>
      </c>
      <c r="AD333" s="14" t="s">
        <v>156</v>
      </c>
      <c r="AE333" s="18"/>
      <c r="AF333" s="13">
        <v>-9.5</v>
      </c>
      <c r="AG333" s="13">
        <v>18</v>
      </c>
      <c r="AH333" s="19">
        <f t="shared" si="20"/>
        <v>18.923678289381268</v>
      </c>
      <c r="AI333" s="19">
        <f t="shared" si="21"/>
        <v>18.195585724673048</v>
      </c>
      <c r="AJ333" s="2" t="s">
        <v>146</v>
      </c>
      <c r="AK333" s="13">
        <v>0</v>
      </c>
      <c r="AL333" s="13">
        <v>1</v>
      </c>
      <c r="AM333" s="19">
        <f>IF(Abschlüsse[[#This Row],[Ergeb]]="ET","",SQRT(($AF333-$AK333)^2+($AG333-$AL333)^2))</f>
        <v>19.474342094150447</v>
      </c>
      <c r="AN333" s="3">
        <v>0</v>
      </c>
      <c r="AO333" s="13"/>
      <c r="AP333" s="13"/>
      <c r="AQ333" s="19" t="str">
        <f t="shared" si="18"/>
        <v/>
      </c>
      <c r="AR333" s="3">
        <v>2</v>
      </c>
      <c r="AS333" s="13">
        <v>-9</v>
      </c>
      <c r="AT333" s="13">
        <v>16.5</v>
      </c>
      <c r="AU333" s="19">
        <f t="shared" si="19"/>
        <v>1.5811388300841898</v>
      </c>
    </row>
    <row r="334" spans="1:47" ht="25.05" customHeight="1">
      <c r="A334" s="3">
        <v>12</v>
      </c>
      <c r="B334" s="2" t="s">
        <v>8</v>
      </c>
      <c r="C334" s="17" t="str">
        <f>IF($A334="","",IF(VLOOKUP($A334,Spiele!$A$2:$D$17,3,FALSE)=$B334,"H","G"))</f>
        <v>H</v>
      </c>
      <c r="D334" s="17" t="str">
        <f>IF($B334="","",IF(VLOOKUP($A334,Spiele!$A$2:$F$17,3,FALSE)=$B334,VLOOKUP($A334,Spiele!$A$2:$F$17,4,FALSE),VLOOKUP($A334,Spiele!$A$2:$F$17,3,FALSE)))</f>
        <v>FCB</v>
      </c>
      <c r="E334" s="18">
        <f>IF(Abschlüsse[[#This Row],[Ergeb]]="ET",0,COUNTIFS($A$2:$A334,$A334,$B$2:$B334,$B334,$L$2:$L334,"&lt;&gt;ET"))</f>
        <v>11</v>
      </c>
      <c r="F334" s="11">
        <v>62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$17,3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/>
      </c>
      <c r="J334" s="18">
        <f>_xlfn.IFNA(IF(VLOOKUP($A334,Spiele!$A$2:$D$17,3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19</v>
      </c>
      <c r="M334" s="2" t="s">
        <v>173</v>
      </c>
      <c r="N334" s="2" t="s">
        <v>173</v>
      </c>
      <c r="O334" s="17">
        <v>8</v>
      </c>
      <c r="AA334" s="2" t="s">
        <v>154</v>
      </c>
      <c r="AB334" s="17" t="s">
        <v>160</v>
      </c>
      <c r="AC334" s="14" t="s">
        <v>161</v>
      </c>
      <c r="AD334" s="14" t="s">
        <v>156</v>
      </c>
      <c r="AE334" s="18">
        <v>16</v>
      </c>
      <c r="AF334" s="13">
        <v>2</v>
      </c>
      <c r="AG334" s="13">
        <v>7</v>
      </c>
      <c r="AH334" s="19">
        <f t="shared" si="20"/>
        <v>7</v>
      </c>
      <c r="AI334" s="19">
        <f t="shared" si="21"/>
        <v>52.298860701385024</v>
      </c>
      <c r="AJ334" s="2" t="s">
        <v>146</v>
      </c>
      <c r="AK334" s="13">
        <v>0</v>
      </c>
      <c r="AL334" s="13">
        <v>0.5</v>
      </c>
      <c r="AM334" s="19">
        <f>IF(Abschlüsse[[#This Row],[Ergeb]]="ET","",SQRT(($AF334-$AK334)^2+($AG334-$AL334)^2))</f>
        <v>6.800735254367722</v>
      </c>
      <c r="AN334" s="3">
        <v>2</v>
      </c>
      <c r="AO334" s="13">
        <v>2.5</v>
      </c>
      <c r="AP334" s="13">
        <v>6.5</v>
      </c>
      <c r="AQ334" s="19">
        <f t="shared" si="18"/>
        <v>0.70710678118654757</v>
      </c>
      <c r="AR334" s="3">
        <v>1</v>
      </c>
      <c r="AS334" s="13">
        <v>0.5</v>
      </c>
      <c r="AT334" s="13">
        <v>5.5</v>
      </c>
      <c r="AU334" s="19">
        <f t="shared" si="19"/>
        <v>2.1213203435596424</v>
      </c>
    </row>
    <row r="335" spans="1:47" ht="25.05" customHeight="1">
      <c r="A335" s="3">
        <v>12</v>
      </c>
      <c r="B335" s="2" t="s">
        <v>8</v>
      </c>
      <c r="C335" s="17" t="str">
        <f>IF($A335="","",IF(VLOOKUP($A335,Spiele!$A$2:$D$17,3,FALSE)=$B335,"H","G"))</f>
        <v>H</v>
      </c>
      <c r="D335" s="17" t="str">
        <f>IF($B335="","",IF(VLOOKUP($A335,Spiele!$A$2:$F$17,3,FALSE)=$B335,VLOOKUP($A335,Spiele!$A$2:$F$17,4,FALSE),VLOOKUP($A335,Spiele!$A$2:$F$17,3,FALSE)))</f>
        <v>FCB</v>
      </c>
      <c r="E335" s="18">
        <f>IF(Abschlüsse[[#This Row],[Ergeb]]="ET",0,COUNTIFS($A$2:$A335,$A335,$B$2:$B335,$B335,$L$2:$L335,"&lt;&gt;ET"))</f>
        <v>12</v>
      </c>
      <c r="F335" s="11">
        <v>64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$17,3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$17,3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-1</v>
      </c>
      <c r="K335" s="3">
        <v>21</v>
      </c>
      <c r="L335" s="18" t="s">
        <v>170</v>
      </c>
      <c r="M335" s="3" t="s">
        <v>163</v>
      </c>
      <c r="N335" s="2" t="s">
        <v>148</v>
      </c>
      <c r="O335" s="17">
        <v>20</v>
      </c>
      <c r="AA335" s="22" t="s">
        <v>142</v>
      </c>
      <c r="AB335" s="18" t="s">
        <v>149</v>
      </c>
      <c r="AC335" s="14" t="s">
        <v>150</v>
      </c>
      <c r="AD335" s="14" t="s">
        <v>156</v>
      </c>
      <c r="AE335" s="18">
        <v>7</v>
      </c>
      <c r="AF335" s="13">
        <v>-8</v>
      </c>
      <c r="AG335" s="13">
        <v>9</v>
      </c>
      <c r="AH335" s="19">
        <f t="shared" si="20"/>
        <v>9.9917766188000812</v>
      </c>
      <c r="AI335" s="19">
        <f t="shared" si="21"/>
        <v>26.592141806196555</v>
      </c>
      <c r="AJ335" s="3" t="s">
        <v>146</v>
      </c>
      <c r="AK335" s="13">
        <v>-6</v>
      </c>
      <c r="AL335" s="13">
        <v>5.5</v>
      </c>
      <c r="AM335" s="19">
        <f>IF(Abschlüsse[[#This Row],[Ergeb]]="ET","",SQRT(($AF335-$AK335)^2+($AG335-$AL335)^2))</f>
        <v>4.0311288741492746</v>
      </c>
      <c r="AN335" s="3">
        <v>2</v>
      </c>
      <c r="AO335" s="13">
        <v>-7.5</v>
      </c>
      <c r="AP335" s="13">
        <v>10.5</v>
      </c>
      <c r="AQ335" s="19">
        <f>IF(AN335=0,"",SQRT(($AF335-$AO335)^2+($AG335-$AP335)^2))</f>
        <v>1.5811388300841898</v>
      </c>
      <c r="AR335" s="3">
        <v>0</v>
      </c>
      <c r="AU335" s="19" t="str">
        <f>IF(AR335=0,"",SQRT(($AF335-$AS335)^2+($AG335-$AT335)^2))</f>
        <v/>
      </c>
    </row>
    <row r="336" spans="1:47" ht="25.05" customHeight="1">
      <c r="A336" s="3">
        <v>12</v>
      </c>
      <c r="B336" s="2" t="s">
        <v>8</v>
      </c>
      <c r="C336" s="17" t="str">
        <f>IF($A336="","",IF(VLOOKUP($A336,Spiele!$A$2:$D$17,3,FALSE)=$B336,"H","G"))</f>
        <v>H</v>
      </c>
      <c r="D336" s="17" t="str">
        <f>IF($B336="","",IF(VLOOKUP($A336,Spiele!$A$2:$F$17,3,FALSE)=$B336,VLOOKUP($A336,Spiele!$A$2:$F$17,4,FALSE),VLOOKUP($A336,Spiele!$A$2:$F$17,3,FALSE)))</f>
        <v>FCB</v>
      </c>
      <c r="E336" s="18">
        <f>IF(Abschlüsse[[#This Row],[Ergeb]]="ET",0,COUNTIFS($A$2:$A336,$A336,$B$2:$B336,$B336,$L$2:$L336,"&lt;&gt;ET"))</f>
        <v>13</v>
      </c>
      <c r="F336" s="11">
        <v>65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$17,3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$17,3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-1</v>
      </c>
      <c r="K336" s="3">
        <v>22</v>
      </c>
      <c r="L336" s="17" t="s">
        <v>20</v>
      </c>
      <c r="M336" s="2" t="s">
        <v>163</v>
      </c>
      <c r="N336" s="2" t="s">
        <v>164</v>
      </c>
      <c r="O336" s="17"/>
      <c r="AA336" s="2" t="s">
        <v>151</v>
      </c>
      <c r="AB336" s="17" t="s">
        <v>149</v>
      </c>
      <c r="AC336" s="14" t="s">
        <v>150</v>
      </c>
      <c r="AD336" s="14" t="s">
        <v>156</v>
      </c>
      <c r="AE336" s="18">
        <v>10</v>
      </c>
      <c r="AF336" s="13">
        <v>-5.5</v>
      </c>
      <c r="AG336" s="13">
        <v>22.5</v>
      </c>
      <c r="AH336" s="19">
        <f t="shared" si="20"/>
        <v>22.57511018799244</v>
      </c>
      <c r="AI336" s="19">
        <f t="shared" si="21"/>
        <v>17.476666181917931</v>
      </c>
      <c r="AJ336" s="2" t="s">
        <v>146</v>
      </c>
      <c r="AK336" s="13">
        <v>-2</v>
      </c>
      <c r="AL336" s="13">
        <v>4.5</v>
      </c>
      <c r="AM336" s="19">
        <f>IF(Abschlüsse[[#This Row],[Ergeb]]="ET","",SQRT(($AF336-$AK336)^2+($AG336-$AL336)^2))</f>
        <v>18.337120820892249</v>
      </c>
      <c r="AN336" s="3">
        <v>1</v>
      </c>
      <c r="AO336" s="13">
        <v>-5.5</v>
      </c>
      <c r="AP336" s="13">
        <v>24.5</v>
      </c>
      <c r="AQ336" s="19">
        <f t="shared" si="18"/>
        <v>2</v>
      </c>
      <c r="AR336" s="3">
        <v>1</v>
      </c>
      <c r="AS336" s="13">
        <v>-5</v>
      </c>
      <c r="AT336" s="13">
        <v>20</v>
      </c>
      <c r="AU336" s="19">
        <f t="shared" si="19"/>
        <v>2.5495097567963922</v>
      </c>
    </row>
    <row r="337" spans="1:47" ht="25.05" customHeight="1">
      <c r="A337" s="3">
        <v>12</v>
      </c>
      <c r="B337" s="2" t="s">
        <v>8</v>
      </c>
      <c r="C337" s="17" t="str">
        <f>IF($A337="","",IF(VLOOKUP($A337,Spiele!$A$2:$D$17,3,FALSE)=$B337,"H","G"))</f>
        <v>H</v>
      </c>
      <c r="D337" s="17" t="str">
        <f>IF($B337="","",IF(VLOOKUP($A337,Spiele!$A$2:$F$17,3,FALSE)=$B337,VLOOKUP($A337,Spiele!$A$2:$F$17,4,FALSE),VLOOKUP($A337,Spiele!$A$2:$F$17,3,FALSE)))</f>
        <v>FCB</v>
      </c>
      <c r="E337" s="18">
        <f>IF(Abschlüsse[[#This Row],[Ergeb]]="ET",0,COUNTIFS($A$2:$A337,$A337,$B$2:$B337,$B337,$L$2:$L337,"&lt;&gt;ET"))</f>
        <v>14</v>
      </c>
      <c r="F337" s="11">
        <v>76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$17,3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$17,3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-1</v>
      </c>
      <c r="K337" s="3">
        <v>23</v>
      </c>
      <c r="L337" s="17" t="s">
        <v>19</v>
      </c>
      <c r="M337" s="2" t="s">
        <v>163</v>
      </c>
      <c r="N337" s="2" t="s">
        <v>158</v>
      </c>
      <c r="O337" s="17">
        <v>7</v>
      </c>
      <c r="P337" s="2">
        <v>16</v>
      </c>
      <c r="Q337" s="2">
        <v>20</v>
      </c>
      <c r="R337" s="2">
        <v>23</v>
      </c>
      <c r="S337" s="2">
        <v>13</v>
      </c>
      <c r="AA337" s="2" t="s">
        <v>142</v>
      </c>
      <c r="AB337" s="17" t="s">
        <v>143</v>
      </c>
      <c r="AC337" s="14" t="s">
        <v>150</v>
      </c>
      <c r="AD337" s="14" t="s">
        <v>145</v>
      </c>
      <c r="AE337" s="18">
        <v>27</v>
      </c>
      <c r="AF337" s="13">
        <v>-9</v>
      </c>
      <c r="AG337" s="13">
        <v>16</v>
      </c>
      <c r="AH337" s="19">
        <f t="shared" si="20"/>
        <v>16.867590225044005</v>
      </c>
      <c r="AI337" s="19">
        <f t="shared" si="21"/>
        <v>19.896374808405774</v>
      </c>
      <c r="AJ337" s="2" t="s">
        <v>146</v>
      </c>
      <c r="AK337" s="13">
        <v>-3</v>
      </c>
      <c r="AL337" s="13">
        <v>3.5</v>
      </c>
      <c r="AM337" s="19">
        <f>IF(Abschlüsse[[#This Row],[Ergeb]]="ET","",SQRT(($AF337-$AK337)^2+($AG337-$AL337)^2))</f>
        <v>13.865424623862047</v>
      </c>
      <c r="AN337" s="3">
        <v>2</v>
      </c>
      <c r="AO337" s="13">
        <v>-9.5</v>
      </c>
      <c r="AP337" s="13">
        <v>12.5</v>
      </c>
      <c r="AQ337" s="19">
        <f t="shared" si="18"/>
        <v>3.5355339059327378</v>
      </c>
      <c r="AR337" s="3">
        <v>1</v>
      </c>
      <c r="AS337" s="13">
        <v>-3.5</v>
      </c>
      <c r="AT337" s="13">
        <v>10.5</v>
      </c>
      <c r="AU337" s="19">
        <f t="shared" si="19"/>
        <v>7.7781745930520225</v>
      </c>
    </row>
    <row r="338" spans="1:47" ht="25.05" customHeight="1">
      <c r="A338" s="3">
        <v>12</v>
      </c>
      <c r="B338" s="2" t="s">
        <v>68</v>
      </c>
      <c r="C338" s="17" t="str">
        <f>IF($A338="","",IF(VLOOKUP($A338,Spiele!$A$2:$D$17,3,FALSE)=$B338,"H","G"))</f>
        <v>G</v>
      </c>
      <c r="D338" s="17" t="str">
        <f>IF($B338="","",IF(VLOOKUP($A338,Spiele!$A$2:$F$17,3,FALSE)=$B338,VLOOKUP($A338,Spiele!$A$2:$F$17,4,FALSE),VLOOKUP($A338,Spiele!$A$2:$F$17,3,FALSE)))</f>
        <v>FCN</v>
      </c>
      <c r="E338" s="18">
        <f>IF(Abschlüsse[[#This Row],[Ergeb]]="ET",0,COUNTIFS($A$2:$A338,$A338,$B$2:$B338,$B338,$L$2:$L338,"&lt;&gt;ET"))</f>
        <v>13</v>
      </c>
      <c r="F338" s="11">
        <v>78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$17,3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$17,3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1</v>
      </c>
      <c r="K338" s="3">
        <v>24</v>
      </c>
      <c r="L338" s="17" t="s">
        <v>20</v>
      </c>
      <c r="M338" s="2" t="s">
        <v>147</v>
      </c>
      <c r="N338" s="2" t="s">
        <v>178</v>
      </c>
      <c r="O338" s="17"/>
      <c r="AA338" s="2" t="s">
        <v>151</v>
      </c>
      <c r="AB338" s="17" t="s">
        <v>143</v>
      </c>
      <c r="AC338" s="14" t="s">
        <v>150</v>
      </c>
      <c r="AD338" s="14" t="s">
        <v>145</v>
      </c>
      <c r="AE338" s="18"/>
      <c r="AF338" s="13">
        <v>-9.5</v>
      </c>
      <c r="AG338" s="13">
        <v>12</v>
      </c>
      <c r="AH338" s="19">
        <f t="shared" si="20"/>
        <v>13.345621004659169</v>
      </c>
      <c r="AI338" s="19">
        <f t="shared" si="21"/>
        <v>21.689105690927843</v>
      </c>
      <c r="AJ338" s="2" t="s">
        <v>146</v>
      </c>
      <c r="AK338" s="13">
        <v>-2</v>
      </c>
      <c r="AL338" s="13">
        <v>0.5</v>
      </c>
      <c r="AM338" s="19">
        <f>IF(Abschlüsse[[#This Row],[Ergeb]]="ET","",SQRT(($AF338-$AK338)^2+($AG338-$AL338)^2))</f>
        <v>13.729530217745982</v>
      </c>
      <c r="AN338" s="3">
        <v>2</v>
      </c>
      <c r="AO338" s="13">
        <v>-10.5</v>
      </c>
      <c r="AP338" s="13">
        <v>14.5</v>
      </c>
      <c r="AQ338" s="19">
        <f t="shared" si="18"/>
        <v>2.6925824035672519</v>
      </c>
      <c r="AR338" s="3">
        <v>1</v>
      </c>
      <c r="AS338" s="13">
        <v>-3.5</v>
      </c>
      <c r="AT338" s="13">
        <v>7</v>
      </c>
      <c r="AU338" s="19">
        <f t="shared" si="19"/>
        <v>7.810249675906654</v>
      </c>
    </row>
    <row r="339" spans="1:47" ht="25.05" customHeight="1">
      <c r="A339" s="3">
        <v>12</v>
      </c>
      <c r="B339" s="2" t="s">
        <v>68</v>
      </c>
      <c r="C339" s="17" t="str">
        <f>IF($A339="","",IF(VLOOKUP($A339,Spiele!$A$2:$D$17,3,FALSE)=$B339,"H","G"))</f>
        <v>G</v>
      </c>
      <c r="D339" s="17" t="str">
        <f>IF($B339="","",IF(VLOOKUP($A339,Spiele!$A$2:$F$17,3,FALSE)=$B339,VLOOKUP($A339,Spiele!$A$2:$F$17,4,FALSE),VLOOKUP($A339,Spiele!$A$2:$F$17,3,FALSE)))</f>
        <v>FCN</v>
      </c>
      <c r="E339" s="18">
        <f>IF(Abschlüsse[[#This Row],[Ergeb]]="ET",0,COUNTIFS($A$2:$A339,$A339,$B$2:$B339,$B339,$L$2:$L339,"&lt;&gt;ET"))</f>
        <v>14</v>
      </c>
      <c r="F339" s="11">
        <v>79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$17,3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$17,3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1</v>
      </c>
      <c r="K339" s="3">
        <v>25</v>
      </c>
      <c r="L339" s="18" t="s">
        <v>20</v>
      </c>
      <c r="M339" s="3" t="s">
        <v>147</v>
      </c>
      <c r="N339" s="2" t="s">
        <v>178</v>
      </c>
      <c r="O339" s="17"/>
      <c r="AA339" s="22" t="s">
        <v>151</v>
      </c>
      <c r="AB339" s="18" t="s">
        <v>143</v>
      </c>
      <c r="AC339" s="14" t="s">
        <v>150</v>
      </c>
      <c r="AD339" s="14" t="s">
        <v>145</v>
      </c>
      <c r="AE339" s="18"/>
      <c r="AF339" s="13">
        <v>-6</v>
      </c>
      <c r="AG339" s="13">
        <v>7.5</v>
      </c>
      <c r="AH339" s="19">
        <f t="shared" si="20"/>
        <v>7.8565641345310739</v>
      </c>
      <c r="AI339" s="19">
        <f t="shared" si="21"/>
        <v>34.846402459241062</v>
      </c>
      <c r="AJ339" s="3" t="s">
        <v>146</v>
      </c>
      <c r="AK339" s="13">
        <v>-2.5</v>
      </c>
      <c r="AL339" s="13">
        <v>0.5</v>
      </c>
      <c r="AM339" s="19">
        <f>IF(Abschlüsse[[#This Row],[Ergeb]]="ET","",SQRT(($AF339-$AK339)^2+($AG339-$AL339)^2))</f>
        <v>7.8262379212492643</v>
      </c>
      <c r="AN339" s="3">
        <v>2</v>
      </c>
      <c r="AO339" s="13">
        <v>-5.5</v>
      </c>
      <c r="AP339" s="13">
        <v>9</v>
      </c>
      <c r="AQ339" s="19">
        <f>IF(AN339=0,"",SQRT(($AF339-$AO339)^2+($AG339-$AP339)^2))</f>
        <v>1.5811388300841898</v>
      </c>
      <c r="AR339" s="3">
        <v>1</v>
      </c>
      <c r="AS339" s="13">
        <v>-3.5</v>
      </c>
      <c r="AT339" s="13">
        <v>5</v>
      </c>
      <c r="AU339" s="19">
        <f>IF(AR339=0,"",SQRT(($AF339-$AS339)^2+($AG339-$AT339)^2))</f>
        <v>3.5355339059327378</v>
      </c>
    </row>
    <row r="340" spans="1:47" ht="25.05" customHeight="1">
      <c r="A340" s="3">
        <v>12</v>
      </c>
      <c r="B340" s="2" t="s">
        <v>8</v>
      </c>
      <c r="C340" s="17" t="str">
        <f>IF($A340="","",IF(VLOOKUP($A340,Spiele!$A$2:$D$17,3,FALSE)=$B340,"H","G"))</f>
        <v>H</v>
      </c>
      <c r="D340" s="17" t="str">
        <f>IF($B340="","",IF(VLOOKUP($A340,Spiele!$A$2:$F$17,3,FALSE)=$B340,VLOOKUP($A340,Spiele!$A$2:$F$17,4,FALSE),VLOOKUP($A340,Spiele!$A$2:$F$17,3,FALSE)))</f>
        <v>FCB</v>
      </c>
      <c r="E340" s="18">
        <f>IF(Abschlüsse[[#This Row],[Ergeb]]="ET",0,COUNTIFS($A$2:$A340,$A340,$B$2:$B340,$B340,$L$2:$L340,"&lt;&gt;ET"))</f>
        <v>15</v>
      </c>
      <c r="F340" s="11">
        <v>82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$17,3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$17,3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-1</v>
      </c>
      <c r="K340" s="3">
        <v>26</v>
      </c>
      <c r="L340" s="17" t="s">
        <v>18</v>
      </c>
      <c r="M340" s="2" t="s">
        <v>163</v>
      </c>
      <c r="N340" s="2" t="s">
        <v>153</v>
      </c>
      <c r="O340" s="17">
        <v>20</v>
      </c>
      <c r="AA340" s="2" t="s">
        <v>151</v>
      </c>
      <c r="AB340" s="17" t="s">
        <v>143</v>
      </c>
      <c r="AC340" s="14" t="s">
        <v>161</v>
      </c>
      <c r="AD340" s="14" t="s">
        <v>162</v>
      </c>
      <c r="AE340" s="18">
        <v>16</v>
      </c>
      <c r="AF340" s="13">
        <v>4</v>
      </c>
      <c r="AG340" s="13">
        <v>13.5</v>
      </c>
      <c r="AH340" s="19">
        <f t="shared" si="20"/>
        <v>13.504280802767692</v>
      </c>
      <c r="AI340" s="19">
        <f t="shared" si="21"/>
        <v>28.12819768720075</v>
      </c>
      <c r="AJ340" s="2" t="s">
        <v>146</v>
      </c>
      <c r="AK340" s="13">
        <v>0.5</v>
      </c>
      <c r="AL340" s="13">
        <v>2.5</v>
      </c>
      <c r="AM340" s="19">
        <f>IF(Abschlüsse[[#This Row],[Ergeb]]="ET","",SQRT(($AF340-$AK340)^2+($AG340-$AL340)^2))</f>
        <v>11.543396380615196</v>
      </c>
      <c r="AN340" s="3">
        <v>2</v>
      </c>
      <c r="AO340" s="13">
        <v>3</v>
      </c>
      <c r="AP340" s="13">
        <v>15.5</v>
      </c>
      <c r="AQ340" s="19">
        <f t="shared" si="18"/>
        <v>2.2360679774997898</v>
      </c>
      <c r="AR340" s="3">
        <v>1</v>
      </c>
      <c r="AS340" s="13">
        <v>1.5</v>
      </c>
      <c r="AT340" s="13">
        <v>9.5</v>
      </c>
      <c r="AU340" s="19">
        <f t="shared" si="19"/>
        <v>4.7169905660283016</v>
      </c>
    </row>
    <row r="341" spans="1:47" ht="25.05" customHeight="1">
      <c r="A341" s="3">
        <v>13</v>
      </c>
      <c r="B341" s="2" t="s">
        <v>76</v>
      </c>
      <c r="C341" s="17" t="str">
        <f>IF($A341="","",IF(VLOOKUP($A341,Spiele!$A$2:$D$17,3,FALSE)=$B341,"H","G"))</f>
        <v>G</v>
      </c>
      <c r="D341" s="17" t="str">
        <f>IF($B341="","",IF(VLOOKUP($A341,Spiele!$A$2:$F$17,3,FALSE)=$B341,VLOOKUP($A341,Spiele!$A$2:$F$17,4,FALSE),VLOOKUP($A341,Spiele!$A$2:$F$17,3,FALSE)))</f>
        <v>FCN</v>
      </c>
      <c r="E341" s="18">
        <f>IF(Abschlüsse[[#This Row],[Ergeb]]="ET",0,COUNTIFS($A$2:$A341,$A341,$B$2:$B341,$B341,$L$2:$L341,"&lt;&gt;ET"))</f>
        <v>1</v>
      </c>
      <c r="F341" s="11">
        <v>7</v>
      </c>
      <c r="G341" s="12">
        <v>1</v>
      </c>
      <c r="H341" s="18">
        <f>COUNTIFS('Rote Karten'!$A$2:$A$4,$A341,'Rote Karten'!$D$2:$D$4,"&lt;&gt;"&amp;$B341,'Rote Karten'!$B$2:$B$4,"&lt;"&amp;$F341,'Rote Karten'!$C$2:$C$4,"&lt;="&amp;$G341)-COUNTIFS('Rote Karten'!$A$2:$A$4,$A341,'Rote Karten'!$D$2:$D$4,$B341,'Rote Karten'!$B$2:$B$4,"&lt;"&amp;$F341,'Rote Karten'!$C$2:$C$4,"&lt;="&amp;$G341)</f>
        <v>0</v>
      </c>
      <c r="I341" s="17" t="str">
        <f>IF(OR($L341="Tor",$L341="ET"),_xlfn.IFNA(IF(VLOOKUP($A341,Spiele!$A$2:$C$17,3,FALSE)=$B341,COUNTIFS($L$2:$L341,"Tor",$B$2:$B341,$B341,$A$2:$A341,$A341)+COUNTIFS($L$2:$L341,"ET",$B$2:$B341,$B341,$A$2:$A341,$A341)&amp;":"&amp;COUNTIFS($L$2:$L341,"Tor",$B$2:$B341,"&lt;&gt;"&amp;$B341,$A$2:$A341,$A341)+COUNTIFS($L$2:$L341,"ET",$B$2:$B341,"&lt;&gt;"&amp;$B341,$A$2:$A341,$A341),COUNTIFS($L$2:$L341,"Tor",$B$2:$B341,"&lt;&gt;"&amp;$B341,$A$2:$A341,$A341)+COUNTIFS($L$2:$L341,"ET",$B$2:$B341,"&lt;&gt;"&amp;$B341,$A$2:$A341,$A341)&amp;":"&amp;COUNTIFS($L$2:$L341,"Tor",$B$2:$B341,$B341,$A$2:$A341,$A341)+COUNTIFS($L$2:$L341,"ET",$B$2:$B341,$B341,$A$2:$A341,$A341)),""),"")</f>
        <v/>
      </c>
      <c r="J341" s="18">
        <f>_xlfn.IFNA(IF(VLOOKUP($A341,Spiele!$A$2:$D$17,3,FALSE)=$B341,(COUNTIFS($L$1:$L340,"Tor",$B$1:$B340,$B341,$A$1:$A340,$A341)+COUNTIFS($L$1:$L340,"ET",$B$1:$B340,$B341,$A$1:$A340,$A341))-(COUNTIFS($L$1:$L340,"Tor",$B$1:$B340,"&lt;&gt;"&amp;$B341,$A$1:$A340,$A341)+COUNTIFS($L$1:$L340,"ET",$B$1:$B340,"&lt;&gt;"&amp;$B341,$A$1:$A340,$A341)),(COUNTIFS($L$1:$L340,"Tor",$B$1:$B340,$B341,$A$1:$A340,$A341)+COUNTIFS($L$1:$L340,"ET",$B$1:$B340,$B341,$A$1:$A340,$A341))-(COUNTIFS($L$1:$L340,"Tor",$B$1:$B340,"&lt;&gt;"&amp;$B341,$A$1:$A340,$A341)+COUNTIFS($L$1:$L340,"ET",$B$1:$B340,"&lt;&gt;"&amp;$B341,$A$1:$A340,$A341))),"")</f>
        <v>0</v>
      </c>
      <c r="K341" s="3">
        <v>1</v>
      </c>
      <c r="L341" s="17" t="s">
        <v>20</v>
      </c>
      <c r="M341" s="2" t="s">
        <v>163</v>
      </c>
      <c r="N341" s="2" t="s">
        <v>158</v>
      </c>
      <c r="O341" s="17"/>
      <c r="AA341" s="2" t="s">
        <v>142</v>
      </c>
      <c r="AB341" s="17" t="s">
        <v>149</v>
      </c>
      <c r="AC341" s="14" t="s">
        <v>150</v>
      </c>
      <c r="AD341" s="14" t="s">
        <v>156</v>
      </c>
      <c r="AE341" s="18"/>
      <c r="AF341" s="13">
        <v>-2</v>
      </c>
      <c r="AG341" s="13">
        <v>17.5</v>
      </c>
      <c r="AH341" s="19">
        <f t="shared" si="20"/>
        <v>17.5</v>
      </c>
      <c r="AI341" s="19">
        <f t="shared" si="21"/>
        <v>23.341389828691302</v>
      </c>
      <c r="AJ341" s="2" t="s">
        <v>146</v>
      </c>
      <c r="AK341" s="13">
        <v>-0.5</v>
      </c>
      <c r="AL341" s="13">
        <v>0.5</v>
      </c>
      <c r="AM341" s="19">
        <f>IF(Abschlüsse[[#This Row],[Ergeb]]="ET","",SQRT(($AF341-$AK341)^2+($AG341-$AL341)^2))</f>
        <v>17.066048165876012</v>
      </c>
      <c r="AN341" s="3">
        <v>1</v>
      </c>
      <c r="AO341" s="13">
        <v>-2.5</v>
      </c>
      <c r="AP341" s="13">
        <v>17</v>
      </c>
      <c r="AQ341" s="19">
        <f t="shared" ref="AQ341:AQ369" si="22">IF(AN341=0,"",SQRT(($AF341-$AO341)^2+($AG341-$AP341)^2))</f>
        <v>0.70710678118654757</v>
      </c>
      <c r="AR341" s="3">
        <v>2</v>
      </c>
      <c r="AS341" s="13">
        <v>-2</v>
      </c>
      <c r="AT341" s="13">
        <v>14</v>
      </c>
      <c r="AU341" s="19">
        <f t="shared" ref="AU341:AU369" si="23">IF(AR341=0,"",SQRT(($AF341-$AS341)^2+($AG341-$AT341)^2))</f>
        <v>3.5</v>
      </c>
    </row>
    <row r="342" spans="1:47" ht="25.05" customHeight="1">
      <c r="A342" s="3">
        <v>13</v>
      </c>
      <c r="B342" s="2" t="s">
        <v>76</v>
      </c>
      <c r="C342" s="17" t="str">
        <f>IF($A342="","",IF(VLOOKUP($A342,Spiele!$A$2:$D$17,3,FALSE)=$B342,"H","G"))</f>
        <v>G</v>
      </c>
      <c r="D342" s="17" t="str">
        <f>IF($B342="","",IF(VLOOKUP($A342,Spiele!$A$2:$F$17,3,FALSE)=$B342,VLOOKUP($A342,Spiele!$A$2:$F$17,4,FALSE),VLOOKUP($A342,Spiele!$A$2:$F$17,3,FALSE)))</f>
        <v>FCN</v>
      </c>
      <c r="E342" s="18">
        <f>IF(Abschlüsse[[#This Row],[Ergeb]]="ET",0,COUNTIFS($A$2:$A342,$A342,$B$2:$B342,$B342,$L$2:$L342,"&lt;&gt;ET"))</f>
        <v>2</v>
      </c>
      <c r="F342" s="11">
        <v>7</v>
      </c>
      <c r="G342" s="12">
        <v>1</v>
      </c>
      <c r="H342" s="18">
        <f>COUNTIFS('Rote Karten'!$A$2:$A$4,$A342,'Rote Karten'!$D$2:$D$4,"&lt;&gt;"&amp;$B342,'Rote Karten'!$B$2:$B$4,"&lt;"&amp;$F342,'Rote Karten'!$C$2:$C$4,"&lt;="&amp;$G342)-COUNTIFS('Rote Karten'!$A$2:$A$4,$A342,'Rote Karten'!$D$2:$D$4,$B342,'Rote Karten'!$B$2:$B$4,"&lt;"&amp;$F342,'Rote Karten'!$C$2:$C$4,"&lt;="&amp;$G342)</f>
        <v>0</v>
      </c>
      <c r="I342" s="17" t="str">
        <f>IF(OR($L342="Tor",$L342="ET"),_xlfn.IFNA(IF(VLOOKUP($A342,Spiele!$A$2:$C$17,3,FALSE)=$B342,COUNTIFS($L$2:$L342,"Tor",$B$2:$B342,$B342,$A$2:$A342,$A342)+COUNTIFS($L$2:$L342,"ET",$B$2:$B342,$B342,$A$2:$A342,$A342)&amp;":"&amp;COUNTIFS($L$2:$L342,"Tor",$B$2:$B342,"&lt;&gt;"&amp;$B342,$A$2:$A342,$A342)+COUNTIFS($L$2:$L342,"ET",$B$2:$B342,"&lt;&gt;"&amp;$B342,$A$2:$A342,$A342),COUNTIFS($L$2:$L342,"Tor",$B$2:$B342,"&lt;&gt;"&amp;$B342,$A$2:$A342,$A342)+COUNTIFS($L$2:$L342,"ET",$B$2:$B342,"&lt;&gt;"&amp;$B342,$A$2:$A342,$A342)&amp;":"&amp;COUNTIFS($L$2:$L342,"Tor",$B$2:$B342,$B342,$A$2:$A342,$A342)+COUNTIFS($L$2:$L342,"ET",$B$2:$B342,$B342,$A$2:$A342,$A342)),""),"")</f>
        <v/>
      </c>
      <c r="J342" s="18">
        <f>_xlfn.IFNA(IF(VLOOKUP($A342,Spiele!$A$2:$D$17,3,FALSE)=$B342,(COUNTIFS($L$1:$L341,"Tor",$B$1:$B341,$B342,$A$1:$A341,$A342)+COUNTIFS($L$1:$L341,"ET",$B$1:$B341,$B342,$A$1:$A341,$A342))-(COUNTIFS($L$1:$L341,"Tor",$B$1:$B341,"&lt;&gt;"&amp;$B342,$A$1:$A341,$A342)+COUNTIFS($L$1:$L341,"ET",$B$1:$B341,"&lt;&gt;"&amp;$B342,$A$1:$A341,$A342)),(COUNTIFS($L$1:$L341,"Tor",$B$1:$B341,$B342,$A$1:$A341,$A342)+COUNTIFS($L$1:$L341,"ET",$B$1:$B341,$B342,$A$1:$A341,$A342))-(COUNTIFS($L$1:$L341,"Tor",$B$1:$B341,"&lt;&gt;"&amp;$B342,$A$1:$A341,$A342)+COUNTIFS($L$1:$L341,"ET",$B$1:$B341,"&lt;&gt;"&amp;$B342,$A$1:$A341,$A342))),"")</f>
        <v>0</v>
      </c>
      <c r="K342" s="3">
        <v>1</v>
      </c>
      <c r="L342" s="17" t="s">
        <v>19</v>
      </c>
      <c r="M342" s="2" t="s">
        <v>163</v>
      </c>
      <c r="N342" s="2" t="s">
        <v>165</v>
      </c>
      <c r="O342" s="17"/>
      <c r="AA342" s="2" t="s">
        <v>154</v>
      </c>
      <c r="AB342" s="17" t="s">
        <v>143</v>
      </c>
      <c r="AC342" s="14" t="s">
        <v>161</v>
      </c>
      <c r="AD342" s="14" t="s">
        <v>162</v>
      </c>
      <c r="AE342" s="18"/>
      <c r="AF342" s="13">
        <v>-12</v>
      </c>
      <c r="AG342" s="13">
        <v>15.5</v>
      </c>
      <c r="AH342" s="19">
        <f t="shared" si="20"/>
        <v>17.601295406872758</v>
      </c>
      <c r="AI342" s="19">
        <f t="shared" si="21"/>
        <v>17.011080950867086</v>
      </c>
      <c r="AJ342" s="2" t="s">
        <v>146</v>
      </c>
      <c r="AK342" s="13">
        <v>-2</v>
      </c>
      <c r="AL342" s="13">
        <v>1</v>
      </c>
      <c r="AM342" s="19">
        <f>IF(Abschlüsse[[#This Row],[Ergeb]]="ET","",SQRT(($AF342-$AK342)^2+($AG342-$AL342)^2))</f>
        <v>17.613914953808536</v>
      </c>
      <c r="AN342" s="3">
        <v>0</v>
      </c>
      <c r="AO342" s="13"/>
      <c r="AP342" s="13"/>
      <c r="AQ342" s="19" t="str">
        <f t="shared" si="22"/>
        <v/>
      </c>
      <c r="AR342" s="3">
        <v>2</v>
      </c>
      <c r="AS342" s="13">
        <v>-10.5</v>
      </c>
      <c r="AT342" s="13">
        <v>13.5</v>
      </c>
      <c r="AU342" s="19">
        <f t="shared" si="23"/>
        <v>2.5</v>
      </c>
    </row>
    <row r="343" spans="1:47" ht="25.05" customHeight="1">
      <c r="A343" s="3">
        <v>13</v>
      </c>
      <c r="B343" s="2" t="s">
        <v>8</v>
      </c>
      <c r="C343" s="17" t="str">
        <f>IF($A343="","",IF(VLOOKUP($A343,Spiele!$A$2:$D$17,3,FALSE)=$B343,"H","G"))</f>
        <v>H</v>
      </c>
      <c r="D343" s="17" t="str">
        <f>IF($B343="","",IF(VLOOKUP($A343,Spiele!$A$2:$F$17,3,FALSE)=$B343,VLOOKUP($A343,Spiele!$A$2:$F$17,4,FALSE),VLOOKUP($A343,Spiele!$A$2:$F$17,3,FALSE)))</f>
        <v>60M</v>
      </c>
      <c r="E343" s="18">
        <f>IF(Abschlüsse[[#This Row],[Ergeb]]="ET",0,COUNTIFS($A$2:$A343,$A343,$B$2:$B343,$B343,$L$2:$L343,"&lt;&gt;ET"))</f>
        <v>1</v>
      </c>
      <c r="F343" s="11">
        <v>8</v>
      </c>
      <c r="G343" s="12">
        <v>1</v>
      </c>
      <c r="H343" s="18">
        <f>COUNTIFS('Rote Karten'!$A$2:$A$4,$A343,'Rote Karten'!$D$2:$D$4,"&lt;&gt;"&amp;$B343,'Rote Karten'!$B$2:$B$4,"&lt;"&amp;$F343,'Rote Karten'!$C$2:$C$4,"&lt;="&amp;$G343)-COUNTIFS('Rote Karten'!$A$2:$A$4,$A343,'Rote Karten'!$D$2:$D$4,$B343,'Rote Karten'!$B$2:$B$4,"&lt;"&amp;$F343,'Rote Karten'!$C$2:$C$4,"&lt;="&amp;$G343)</f>
        <v>0</v>
      </c>
      <c r="I343" s="17" t="str">
        <f>IF(OR($L343="Tor",$L343="ET"),_xlfn.IFNA(IF(VLOOKUP($A343,Spiele!$A$2:$C$17,3,FALSE)=$B343,COUNTIFS($L$2:$L343,"Tor",$B$2:$B343,$B343,$A$2:$A343,$A343)+COUNTIFS($L$2:$L343,"ET",$B$2:$B343,$B343,$A$2:$A343,$A343)&amp;":"&amp;COUNTIFS($L$2:$L343,"Tor",$B$2:$B343,"&lt;&gt;"&amp;$B343,$A$2:$A343,$A343)+COUNTIFS($L$2:$L343,"ET",$B$2:$B343,"&lt;&gt;"&amp;$B343,$A$2:$A343,$A343),COUNTIFS($L$2:$L343,"Tor",$B$2:$B343,"&lt;&gt;"&amp;$B343,$A$2:$A343,$A343)+COUNTIFS($L$2:$L343,"ET",$B$2:$B343,"&lt;&gt;"&amp;$B343,$A$2:$A343,$A343)&amp;":"&amp;COUNTIFS($L$2:$L343,"Tor",$B$2:$B343,$B343,$A$2:$A343,$A343)+COUNTIFS($L$2:$L343,"ET",$B$2:$B343,$B343,$A$2:$A343,$A343)),""),"")</f>
        <v/>
      </c>
      <c r="J343" s="18">
        <f>_xlfn.IFNA(IF(VLOOKUP($A343,Spiele!$A$2:$D$17,3,FALSE)=$B343,(COUNTIFS($L$1:$L342,"Tor",$B$1:$B342,$B343,$A$1:$A342,$A343)+COUNTIFS($L$1:$L342,"ET",$B$1:$B342,$B343,$A$1:$A342,$A343))-(COUNTIFS($L$1:$L342,"Tor",$B$1:$B342,"&lt;&gt;"&amp;$B343,$A$1:$A342,$A343)+COUNTIFS($L$1:$L342,"ET",$B$1:$B342,"&lt;&gt;"&amp;$B343,$A$1:$A342,$A343)),(COUNTIFS($L$1:$L342,"Tor",$B$1:$B342,$B343,$A$1:$A342,$A343)+COUNTIFS($L$1:$L342,"ET",$B$1:$B342,$B343,$A$1:$A342,$A343))-(COUNTIFS($L$1:$L342,"Tor",$B$1:$B342,"&lt;&gt;"&amp;$B343,$A$1:$A342,$A343)+COUNTIFS($L$1:$L342,"ET",$B$1:$B342,"&lt;&gt;"&amp;$B343,$A$1:$A342,$A343))),"")</f>
        <v>0</v>
      </c>
      <c r="K343" s="3">
        <v>2</v>
      </c>
      <c r="L343" s="17" t="s">
        <v>19</v>
      </c>
      <c r="M343" s="2" t="s">
        <v>163</v>
      </c>
      <c r="N343" s="2" t="s">
        <v>164</v>
      </c>
      <c r="O343" s="17">
        <v>8</v>
      </c>
      <c r="AA343" s="2" t="s">
        <v>151</v>
      </c>
      <c r="AB343" s="17" t="s">
        <v>143</v>
      </c>
      <c r="AC343" s="14" t="s">
        <v>150</v>
      </c>
      <c r="AD343" s="14" t="s">
        <v>156</v>
      </c>
      <c r="AE343" s="18">
        <v>9</v>
      </c>
      <c r="AF343" s="13">
        <v>-3.5</v>
      </c>
      <c r="AG343" s="13">
        <v>11.5</v>
      </c>
      <c r="AH343" s="19">
        <f t="shared" si="20"/>
        <v>11.5</v>
      </c>
      <c r="AI343" s="19">
        <f t="shared" si="21"/>
        <v>32.703859314557576</v>
      </c>
      <c r="AJ343" s="2" t="s">
        <v>146</v>
      </c>
      <c r="AK343" s="13">
        <v>-1.5</v>
      </c>
      <c r="AL343" s="13">
        <v>3.5</v>
      </c>
      <c r="AM343" s="19">
        <f>IF(Abschlüsse[[#This Row],[Ergeb]]="ET","",SQRT(($AF343-$AK343)^2+($AG343-$AL343)^2))</f>
        <v>8.2462112512353212</v>
      </c>
      <c r="AN343" s="3">
        <v>0</v>
      </c>
      <c r="AO343" s="13"/>
      <c r="AP343" s="13"/>
      <c r="AQ343" s="19" t="str">
        <f t="shared" si="22"/>
        <v/>
      </c>
      <c r="AR343" s="3">
        <v>1</v>
      </c>
      <c r="AS343" s="13">
        <v>-3.5</v>
      </c>
      <c r="AT343" s="13">
        <v>9.5</v>
      </c>
      <c r="AU343" s="19">
        <f t="shared" si="23"/>
        <v>2</v>
      </c>
    </row>
    <row r="344" spans="1:47" ht="25.05" customHeight="1">
      <c r="A344" s="3">
        <v>13</v>
      </c>
      <c r="B344" s="2" t="s">
        <v>76</v>
      </c>
      <c r="C344" s="17" t="str">
        <f>IF($A344="","",IF(VLOOKUP($A344,Spiele!$A$2:$D$17,3,FALSE)=$B344,"H","G"))</f>
        <v>G</v>
      </c>
      <c r="D344" s="17" t="str">
        <f>IF($B344="","",IF(VLOOKUP($A344,Spiele!$A$2:$F$17,3,FALSE)=$B344,VLOOKUP($A344,Spiele!$A$2:$F$17,4,FALSE),VLOOKUP($A344,Spiele!$A$2:$F$17,3,FALSE)))</f>
        <v>FCN</v>
      </c>
      <c r="E344" s="18">
        <f>IF(Abschlüsse[[#This Row],[Ergeb]]="ET",0,COUNTIFS($A$2:$A344,$A344,$B$2:$B344,$B344,$L$2:$L344,"&lt;&gt;ET"))</f>
        <v>3</v>
      </c>
      <c r="F344" s="11">
        <v>9</v>
      </c>
      <c r="G344" s="12">
        <v>1</v>
      </c>
      <c r="H344" s="18">
        <f>COUNTIFS('Rote Karten'!$A$2:$A$4,$A344,'Rote Karten'!$D$2:$D$4,"&lt;&gt;"&amp;$B344,'Rote Karten'!$B$2:$B$4,"&lt;"&amp;$F344,'Rote Karten'!$C$2:$C$4,"&lt;="&amp;$G344)-COUNTIFS('Rote Karten'!$A$2:$A$4,$A344,'Rote Karten'!$D$2:$D$4,$B344,'Rote Karten'!$B$2:$B$4,"&lt;"&amp;$F344,'Rote Karten'!$C$2:$C$4,"&lt;="&amp;$G344)</f>
        <v>0</v>
      </c>
      <c r="I344" s="17" t="str">
        <f>IF(OR($L344="Tor",$L344="ET"),_xlfn.IFNA(IF(VLOOKUP($A344,Spiele!$A$2:$C$17,3,FALSE)=$B344,COUNTIFS($L$2:$L344,"Tor",$B$2:$B344,$B344,$A$2:$A344,$A344)+COUNTIFS($L$2:$L344,"ET",$B$2:$B344,$B344,$A$2:$A344,$A344)&amp;":"&amp;COUNTIFS($L$2:$L344,"Tor",$B$2:$B344,"&lt;&gt;"&amp;$B344,$A$2:$A344,$A344)+COUNTIFS($L$2:$L344,"ET",$B$2:$B344,"&lt;&gt;"&amp;$B344,$A$2:$A344,$A344),COUNTIFS($L$2:$L344,"Tor",$B$2:$B344,"&lt;&gt;"&amp;$B344,$A$2:$A344,$A344)+COUNTIFS($L$2:$L344,"ET",$B$2:$B344,"&lt;&gt;"&amp;$B344,$A$2:$A344,$A344)&amp;":"&amp;COUNTIFS($L$2:$L344,"Tor",$B$2:$B344,$B344,$A$2:$A344,$A344)+COUNTIFS($L$2:$L344,"ET",$B$2:$B344,$B344,$A$2:$A344,$A344)),""),"")</f>
        <v/>
      </c>
      <c r="J344" s="18">
        <f>_xlfn.IFNA(IF(VLOOKUP($A344,Spiele!$A$2:$D$17,3,FALSE)=$B344,(COUNTIFS($L$1:$L343,"Tor",$B$1:$B343,$B344,$A$1:$A343,$A344)+COUNTIFS($L$1:$L343,"ET",$B$1:$B343,$B344,$A$1:$A343,$A344))-(COUNTIFS($L$1:$L343,"Tor",$B$1:$B343,"&lt;&gt;"&amp;$B344,$A$1:$A343,$A344)+COUNTIFS($L$1:$L343,"ET",$B$1:$B343,"&lt;&gt;"&amp;$B344,$A$1:$A343,$A344)),(COUNTIFS($L$1:$L343,"Tor",$B$1:$B343,$B344,$A$1:$A343,$A344)+COUNTIFS($L$1:$L343,"ET",$B$1:$B343,$B344,$A$1:$A343,$A344))-(COUNTIFS($L$1:$L343,"Tor",$B$1:$B343,"&lt;&gt;"&amp;$B344,$A$1:$A343,$A344)+COUNTIFS($L$1:$L343,"ET",$B$1:$B343,"&lt;&gt;"&amp;$B344,$A$1:$A343,$A344))),"")</f>
        <v>0</v>
      </c>
      <c r="K344" s="3">
        <v>3</v>
      </c>
      <c r="L344" s="17" t="s">
        <v>18</v>
      </c>
      <c r="M344" s="2" t="s">
        <v>147</v>
      </c>
      <c r="N344" s="2" t="s">
        <v>158</v>
      </c>
      <c r="O344" s="17"/>
      <c r="AA344" s="2" t="s">
        <v>154</v>
      </c>
      <c r="AB344" s="17" t="s">
        <v>143</v>
      </c>
      <c r="AC344" s="14" t="s">
        <v>144</v>
      </c>
      <c r="AD344" s="14" t="s">
        <v>156</v>
      </c>
      <c r="AE344" s="18"/>
      <c r="AF344" s="13">
        <v>-0.5</v>
      </c>
      <c r="AG344" s="13">
        <v>15.5</v>
      </c>
      <c r="AH344" s="19">
        <f t="shared" si="20"/>
        <v>15.5</v>
      </c>
      <c r="AI344" s="19">
        <f t="shared" si="21"/>
        <v>26.546439371443093</v>
      </c>
      <c r="AJ344" s="2" t="s">
        <v>146</v>
      </c>
      <c r="AK344" s="13">
        <v>0.5</v>
      </c>
      <c r="AL344" s="13">
        <v>0.5</v>
      </c>
      <c r="AM344" s="19">
        <f>IF(Abschlüsse[[#This Row],[Ergeb]]="ET","",SQRT(($AF344-$AK344)^2+($AG344-$AL344)^2))</f>
        <v>15.033296378372908</v>
      </c>
      <c r="AN344" s="3">
        <v>0</v>
      </c>
      <c r="AO344" s="13"/>
      <c r="AP344" s="13"/>
      <c r="AQ344" s="19" t="str">
        <f t="shared" si="22"/>
        <v/>
      </c>
      <c r="AR344" s="3">
        <v>2</v>
      </c>
      <c r="AS344" s="13">
        <v>-1</v>
      </c>
      <c r="AT344" s="13">
        <v>9.5</v>
      </c>
      <c r="AU344" s="19">
        <f t="shared" si="23"/>
        <v>6.0207972893961479</v>
      </c>
    </row>
    <row r="345" spans="1:47" ht="25.05" customHeight="1">
      <c r="A345" s="3">
        <v>13</v>
      </c>
      <c r="B345" s="2" t="s">
        <v>8</v>
      </c>
      <c r="C345" s="17" t="str">
        <f>IF($A345="","",IF(VLOOKUP($A345,Spiele!$A$2:$D$17,3,FALSE)=$B345,"H","G"))</f>
        <v>H</v>
      </c>
      <c r="D345" s="17" t="str">
        <f>IF($B345="","",IF(VLOOKUP($A345,Spiele!$A$2:$F$17,3,FALSE)=$B345,VLOOKUP($A345,Spiele!$A$2:$F$17,4,FALSE),VLOOKUP($A345,Spiele!$A$2:$F$17,3,FALSE)))</f>
        <v>60M</v>
      </c>
      <c r="E345" s="18">
        <f>IF(Abschlüsse[[#This Row],[Ergeb]]="ET",0,COUNTIFS($A$2:$A345,$A345,$B$2:$B345,$B345,$L$2:$L345,"&lt;&gt;ET"))</f>
        <v>2</v>
      </c>
      <c r="F345" s="11">
        <v>10</v>
      </c>
      <c r="G345" s="12">
        <v>1</v>
      </c>
      <c r="H345" s="18">
        <f>COUNTIFS('Rote Karten'!$A$2:$A$4,$A345,'Rote Karten'!$D$2:$D$4,"&lt;&gt;"&amp;$B345,'Rote Karten'!$B$2:$B$4,"&lt;"&amp;$F345,'Rote Karten'!$C$2:$C$4,"&lt;="&amp;$G345)-COUNTIFS('Rote Karten'!$A$2:$A$4,$A345,'Rote Karten'!$D$2:$D$4,$B345,'Rote Karten'!$B$2:$B$4,"&lt;"&amp;$F345,'Rote Karten'!$C$2:$C$4,"&lt;="&amp;$G345)</f>
        <v>0</v>
      </c>
      <c r="I345" s="17" t="str">
        <f>IF(OR($L345="Tor",$L345="ET"),_xlfn.IFNA(IF(VLOOKUP($A345,Spiele!$A$2:$C$17,3,FALSE)=$B345,COUNTIFS($L$2:$L345,"Tor",$B$2:$B345,$B345,$A$2:$A345,$A345)+COUNTIFS($L$2:$L345,"ET",$B$2:$B345,$B345,$A$2:$A345,$A345)&amp;":"&amp;COUNTIFS($L$2:$L345,"Tor",$B$2:$B345,"&lt;&gt;"&amp;$B345,$A$2:$A345,$A345)+COUNTIFS($L$2:$L345,"ET",$B$2:$B345,"&lt;&gt;"&amp;$B345,$A$2:$A345,$A345),COUNTIFS($L$2:$L345,"Tor",$B$2:$B345,"&lt;&gt;"&amp;$B345,$A$2:$A345,$A345)+COUNTIFS($L$2:$L345,"ET",$B$2:$B345,"&lt;&gt;"&amp;$B345,$A$2:$A345,$A345)&amp;":"&amp;COUNTIFS($L$2:$L345,"Tor",$B$2:$B345,$B345,$A$2:$A345,$A345)+COUNTIFS($L$2:$L345,"ET",$B$2:$B345,$B345,$A$2:$A345,$A345)),""),"")</f>
        <v/>
      </c>
      <c r="J345" s="18">
        <f>_xlfn.IFNA(IF(VLOOKUP($A345,Spiele!$A$2:$D$17,3,FALSE)=$B345,(COUNTIFS($L$1:$L344,"Tor",$B$1:$B344,$B345,$A$1:$A344,$A345)+COUNTIFS($L$1:$L344,"ET",$B$1:$B344,$B345,$A$1:$A344,$A345))-(COUNTIFS($L$1:$L344,"Tor",$B$1:$B344,"&lt;&gt;"&amp;$B345,$A$1:$A344,$A345)+COUNTIFS($L$1:$L344,"ET",$B$1:$B344,"&lt;&gt;"&amp;$B345,$A$1:$A344,$A345)),(COUNTIFS($L$1:$L344,"Tor",$B$1:$B344,$B345,$A$1:$A344,$A345)+COUNTIFS($L$1:$L344,"ET",$B$1:$B344,$B345,$A$1:$A344,$A345))-(COUNTIFS($L$1:$L344,"Tor",$B$1:$B344,"&lt;&gt;"&amp;$B345,$A$1:$A344,$A345)+COUNTIFS($L$1:$L344,"ET",$B$1:$B344,"&lt;&gt;"&amp;$B345,$A$1:$A344,$A345))),"")</f>
        <v>0</v>
      </c>
      <c r="K345" s="3">
        <v>4</v>
      </c>
      <c r="L345" s="17" t="s">
        <v>19</v>
      </c>
      <c r="M345" s="2" t="s">
        <v>163</v>
      </c>
      <c r="N345" s="2" t="s">
        <v>152</v>
      </c>
      <c r="O345" s="17">
        <v>9</v>
      </c>
      <c r="P345" s="2">
        <v>6</v>
      </c>
      <c r="Q345" s="2">
        <v>7</v>
      </c>
      <c r="R345" s="2">
        <v>23</v>
      </c>
      <c r="AA345" s="2" t="s">
        <v>151</v>
      </c>
      <c r="AB345" s="17" t="s">
        <v>143</v>
      </c>
      <c r="AC345" s="14" t="s">
        <v>150</v>
      </c>
      <c r="AD345" s="14" t="s">
        <v>145</v>
      </c>
      <c r="AE345" s="18">
        <v>7</v>
      </c>
      <c r="AF345" s="13">
        <v>15</v>
      </c>
      <c r="AG345" s="13">
        <v>7.5</v>
      </c>
      <c r="AH345" s="19">
        <f t="shared" si="20"/>
        <v>13.595793467098565</v>
      </c>
      <c r="AI345" s="19">
        <f t="shared" si="21"/>
        <v>11.583042211219654</v>
      </c>
      <c r="AJ345" s="2" t="s">
        <v>146</v>
      </c>
      <c r="AK345" s="13">
        <v>4</v>
      </c>
      <c r="AL345" s="13">
        <v>1.5</v>
      </c>
      <c r="AM345" s="19">
        <f>IF(Abschlüsse[[#This Row],[Ergeb]]="ET","",SQRT(($AF345-$AK345)^2+($AG345-$AL345)^2))</f>
        <v>12.529964086141668</v>
      </c>
      <c r="AN345" s="3">
        <v>1</v>
      </c>
      <c r="AO345" s="13">
        <v>13.5</v>
      </c>
      <c r="AP345" s="13">
        <v>8.5</v>
      </c>
      <c r="AQ345" s="19">
        <f t="shared" si="22"/>
        <v>1.8027756377319946</v>
      </c>
      <c r="AR345" s="3">
        <v>0</v>
      </c>
      <c r="AU345" s="19" t="str">
        <f t="shared" si="23"/>
        <v/>
      </c>
    </row>
    <row r="346" spans="1:47" ht="25.05" customHeight="1">
      <c r="A346" s="3">
        <v>13</v>
      </c>
      <c r="B346" s="2" t="s">
        <v>76</v>
      </c>
      <c r="C346" s="17" t="str">
        <f>IF($A346="","",IF(VLOOKUP($A346,Spiele!$A$2:$D$17,3,FALSE)=$B346,"H","G"))</f>
        <v>G</v>
      </c>
      <c r="D346" s="17" t="str">
        <f>IF($B346="","",IF(VLOOKUP($A346,Spiele!$A$2:$F$17,3,FALSE)=$B346,VLOOKUP($A346,Spiele!$A$2:$F$17,4,FALSE),VLOOKUP($A346,Spiele!$A$2:$F$17,3,FALSE)))</f>
        <v>FCN</v>
      </c>
      <c r="E346" s="18">
        <f>IF(Abschlüsse[[#This Row],[Ergeb]]="ET",0,COUNTIFS($A$2:$A346,$A346,$B$2:$B346,$B346,$L$2:$L346,"&lt;&gt;ET"))</f>
        <v>4</v>
      </c>
      <c r="F346" s="11">
        <v>14</v>
      </c>
      <c r="G346" s="12">
        <v>1</v>
      </c>
      <c r="H346" s="18">
        <f>COUNTIFS('Rote Karten'!$A$2:$A$4,$A346,'Rote Karten'!$D$2:$D$4,"&lt;&gt;"&amp;$B346,'Rote Karten'!$B$2:$B$4,"&lt;"&amp;$F346,'Rote Karten'!$C$2:$C$4,"&lt;="&amp;$G346)-COUNTIFS('Rote Karten'!$A$2:$A$4,$A346,'Rote Karten'!$D$2:$D$4,$B346,'Rote Karten'!$B$2:$B$4,"&lt;"&amp;$F346,'Rote Karten'!$C$2:$C$4,"&lt;="&amp;$G346)</f>
        <v>0</v>
      </c>
      <c r="I346" s="17" t="str">
        <f>IF(OR($L346="Tor",$L346="ET"),_xlfn.IFNA(IF(VLOOKUP($A346,Spiele!$A$2:$C$17,3,FALSE)=$B346,COUNTIFS($L$2:$L346,"Tor",$B$2:$B346,$B346,$A$2:$A346,$A346)+COUNTIFS($L$2:$L346,"ET",$B$2:$B346,$B346,$A$2:$A346,$A346)&amp;":"&amp;COUNTIFS($L$2:$L346,"Tor",$B$2:$B346,"&lt;&gt;"&amp;$B346,$A$2:$A346,$A346)+COUNTIFS($L$2:$L346,"ET",$B$2:$B346,"&lt;&gt;"&amp;$B346,$A$2:$A346,$A346),COUNTIFS($L$2:$L346,"Tor",$B$2:$B346,"&lt;&gt;"&amp;$B346,$A$2:$A346,$A346)+COUNTIFS($L$2:$L346,"ET",$B$2:$B346,"&lt;&gt;"&amp;$B346,$A$2:$A346,$A346)&amp;":"&amp;COUNTIFS($L$2:$L346,"Tor",$B$2:$B346,$B346,$A$2:$A346,$A346)+COUNTIFS($L$2:$L346,"ET",$B$2:$B346,$B346,$A$2:$A346,$A346)),""),"")</f>
        <v/>
      </c>
      <c r="J346" s="18">
        <f>_xlfn.IFNA(IF(VLOOKUP($A346,Spiele!$A$2:$D$17,3,FALSE)=$B346,(COUNTIFS($L$1:$L345,"Tor",$B$1:$B345,$B346,$A$1:$A345,$A346)+COUNTIFS($L$1:$L345,"ET",$B$1:$B345,$B346,$A$1:$A345,$A346))-(COUNTIFS($L$1:$L345,"Tor",$B$1:$B345,"&lt;&gt;"&amp;$B346,$A$1:$A345,$A346)+COUNTIFS($L$1:$L345,"ET",$B$1:$B345,"&lt;&gt;"&amp;$B346,$A$1:$A345,$A346)),(COUNTIFS($L$1:$L345,"Tor",$B$1:$B345,$B346,$A$1:$A345,$A346)+COUNTIFS($L$1:$L345,"ET",$B$1:$B345,$B346,$A$1:$A345,$A346))-(COUNTIFS($L$1:$L345,"Tor",$B$1:$B345,"&lt;&gt;"&amp;$B346,$A$1:$A345,$A346)+COUNTIFS($L$1:$L345,"ET",$B$1:$B345,"&lt;&gt;"&amp;$B346,$A$1:$A345,$A346))),"")</f>
        <v>0</v>
      </c>
      <c r="K346" s="3">
        <v>5</v>
      </c>
      <c r="L346" s="17" t="s">
        <v>20</v>
      </c>
      <c r="M346" s="2" t="s">
        <v>147</v>
      </c>
      <c r="N346" s="2" t="s">
        <v>153</v>
      </c>
      <c r="O346" s="17"/>
      <c r="AA346" s="2" t="s">
        <v>154</v>
      </c>
      <c r="AB346" s="17" t="s">
        <v>160</v>
      </c>
      <c r="AC346" s="14" t="s">
        <v>161</v>
      </c>
      <c r="AD346" s="14" t="s">
        <v>156</v>
      </c>
      <c r="AE346" s="18"/>
      <c r="AF346" s="13">
        <v>7.5</v>
      </c>
      <c r="AG346" s="13">
        <v>13</v>
      </c>
      <c r="AH346" s="19">
        <f t="shared" si="20"/>
        <v>13.555279414309393</v>
      </c>
      <c r="AI346" s="19">
        <f t="shared" si="21"/>
        <v>24.188491715950388</v>
      </c>
      <c r="AJ346" s="2" t="s">
        <v>146</v>
      </c>
      <c r="AK346" s="13">
        <v>1</v>
      </c>
      <c r="AL346" s="13">
        <v>0.5</v>
      </c>
      <c r="AM346" s="19">
        <f>IF(Abschlüsse[[#This Row],[Ergeb]]="ET","",SQRT(($AF346-$AK346)^2+($AG346-$AL346)^2))</f>
        <v>14.089002803605371</v>
      </c>
      <c r="AN346" s="3">
        <v>0</v>
      </c>
      <c r="AO346" s="13"/>
      <c r="AP346" s="13"/>
      <c r="AQ346" s="19" t="str">
        <f t="shared" si="22"/>
        <v/>
      </c>
      <c r="AR346" s="3">
        <v>2</v>
      </c>
      <c r="AS346" s="13">
        <v>7</v>
      </c>
      <c r="AT346" s="13">
        <v>12</v>
      </c>
      <c r="AU346" s="19">
        <f t="shared" si="23"/>
        <v>1.1180339887498949</v>
      </c>
    </row>
    <row r="347" spans="1:47" ht="25.05" customHeight="1">
      <c r="A347" s="3">
        <v>13</v>
      </c>
      <c r="B347" s="2" t="s">
        <v>76</v>
      </c>
      <c r="C347" s="17" t="str">
        <f>IF($A347="","",IF(VLOOKUP($A347,Spiele!$A$2:$D$17,3,FALSE)=$B347,"H","G"))</f>
        <v>G</v>
      </c>
      <c r="D347" s="17" t="str">
        <f>IF($B347="","",IF(VLOOKUP($A347,Spiele!$A$2:$F$17,3,FALSE)=$B347,VLOOKUP($A347,Spiele!$A$2:$F$17,4,FALSE),VLOOKUP($A347,Spiele!$A$2:$F$17,3,FALSE)))</f>
        <v>FCN</v>
      </c>
      <c r="E347" s="18">
        <f>IF(Abschlüsse[[#This Row],[Ergeb]]="ET",0,COUNTIFS($A$2:$A347,$A347,$B$2:$B347,$B347,$L$2:$L347,"&lt;&gt;ET"))</f>
        <v>5</v>
      </c>
      <c r="F347" s="11">
        <v>18</v>
      </c>
      <c r="G347" s="12">
        <v>1</v>
      </c>
      <c r="H347" s="18">
        <f>COUNTIFS('Rote Karten'!$A$2:$A$4,$A347,'Rote Karten'!$D$2:$D$4,"&lt;&gt;"&amp;$B347,'Rote Karten'!$B$2:$B$4,"&lt;"&amp;$F347,'Rote Karten'!$C$2:$C$4,"&lt;="&amp;$G347)-COUNTIFS('Rote Karten'!$A$2:$A$4,$A347,'Rote Karten'!$D$2:$D$4,$B347,'Rote Karten'!$B$2:$B$4,"&lt;"&amp;$F347,'Rote Karten'!$C$2:$C$4,"&lt;="&amp;$G347)</f>
        <v>0</v>
      </c>
      <c r="I347" s="17" t="str">
        <f>IF(OR($L347="Tor",$L347="ET"),_xlfn.IFNA(IF(VLOOKUP($A347,Spiele!$A$2:$C$17,3,FALSE)=$B347,COUNTIFS($L$2:$L347,"Tor",$B$2:$B347,$B347,$A$2:$A347,$A347)+COUNTIFS($L$2:$L347,"ET",$B$2:$B347,$B347,$A$2:$A347,$A347)&amp;":"&amp;COUNTIFS($L$2:$L347,"Tor",$B$2:$B347,"&lt;&gt;"&amp;$B347,$A$2:$A347,$A347)+COUNTIFS($L$2:$L347,"ET",$B$2:$B347,"&lt;&gt;"&amp;$B347,$A$2:$A347,$A347),COUNTIFS($L$2:$L347,"Tor",$B$2:$B347,"&lt;&gt;"&amp;$B347,$A$2:$A347,$A347)+COUNTIFS($L$2:$L347,"ET",$B$2:$B347,"&lt;&gt;"&amp;$B347,$A$2:$A347,$A347)&amp;":"&amp;COUNTIFS($L$2:$L347,"Tor",$B$2:$B347,$B347,$A$2:$A347,$A347)+COUNTIFS($L$2:$L347,"ET",$B$2:$B347,$B347,$A$2:$A347,$A347)),""),"")</f>
        <v/>
      </c>
      <c r="J347" s="18">
        <f>_xlfn.IFNA(IF(VLOOKUP($A347,Spiele!$A$2:$D$17,3,FALSE)=$B347,(COUNTIFS($L$1:$L346,"Tor",$B$1:$B346,$B347,$A$1:$A346,$A347)+COUNTIFS($L$1:$L346,"ET",$B$1:$B346,$B347,$A$1:$A346,$A347))-(COUNTIFS($L$1:$L346,"Tor",$B$1:$B346,"&lt;&gt;"&amp;$B347,$A$1:$A346,$A347)+COUNTIFS($L$1:$L346,"ET",$B$1:$B346,"&lt;&gt;"&amp;$B347,$A$1:$A346,$A347)),(COUNTIFS($L$1:$L346,"Tor",$B$1:$B346,$B347,$A$1:$A346,$A347)+COUNTIFS($L$1:$L346,"ET",$B$1:$B346,$B347,$A$1:$A346,$A347))-(COUNTIFS($L$1:$L346,"Tor",$B$1:$B346,"&lt;&gt;"&amp;$B347,$A$1:$A346,$A347)+COUNTIFS($L$1:$L346,"ET",$B$1:$B346,"&lt;&gt;"&amp;$B347,$A$1:$A346,$A347))),"")</f>
        <v>0</v>
      </c>
      <c r="K347" s="3">
        <v>6</v>
      </c>
      <c r="L347" s="17" t="s">
        <v>20</v>
      </c>
      <c r="M347" s="2" t="s">
        <v>163</v>
      </c>
      <c r="N347" s="2" t="s">
        <v>3</v>
      </c>
      <c r="O347" s="17"/>
      <c r="AA347" s="2" t="s">
        <v>141</v>
      </c>
      <c r="AB347" s="17" t="s">
        <v>149</v>
      </c>
      <c r="AC347" s="14" t="s">
        <v>150</v>
      </c>
      <c r="AD347" s="14" t="s">
        <v>145</v>
      </c>
      <c r="AE347" s="18"/>
      <c r="AF347" s="13">
        <v>1</v>
      </c>
      <c r="AG347" s="13">
        <v>19</v>
      </c>
      <c r="AH347" s="19">
        <f t="shared" si="20"/>
        <v>19</v>
      </c>
      <c r="AI347" s="19">
        <f t="shared" si="21"/>
        <v>21.750134253188115</v>
      </c>
      <c r="AJ347" s="2" t="s">
        <v>146</v>
      </c>
      <c r="AK347" s="13">
        <v>0</v>
      </c>
      <c r="AL347" s="13">
        <v>0.5</v>
      </c>
      <c r="AM347" s="19">
        <f>IF(Abschlüsse[[#This Row],[Ergeb]]="ET","",SQRT(($AF347-$AK347)^2+($AG347-$AL347)^2))</f>
        <v>18.527007313648905</v>
      </c>
      <c r="AN347" s="3">
        <v>1</v>
      </c>
      <c r="AO347" s="13">
        <v>-1.5</v>
      </c>
      <c r="AP347" s="13">
        <v>18</v>
      </c>
      <c r="AQ347" s="19">
        <f t="shared" si="22"/>
        <v>2.6925824035672519</v>
      </c>
      <c r="AR347" s="3">
        <v>2</v>
      </c>
      <c r="AS347" s="13">
        <v>1</v>
      </c>
      <c r="AT347" s="13">
        <v>14</v>
      </c>
      <c r="AU347" s="19">
        <f t="shared" si="23"/>
        <v>5</v>
      </c>
    </row>
    <row r="348" spans="1:47" ht="25.05" customHeight="1">
      <c r="A348" s="3">
        <v>13</v>
      </c>
      <c r="B348" s="2" t="s">
        <v>76</v>
      </c>
      <c r="C348" s="17" t="str">
        <f>IF($A348="","",IF(VLOOKUP($A348,Spiele!$A$2:$D$17,3,FALSE)=$B348,"H","G"))</f>
        <v>G</v>
      </c>
      <c r="D348" s="17" t="str">
        <f>IF($B348="","",IF(VLOOKUP($A348,Spiele!$A$2:$F$17,3,FALSE)=$B348,VLOOKUP($A348,Spiele!$A$2:$F$17,4,FALSE),VLOOKUP($A348,Spiele!$A$2:$F$17,3,FALSE)))</f>
        <v>FCN</v>
      </c>
      <c r="E348" s="18">
        <f>IF(Abschlüsse[[#This Row],[Ergeb]]="ET",0,COUNTIFS($A$2:$A348,$A348,$B$2:$B348,$B348,$L$2:$L348,"&lt;&gt;ET"))</f>
        <v>6</v>
      </c>
      <c r="F348" s="11">
        <v>18</v>
      </c>
      <c r="G348" s="12">
        <v>1</v>
      </c>
      <c r="H348" s="18">
        <f>COUNTIFS('Rote Karten'!$A$2:$A$4,$A348,'Rote Karten'!$D$2:$D$4,"&lt;&gt;"&amp;$B348,'Rote Karten'!$B$2:$B$4,"&lt;"&amp;$F348,'Rote Karten'!$C$2:$C$4,"&lt;="&amp;$G348)-COUNTIFS('Rote Karten'!$A$2:$A$4,$A348,'Rote Karten'!$D$2:$D$4,$B348,'Rote Karten'!$B$2:$B$4,"&lt;"&amp;$F348,'Rote Karten'!$C$2:$C$4,"&lt;="&amp;$G348)</f>
        <v>0</v>
      </c>
      <c r="I348" s="17" t="str">
        <f>IF(OR($L348="Tor",$L348="ET"),_xlfn.IFNA(IF(VLOOKUP($A348,Spiele!$A$2:$C$17,3,FALSE)=$B348,COUNTIFS($L$2:$L348,"Tor",$B$2:$B348,$B348,$A$2:$A348,$A348)+COUNTIFS($L$2:$L348,"ET",$B$2:$B348,$B348,$A$2:$A348,$A348)&amp;":"&amp;COUNTIFS($L$2:$L348,"Tor",$B$2:$B348,"&lt;&gt;"&amp;$B348,$A$2:$A348,$A348)+COUNTIFS($L$2:$L348,"ET",$B$2:$B348,"&lt;&gt;"&amp;$B348,$A$2:$A348,$A348),COUNTIFS($L$2:$L348,"Tor",$B$2:$B348,"&lt;&gt;"&amp;$B348,$A$2:$A348,$A348)+COUNTIFS($L$2:$L348,"ET",$B$2:$B348,"&lt;&gt;"&amp;$B348,$A$2:$A348,$A348)&amp;":"&amp;COUNTIFS($L$2:$L348,"Tor",$B$2:$B348,$B348,$A$2:$A348,$A348)+COUNTIFS($L$2:$L348,"ET",$B$2:$B348,$B348,$A$2:$A348,$A348)),""),"")</f>
        <v/>
      </c>
      <c r="J348" s="18">
        <f>_xlfn.IFNA(IF(VLOOKUP($A348,Spiele!$A$2:$D$17,3,FALSE)=$B348,(COUNTIFS($L$1:$L347,"Tor",$B$1:$B347,$B348,$A$1:$A347,$A348)+COUNTIFS($L$1:$L347,"ET",$B$1:$B347,$B348,$A$1:$A347,$A348))-(COUNTIFS($L$1:$L347,"Tor",$B$1:$B347,"&lt;&gt;"&amp;$B348,$A$1:$A347,$A348)+COUNTIFS($L$1:$L347,"ET",$B$1:$B347,"&lt;&gt;"&amp;$B348,$A$1:$A347,$A348)),(COUNTIFS($L$1:$L347,"Tor",$B$1:$B347,$B348,$A$1:$A347,$A348)+COUNTIFS($L$1:$L347,"ET",$B$1:$B347,$B348,$A$1:$A347,$A348))-(COUNTIFS($L$1:$L347,"Tor",$B$1:$B347,"&lt;&gt;"&amp;$B348,$A$1:$A347,$A348)+COUNTIFS($L$1:$L347,"ET",$B$1:$B347,"&lt;&gt;"&amp;$B348,$A$1:$A347,$A348))),"")</f>
        <v>0</v>
      </c>
      <c r="K348" s="3">
        <v>6</v>
      </c>
      <c r="L348" s="17" t="s">
        <v>20</v>
      </c>
      <c r="M348" s="2" t="s">
        <v>163</v>
      </c>
      <c r="N348" s="2" t="s">
        <v>3</v>
      </c>
      <c r="O348" s="17"/>
      <c r="AA348" s="2" t="s">
        <v>142</v>
      </c>
      <c r="AB348" s="17" t="s">
        <v>149</v>
      </c>
      <c r="AC348" s="14" t="s">
        <v>150</v>
      </c>
      <c r="AD348" s="14" t="s">
        <v>145</v>
      </c>
      <c r="AE348" s="18"/>
      <c r="AF348" s="13">
        <v>6.5</v>
      </c>
      <c r="AG348" s="13">
        <v>14.5</v>
      </c>
      <c r="AH348" s="19">
        <f t="shared" si="20"/>
        <v>14.775506759498978</v>
      </c>
      <c r="AI348" s="19">
        <f t="shared" si="21"/>
        <v>23.936746455580142</v>
      </c>
      <c r="AJ348" s="2" t="s">
        <v>146</v>
      </c>
      <c r="AK348" s="13">
        <v>0.5</v>
      </c>
      <c r="AL348" s="13">
        <v>0.5</v>
      </c>
      <c r="AM348" s="19">
        <f>IF(Abschlüsse[[#This Row],[Ergeb]]="ET","",SQRT(($AF348-$AK348)^2+($AG348-$AL348)^2))</f>
        <v>15.231546211727817</v>
      </c>
      <c r="AN348" s="3">
        <v>2</v>
      </c>
      <c r="AO348" s="13">
        <v>3</v>
      </c>
      <c r="AP348" s="13">
        <v>14.5</v>
      </c>
      <c r="AQ348" s="19">
        <f t="shared" si="22"/>
        <v>3.5</v>
      </c>
      <c r="AR348" s="3">
        <v>2</v>
      </c>
      <c r="AS348" s="13">
        <v>6</v>
      </c>
      <c r="AT348" s="13">
        <v>13.5</v>
      </c>
      <c r="AU348" s="19">
        <f t="shared" si="23"/>
        <v>1.1180339887498949</v>
      </c>
    </row>
    <row r="349" spans="1:47" ht="25.05" customHeight="1">
      <c r="A349" s="3">
        <v>13</v>
      </c>
      <c r="B349" s="2" t="s">
        <v>8</v>
      </c>
      <c r="C349" s="17" t="str">
        <f>IF($A349="","",IF(VLOOKUP($A349,Spiele!$A$2:$D$17,3,FALSE)=$B349,"H","G"))</f>
        <v>H</v>
      </c>
      <c r="D349" s="17" t="str">
        <f>IF($B349="","",IF(VLOOKUP($A349,Spiele!$A$2:$F$17,3,FALSE)=$B349,VLOOKUP($A349,Spiele!$A$2:$F$17,4,FALSE),VLOOKUP($A349,Spiele!$A$2:$F$17,3,FALSE)))</f>
        <v>60M</v>
      </c>
      <c r="E349" s="18">
        <f>IF(Abschlüsse[[#This Row],[Ergeb]]="ET",0,COUNTIFS($A$2:$A349,$A349,$B$2:$B349,$B349,$L$2:$L349,"&lt;&gt;ET"))</f>
        <v>3</v>
      </c>
      <c r="F349" s="11">
        <v>18</v>
      </c>
      <c r="G349" s="12">
        <v>1</v>
      </c>
      <c r="H349" s="18">
        <f>COUNTIFS('Rote Karten'!$A$2:$A$4,$A349,'Rote Karten'!$D$2:$D$4,"&lt;&gt;"&amp;$B349,'Rote Karten'!$B$2:$B$4,"&lt;"&amp;$F349,'Rote Karten'!$C$2:$C$4,"&lt;="&amp;$G349)-COUNTIFS('Rote Karten'!$A$2:$A$4,$A349,'Rote Karten'!$D$2:$D$4,$B349,'Rote Karten'!$B$2:$B$4,"&lt;"&amp;$F349,'Rote Karten'!$C$2:$C$4,"&lt;="&amp;$G349)</f>
        <v>0</v>
      </c>
      <c r="I349" s="17" t="str">
        <f>IF(OR($L349="Tor",$L349="ET"),_xlfn.IFNA(IF(VLOOKUP($A349,Spiele!$A$2:$C$17,3,FALSE)=$B349,COUNTIFS($L$2:$L349,"Tor",$B$2:$B349,$B349,$A$2:$A349,$A349)+COUNTIFS($L$2:$L349,"ET",$B$2:$B349,$B349,$A$2:$A349,$A349)&amp;":"&amp;COUNTIFS($L$2:$L349,"Tor",$B$2:$B349,"&lt;&gt;"&amp;$B349,$A$2:$A349,$A349)+COUNTIFS($L$2:$L349,"ET",$B$2:$B349,"&lt;&gt;"&amp;$B349,$A$2:$A349,$A349),COUNTIFS($L$2:$L349,"Tor",$B$2:$B349,"&lt;&gt;"&amp;$B349,$A$2:$A349,$A349)+COUNTIFS($L$2:$L349,"ET",$B$2:$B349,"&lt;&gt;"&amp;$B349,$A$2:$A349,$A349)&amp;":"&amp;COUNTIFS($L$2:$L349,"Tor",$B$2:$B349,$B349,$A$2:$A349,$A349)+COUNTIFS($L$2:$L349,"ET",$B$2:$B349,$B349,$A$2:$A349,$A349)),""),"")</f>
        <v/>
      </c>
      <c r="J349" s="18">
        <f>_xlfn.IFNA(IF(VLOOKUP($A349,Spiele!$A$2:$D$17,3,FALSE)=$B349,(COUNTIFS($L$1:$L348,"Tor",$B$1:$B348,$B349,$A$1:$A348,$A349)+COUNTIFS($L$1:$L348,"ET",$B$1:$B348,$B349,$A$1:$A348,$A349))-(COUNTIFS($L$1:$L348,"Tor",$B$1:$B348,"&lt;&gt;"&amp;$B349,$A$1:$A348,$A349)+COUNTIFS($L$1:$L348,"ET",$B$1:$B348,"&lt;&gt;"&amp;$B349,$A$1:$A348,$A349)),(COUNTIFS($L$1:$L348,"Tor",$B$1:$B348,$B349,$A$1:$A348,$A349)+COUNTIFS($L$1:$L348,"ET",$B$1:$B348,$B349,$A$1:$A348,$A349))-(COUNTIFS($L$1:$L348,"Tor",$B$1:$B348,"&lt;&gt;"&amp;$B349,$A$1:$A348,$A349)+COUNTIFS($L$1:$L348,"ET",$B$1:$B348,"&lt;&gt;"&amp;$B349,$A$1:$A348,$A349))),"")</f>
        <v>0</v>
      </c>
      <c r="K349" s="3">
        <v>7</v>
      </c>
      <c r="L349" s="17" t="s">
        <v>19</v>
      </c>
      <c r="M349" s="2" t="s">
        <v>163</v>
      </c>
      <c r="N349" s="2" t="s">
        <v>158</v>
      </c>
      <c r="O349" s="17">
        <v>7</v>
      </c>
      <c r="AA349" s="2" t="s">
        <v>151</v>
      </c>
      <c r="AB349" s="17" t="s">
        <v>149</v>
      </c>
      <c r="AC349" s="14" t="s">
        <v>150</v>
      </c>
      <c r="AD349" s="14" t="s">
        <v>145</v>
      </c>
      <c r="AE349" s="18">
        <v>8</v>
      </c>
      <c r="AF349" s="13">
        <v>4.5</v>
      </c>
      <c r="AG349" s="13">
        <v>14.5</v>
      </c>
      <c r="AH349" s="19">
        <f t="shared" si="20"/>
        <v>14.524310654898565</v>
      </c>
      <c r="AI349" s="19">
        <f t="shared" si="21"/>
        <v>26.053510457112758</v>
      </c>
      <c r="AJ349" s="2" t="s">
        <v>146</v>
      </c>
      <c r="AK349" s="13">
        <v>1.5</v>
      </c>
      <c r="AL349" s="13">
        <v>3.5</v>
      </c>
      <c r="AM349" s="19">
        <f>IF(Abschlüsse[[#This Row],[Ergeb]]="ET","",SQRT(($AF349-$AK349)^2+($AG349-$AL349)^2))</f>
        <v>11.401754250991379</v>
      </c>
      <c r="AN349" s="3">
        <v>1</v>
      </c>
      <c r="AO349" s="13">
        <v>7</v>
      </c>
      <c r="AP349" s="13">
        <v>11.5</v>
      </c>
      <c r="AQ349" s="19">
        <f t="shared" si="22"/>
        <v>3.905124837953327</v>
      </c>
      <c r="AR349" s="3">
        <v>2</v>
      </c>
      <c r="AS349" s="13">
        <v>4</v>
      </c>
      <c r="AT349" s="13">
        <v>10.5</v>
      </c>
      <c r="AU349" s="19">
        <f t="shared" si="23"/>
        <v>4.0311288741492746</v>
      </c>
    </row>
    <row r="350" spans="1:47" ht="25.05" customHeight="1">
      <c r="A350" s="3">
        <v>13</v>
      </c>
      <c r="B350" s="2" t="s">
        <v>8</v>
      </c>
      <c r="C350" s="17" t="str">
        <f>IF($A350="","",IF(VLOOKUP($A350,Spiele!$A$2:$D$17,3,FALSE)=$B350,"H","G"))</f>
        <v>H</v>
      </c>
      <c r="D350" s="17" t="str">
        <f>IF($B350="","",IF(VLOOKUP($A350,Spiele!$A$2:$F$17,3,FALSE)=$B350,VLOOKUP($A350,Spiele!$A$2:$F$17,4,FALSE),VLOOKUP($A350,Spiele!$A$2:$F$17,3,FALSE)))</f>
        <v>60M</v>
      </c>
      <c r="E350" s="18">
        <f>IF(Abschlüsse[[#This Row],[Ergeb]]="ET",0,COUNTIFS($A$2:$A350,$A350,$B$2:$B350,$B350,$L$2:$L350,"&lt;&gt;ET"))</f>
        <v>4</v>
      </c>
      <c r="F350" s="11">
        <v>22</v>
      </c>
      <c r="G350" s="12">
        <v>1</v>
      </c>
      <c r="H350" s="18">
        <f>COUNTIFS('Rote Karten'!$A$2:$A$4,$A350,'Rote Karten'!$D$2:$D$4,"&lt;&gt;"&amp;$B350,'Rote Karten'!$B$2:$B$4,"&lt;"&amp;$F350,'Rote Karten'!$C$2:$C$4,"&lt;="&amp;$G350)-COUNTIFS('Rote Karten'!$A$2:$A$4,$A350,'Rote Karten'!$D$2:$D$4,$B350,'Rote Karten'!$B$2:$B$4,"&lt;"&amp;$F350,'Rote Karten'!$C$2:$C$4,"&lt;="&amp;$G350)</f>
        <v>0</v>
      </c>
      <c r="I350" s="17" t="str">
        <f>IF(OR($L350="Tor",$L350="ET"),_xlfn.IFNA(IF(VLOOKUP($A350,Spiele!$A$2:$C$17,3,FALSE)=$B350,COUNTIFS($L$2:$L350,"Tor",$B$2:$B350,$B350,$A$2:$A350,$A350)+COUNTIFS($L$2:$L350,"ET",$B$2:$B350,$B350,$A$2:$A350,$A350)&amp;":"&amp;COUNTIFS($L$2:$L350,"Tor",$B$2:$B350,"&lt;&gt;"&amp;$B350,$A$2:$A350,$A350)+COUNTIFS($L$2:$L350,"ET",$B$2:$B350,"&lt;&gt;"&amp;$B350,$A$2:$A350,$A350),COUNTIFS($L$2:$L350,"Tor",$B$2:$B350,"&lt;&gt;"&amp;$B350,$A$2:$A350,$A350)+COUNTIFS($L$2:$L350,"ET",$B$2:$B350,"&lt;&gt;"&amp;$B350,$A$2:$A350,$A350)&amp;":"&amp;COUNTIFS($L$2:$L350,"Tor",$B$2:$B350,$B350,$A$2:$A350,$A350)+COUNTIFS($L$2:$L350,"ET",$B$2:$B350,$B350,$A$2:$A350,$A350)),""),"")</f>
        <v/>
      </c>
      <c r="J350" s="18">
        <f>_xlfn.IFNA(IF(VLOOKUP($A350,Spiele!$A$2:$D$17,3,FALSE)=$B350,(COUNTIFS($L$1:$L349,"Tor",$B$1:$B349,$B350,$A$1:$A349,$A350)+COUNTIFS($L$1:$L349,"ET",$B$1:$B349,$B350,$A$1:$A349,$A350))-(COUNTIFS($L$1:$L349,"Tor",$B$1:$B349,"&lt;&gt;"&amp;$B350,$A$1:$A349,$A350)+COUNTIFS($L$1:$L349,"ET",$B$1:$B349,"&lt;&gt;"&amp;$B350,$A$1:$A349,$A350)),(COUNTIFS($L$1:$L349,"Tor",$B$1:$B349,$B350,$A$1:$A349,$A350)+COUNTIFS($L$1:$L349,"ET",$B$1:$B349,$B350,$A$1:$A349,$A350))-(COUNTIFS($L$1:$L349,"Tor",$B$1:$B349,"&lt;&gt;"&amp;$B350,$A$1:$A349,$A350)+COUNTIFS($L$1:$L349,"ET",$B$1:$B349,"&lt;&gt;"&amp;$B350,$A$1:$A349,$A350))),"")</f>
        <v>0</v>
      </c>
      <c r="K350" s="3">
        <v>8</v>
      </c>
      <c r="L350" s="17" t="s">
        <v>19</v>
      </c>
      <c r="M350" s="2" t="s">
        <v>168</v>
      </c>
      <c r="N350" s="2" t="s">
        <v>3</v>
      </c>
      <c r="O350" s="17"/>
      <c r="AA350" s="2" t="s">
        <v>141</v>
      </c>
      <c r="AB350" s="17" t="s">
        <v>143</v>
      </c>
      <c r="AC350" s="14" t="s">
        <v>144</v>
      </c>
      <c r="AD350" s="14" t="s">
        <v>145</v>
      </c>
      <c r="AE350" s="18">
        <v>6</v>
      </c>
      <c r="AF350" s="13">
        <v>-6.5</v>
      </c>
      <c r="AG350" s="13">
        <v>16.5</v>
      </c>
      <c r="AH350" s="19">
        <f t="shared" si="20"/>
        <v>16.742628228566744</v>
      </c>
      <c r="AI350" s="19">
        <f t="shared" si="21"/>
        <v>21.856872591143812</v>
      </c>
      <c r="AJ350" s="2" t="s">
        <v>146</v>
      </c>
      <c r="AK350" s="13">
        <v>-1.5</v>
      </c>
      <c r="AL350" s="13">
        <v>2</v>
      </c>
      <c r="AM350" s="19">
        <f>IF(Abschlüsse[[#This Row],[Ergeb]]="ET","",SQRT(($AF350-$AK350)^2+($AG350-$AL350)^2))</f>
        <v>15.337861650177967</v>
      </c>
      <c r="AN350" s="3">
        <v>1</v>
      </c>
      <c r="AO350" s="13">
        <v>-3</v>
      </c>
      <c r="AP350" s="13">
        <v>14</v>
      </c>
      <c r="AQ350" s="19">
        <f t="shared" si="22"/>
        <v>4.3011626335213133</v>
      </c>
      <c r="AR350" s="3">
        <v>2</v>
      </c>
      <c r="AS350" s="13">
        <v>-2</v>
      </c>
      <c r="AT350" s="13">
        <v>6</v>
      </c>
      <c r="AU350" s="19">
        <f t="shared" si="23"/>
        <v>11.423659658795863</v>
      </c>
    </row>
    <row r="351" spans="1:47" ht="25.05" customHeight="1">
      <c r="A351" s="3">
        <v>13</v>
      </c>
      <c r="B351" s="2" t="s">
        <v>8</v>
      </c>
      <c r="C351" s="17" t="str">
        <f>IF($A351="","",IF(VLOOKUP($A351,Spiele!$A$2:$D$17,3,FALSE)=$B351,"H","G"))</f>
        <v>H</v>
      </c>
      <c r="D351" s="17" t="str">
        <f>IF($B351="","",IF(VLOOKUP($A351,Spiele!$A$2:$F$17,3,FALSE)=$B351,VLOOKUP($A351,Spiele!$A$2:$F$17,4,FALSE),VLOOKUP($A351,Spiele!$A$2:$F$17,3,FALSE)))</f>
        <v>60M</v>
      </c>
      <c r="E351" s="18">
        <f>IF(Abschlüsse[[#This Row],[Ergeb]]="ET",0,COUNTIFS($A$2:$A351,$A351,$B$2:$B351,$B351,$L$2:$L351,"&lt;&gt;ET"))</f>
        <v>5</v>
      </c>
      <c r="F351" s="11">
        <v>25</v>
      </c>
      <c r="G351" s="12">
        <v>1</v>
      </c>
      <c r="H351" s="18">
        <f>COUNTIFS('Rote Karten'!$A$2:$A$4,$A351,'Rote Karten'!$D$2:$D$4,"&lt;&gt;"&amp;$B351,'Rote Karten'!$B$2:$B$4,"&lt;"&amp;$F351,'Rote Karten'!$C$2:$C$4,"&lt;="&amp;$G351)-COUNTIFS('Rote Karten'!$A$2:$A$4,$A351,'Rote Karten'!$D$2:$D$4,$B351,'Rote Karten'!$B$2:$B$4,"&lt;"&amp;$F351,'Rote Karten'!$C$2:$C$4,"&lt;="&amp;$G351)</f>
        <v>0</v>
      </c>
      <c r="I351" s="17" t="str">
        <f>IF(OR($L351="Tor",$L351="ET"),_xlfn.IFNA(IF(VLOOKUP($A351,Spiele!$A$2:$C$17,3,FALSE)=$B351,COUNTIFS($L$2:$L351,"Tor",$B$2:$B351,$B351,$A$2:$A351,$A351)+COUNTIFS($L$2:$L351,"ET",$B$2:$B351,$B351,$A$2:$A351,$A351)&amp;":"&amp;COUNTIFS($L$2:$L351,"Tor",$B$2:$B351,"&lt;&gt;"&amp;$B351,$A$2:$A351,$A351)+COUNTIFS($L$2:$L351,"ET",$B$2:$B351,"&lt;&gt;"&amp;$B351,$A$2:$A351,$A351),COUNTIFS($L$2:$L351,"Tor",$B$2:$B351,"&lt;&gt;"&amp;$B351,$A$2:$A351,$A351)+COUNTIFS($L$2:$L351,"ET",$B$2:$B351,"&lt;&gt;"&amp;$B351,$A$2:$A351,$A351)&amp;":"&amp;COUNTIFS($L$2:$L351,"Tor",$B$2:$B351,$B351,$A$2:$A351,$A351)+COUNTIFS($L$2:$L351,"ET",$B$2:$B351,$B351,$A$2:$A351,$A351)),""),"")</f>
        <v/>
      </c>
      <c r="J351" s="18">
        <f>_xlfn.IFNA(IF(VLOOKUP($A351,Spiele!$A$2:$D$17,3,FALSE)=$B351,(COUNTIFS($L$1:$L350,"Tor",$B$1:$B350,$B351,$A$1:$A350,$A351)+COUNTIFS($L$1:$L350,"ET",$B$1:$B350,$B351,$A$1:$A350,$A351))-(COUNTIFS($L$1:$L350,"Tor",$B$1:$B350,"&lt;&gt;"&amp;$B351,$A$1:$A350,$A351)+COUNTIFS($L$1:$L350,"ET",$B$1:$B350,"&lt;&gt;"&amp;$B351,$A$1:$A350,$A351)),(COUNTIFS($L$1:$L350,"Tor",$B$1:$B350,$B351,$A$1:$A350,$A351)+COUNTIFS($L$1:$L350,"ET",$B$1:$B350,$B351,$A$1:$A350,$A351))-(COUNTIFS($L$1:$L350,"Tor",$B$1:$B350,"&lt;&gt;"&amp;$B351,$A$1:$A350,$A351)+COUNTIFS($L$1:$L350,"ET",$B$1:$B350,"&lt;&gt;"&amp;$B351,$A$1:$A350,$A351))),"")</f>
        <v>0</v>
      </c>
      <c r="K351" s="3">
        <v>9</v>
      </c>
      <c r="L351" s="17" t="s">
        <v>20</v>
      </c>
      <c r="M351" s="2" t="s">
        <v>157</v>
      </c>
      <c r="N351" s="2" t="s">
        <v>3</v>
      </c>
      <c r="O351" s="17"/>
      <c r="AA351" s="2" t="s">
        <v>151</v>
      </c>
      <c r="AB351" s="17" t="s">
        <v>149</v>
      </c>
      <c r="AC351" s="14" t="s">
        <v>150</v>
      </c>
      <c r="AD351" s="14" t="s">
        <v>156</v>
      </c>
      <c r="AE351" s="18">
        <v>20</v>
      </c>
      <c r="AF351" s="13">
        <v>-13.5</v>
      </c>
      <c r="AG351" s="13">
        <v>21.5</v>
      </c>
      <c r="AH351" s="19">
        <f t="shared" si="20"/>
        <v>23.644779550674606</v>
      </c>
      <c r="AI351" s="19">
        <f t="shared" si="21"/>
        <v>14.002393253988416</v>
      </c>
      <c r="AJ351" s="2" t="s">
        <v>146</v>
      </c>
      <c r="AK351" s="13">
        <v>-0.5</v>
      </c>
      <c r="AL351" s="13">
        <v>3</v>
      </c>
      <c r="AM351" s="19">
        <f>IF(Abschlüsse[[#This Row],[Ergeb]]="ET","",SQRT(($AF351-$AK351)^2+($AG351-$AL351)^2))</f>
        <v>22.610838109190027</v>
      </c>
      <c r="AN351" s="3">
        <v>0</v>
      </c>
      <c r="AO351" s="13"/>
      <c r="AP351" s="13"/>
      <c r="AQ351" s="19" t="str">
        <f t="shared" si="22"/>
        <v/>
      </c>
      <c r="AR351" s="3">
        <v>2</v>
      </c>
      <c r="AS351" s="13">
        <v>-12</v>
      </c>
      <c r="AT351" s="13">
        <v>20.5</v>
      </c>
      <c r="AU351" s="19">
        <f t="shared" si="23"/>
        <v>1.8027756377319946</v>
      </c>
    </row>
    <row r="352" spans="1:47" ht="25.05" customHeight="1">
      <c r="A352" s="3">
        <v>13</v>
      </c>
      <c r="B352" s="2" t="s">
        <v>76</v>
      </c>
      <c r="C352" s="17" t="str">
        <f>IF($A352="","",IF(VLOOKUP($A352,Spiele!$A$2:$D$17,3,FALSE)=$B352,"H","G"))</f>
        <v>G</v>
      </c>
      <c r="D352" s="17" t="str">
        <f>IF($B352="","",IF(VLOOKUP($A352,Spiele!$A$2:$F$17,3,FALSE)=$B352,VLOOKUP($A352,Spiele!$A$2:$F$17,4,FALSE),VLOOKUP($A352,Spiele!$A$2:$F$17,3,FALSE)))</f>
        <v>FCN</v>
      </c>
      <c r="E352" s="18">
        <f>IF(Abschlüsse[[#This Row],[Ergeb]]="ET",0,COUNTIFS($A$2:$A352,$A352,$B$2:$B352,$B352,$L$2:$L352,"&lt;&gt;ET"))</f>
        <v>7</v>
      </c>
      <c r="F352" s="11">
        <v>28</v>
      </c>
      <c r="G352" s="12">
        <v>1</v>
      </c>
      <c r="H352" s="18">
        <f>COUNTIFS('Rote Karten'!$A$2:$A$4,$A352,'Rote Karten'!$D$2:$D$4,"&lt;&gt;"&amp;$B352,'Rote Karten'!$B$2:$B$4,"&lt;"&amp;$F352,'Rote Karten'!$C$2:$C$4,"&lt;="&amp;$G352)-COUNTIFS('Rote Karten'!$A$2:$A$4,$A352,'Rote Karten'!$D$2:$D$4,$B352,'Rote Karten'!$B$2:$B$4,"&lt;"&amp;$F352,'Rote Karten'!$C$2:$C$4,"&lt;="&amp;$G352)</f>
        <v>0</v>
      </c>
      <c r="I352" s="17" t="str">
        <f>IF(OR($L352="Tor",$L352="ET"),_xlfn.IFNA(IF(VLOOKUP($A352,Spiele!$A$2:$C$17,3,FALSE)=$B352,COUNTIFS($L$2:$L352,"Tor",$B$2:$B352,$B352,$A$2:$A352,$A352)+COUNTIFS($L$2:$L352,"ET",$B$2:$B352,$B352,$A$2:$A352,$A352)&amp;":"&amp;COUNTIFS($L$2:$L352,"Tor",$B$2:$B352,"&lt;&gt;"&amp;$B352,$A$2:$A352,$A352)+COUNTIFS($L$2:$L352,"ET",$B$2:$B352,"&lt;&gt;"&amp;$B352,$A$2:$A352,$A352),COUNTIFS($L$2:$L352,"Tor",$B$2:$B352,"&lt;&gt;"&amp;$B352,$A$2:$A352,$A352)+COUNTIFS($L$2:$L352,"ET",$B$2:$B352,"&lt;&gt;"&amp;$B352,$A$2:$A352,$A352)&amp;":"&amp;COUNTIFS($L$2:$L352,"Tor",$B$2:$B352,$B352,$A$2:$A352,$A352)+COUNTIFS($L$2:$L352,"ET",$B$2:$B352,$B352,$A$2:$A352,$A352)),""),"")</f>
        <v/>
      </c>
      <c r="J352" s="18">
        <f>_xlfn.IFNA(IF(VLOOKUP($A352,Spiele!$A$2:$D$17,3,FALSE)=$B352,(COUNTIFS($L$1:$L351,"Tor",$B$1:$B351,$B352,$A$1:$A351,$A352)+COUNTIFS($L$1:$L351,"ET",$B$1:$B351,$B352,$A$1:$A351,$A352))-(COUNTIFS($L$1:$L351,"Tor",$B$1:$B351,"&lt;&gt;"&amp;$B352,$A$1:$A351,$A352)+COUNTIFS($L$1:$L351,"ET",$B$1:$B351,"&lt;&gt;"&amp;$B352,$A$1:$A351,$A352)),(COUNTIFS($L$1:$L351,"Tor",$B$1:$B351,$B352,$A$1:$A351,$A352)+COUNTIFS($L$1:$L351,"ET",$B$1:$B351,$B352,$A$1:$A351,$A352))-(COUNTIFS($L$1:$L351,"Tor",$B$1:$B351,"&lt;&gt;"&amp;$B352,$A$1:$A351,$A352)+COUNTIFS($L$1:$L351,"ET",$B$1:$B351,"&lt;&gt;"&amp;$B352,$A$1:$A351,$A352))),"")</f>
        <v>0</v>
      </c>
      <c r="K352" s="3">
        <v>10</v>
      </c>
      <c r="L352" s="17" t="s">
        <v>18</v>
      </c>
      <c r="M352" s="2" t="s">
        <v>163</v>
      </c>
      <c r="N352" s="2" t="s">
        <v>158</v>
      </c>
      <c r="O352" s="17"/>
      <c r="AA352" s="2" t="s">
        <v>151</v>
      </c>
      <c r="AB352" s="17" t="s">
        <v>143</v>
      </c>
      <c r="AC352" s="14" t="s">
        <v>150</v>
      </c>
      <c r="AD352" s="14" t="s">
        <v>145</v>
      </c>
      <c r="AE352" s="18"/>
      <c r="AF352" s="13">
        <v>0</v>
      </c>
      <c r="AG352" s="13">
        <v>25.5</v>
      </c>
      <c r="AH352" s="19">
        <f t="shared" si="20"/>
        <v>25.5</v>
      </c>
      <c r="AI352" s="19">
        <f t="shared" si="21"/>
        <v>16.335693207949546</v>
      </c>
      <c r="AJ352" s="2" t="s">
        <v>146</v>
      </c>
      <c r="AK352" s="13">
        <v>0</v>
      </c>
      <c r="AL352" s="13">
        <v>0.5</v>
      </c>
      <c r="AM352" s="19">
        <f>IF(Abschlüsse[[#This Row],[Ergeb]]="ET","",SQRT(($AF352-$AK352)^2+($AG352-$AL352)^2))</f>
        <v>25</v>
      </c>
      <c r="AN352" s="3">
        <v>1</v>
      </c>
      <c r="AO352" s="13">
        <v>-2</v>
      </c>
      <c r="AP352" s="13">
        <v>28</v>
      </c>
      <c r="AQ352" s="19">
        <f t="shared" si="22"/>
        <v>3.2015621187164243</v>
      </c>
      <c r="AR352" s="3">
        <v>1</v>
      </c>
      <c r="AS352" s="13">
        <v>0</v>
      </c>
      <c r="AT352" s="13">
        <v>17</v>
      </c>
      <c r="AU352" s="19">
        <f t="shared" si="23"/>
        <v>8.5</v>
      </c>
    </row>
    <row r="353" spans="1:47" ht="25.05" customHeight="1">
      <c r="A353" s="3">
        <v>13</v>
      </c>
      <c r="B353" s="2" t="s">
        <v>8</v>
      </c>
      <c r="C353" s="17" t="str">
        <f>IF($A353="","",IF(VLOOKUP($A353,Spiele!$A$2:$D$17,3,FALSE)=$B353,"H","G"))</f>
        <v>H</v>
      </c>
      <c r="D353" s="17" t="str">
        <f>IF($B353="","",IF(VLOOKUP($A353,Spiele!$A$2:$F$17,3,FALSE)=$B353,VLOOKUP($A353,Spiele!$A$2:$F$17,4,FALSE),VLOOKUP($A353,Spiele!$A$2:$F$17,3,FALSE)))</f>
        <v>60M</v>
      </c>
      <c r="E353" s="18">
        <f>IF(Abschlüsse[[#This Row],[Ergeb]]="ET",0,COUNTIFS($A$2:$A353,$A353,$B$2:$B353,$B353,$L$2:$L353,"&lt;&gt;ET"))</f>
        <v>6</v>
      </c>
      <c r="F353" s="11">
        <v>33</v>
      </c>
      <c r="G353" s="12">
        <v>1</v>
      </c>
      <c r="H353" s="18">
        <f>COUNTIFS('Rote Karten'!$A$2:$A$4,$A353,'Rote Karten'!$D$2:$D$4,"&lt;&gt;"&amp;$B353,'Rote Karten'!$B$2:$B$4,"&lt;"&amp;$F353,'Rote Karten'!$C$2:$C$4,"&lt;="&amp;$G353)-COUNTIFS('Rote Karten'!$A$2:$A$4,$A353,'Rote Karten'!$D$2:$D$4,$B353,'Rote Karten'!$B$2:$B$4,"&lt;"&amp;$F353,'Rote Karten'!$C$2:$C$4,"&lt;="&amp;$G353)</f>
        <v>0</v>
      </c>
      <c r="I353" s="17" t="str">
        <f>IF(OR($L353="Tor",$L353="ET"),_xlfn.IFNA(IF(VLOOKUP($A353,Spiele!$A$2:$C$17,3,FALSE)=$B353,COUNTIFS($L$2:$L353,"Tor",$B$2:$B353,$B353,$A$2:$A353,$A353)+COUNTIFS($L$2:$L353,"ET",$B$2:$B353,$B353,$A$2:$A353,$A353)&amp;":"&amp;COUNTIFS($L$2:$L353,"Tor",$B$2:$B353,"&lt;&gt;"&amp;$B353,$A$2:$A353,$A353)+COUNTIFS($L$2:$L353,"ET",$B$2:$B353,"&lt;&gt;"&amp;$B353,$A$2:$A353,$A353),COUNTIFS($L$2:$L353,"Tor",$B$2:$B353,"&lt;&gt;"&amp;$B353,$A$2:$A353,$A353)+COUNTIFS($L$2:$L353,"ET",$B$2:$B353,"&lt;&gt;"&amp;$B353,$A$2:$A353,$A353)&amp;":"&amp;COUNTIFS($L$2:$L353,"Tor",$B$2:$B353,$B353,$A$2:$A353,$A353)+COUNTIFS($L$2:$L353,"ET",$B$2:$B353,$B353,$A$2:$A353,$A353)),""),"")</f>
        <v/>
      </c>
      <c r="J353" s="18">
        <f>_xlfn.IFNA(IF(VLOOKUP($A353,Spiele!$A$2:$D$17,3,FALSE)=$B353,(COUNTIFS($L$1:$L352,"Tor",$B$1:$B352,$B353,$A$1:$A352,$A353)+COUNTIFS($L$1:$L352,"ET",$B$1:$B352,$B353,$A$1:$A352,$A353))-(COUNTIFS($L$1:$L352,"Tor",$B$1:$B352,"&lt;&gt;"&amp;$B353,$A$1:$A352,$A353)+COUNTIFS($L$1:$L352,"ET",$B$1:$B352,"&lt;&gt;"&amp;$B353,$A$1:$A352,$A353)),(COUNTIFS($L$1:$L352,"Tor",$B$1:$B352,$B353,$A$1:$A352,$A353)+COUNTIFS($L$1:$L352,"ET",$B$1:$B352,$B353,$A$1:$A352,$A353))-(COUNTIFS($L$1:$L352,"Tor",$B$1:$B352,"&lt;&gt;"&amp;$B353,$A$1:$A352,$A353)+COUNTIFS($L$1:$L352,"ET",$B$1:$B352,"&lt;&gt;"&amp;$B353,$A$1:$A352,$A353))),"")</f>
        <v>0</v>
      </c>
      <c r="K353" s="3">
        <v>11</v>
      </c>
      <c r="L353" s="17" t="s">
        <v>19</v>
      </c>
      <c r="M353" s="2" t="s">
        <v>163</v>
      </c>
      <c r="N353" s="2" t="s">
        <v>164</v>
      </c>
      <c r="O353" s="17">
        <v>8</v>
      </c>
      <c r="P353" s="2">
        <v>16</v>
      </c>
      <c r="Q353" s="2">
        <v>26</v>
      </c>
      <c r="AA353" s="2" t="s">
        <v>151</v>
      </c>
      <c r="AB353" s="17" t="s">
        <v>149</v>
      </c>
      <c r="AC353" s="14" t="s">
        <v>150</v>
      </c>
      <c r="AD353" s="14" t="s">
        <v>145</v>
      </c>
      <c r="AE353" s="18">
        <v>7</v>
      </c>
      <c r="AF353" s="13">
        <v>5.5</v>
      </c>
      <c r="AG353" s="13">
        <v>17.5</v>
      </c>
      <c r="AH353" s="19">
        <f t="shared" si="20"/>
        <v>17.59646555419582</v>
      </c>
      <c r="AI353" s="19">
        <f t="shared" si="21"/>
        <v>21.626656434445117</v>
      </c>
      <c r="AJ353" s="2" t="s">
        <v>146</v>
      </c>
      <c r="AK353" s="13">
        <v>1</v>
      </c>
      <c r="AL353" s="13">
        <v>3</v>
      </c>
      <c r="AM353" s="19">
        <f>IF(Abschlüsse[[#This Row],[Ergeb]]="ET","",SQRT(($AF353-$AK353)^2+($AG353-$AL353)^2))</f>
        <v>15.182226450688976</v>
      </c>
      <c r="AN353" s="3">
        <v>2</v>
      </c>
      <c r="AO353" s="13">
        <v>6.5</v>
      </c>
      <c r="AP353" s="13">
        <v>18.5</v>
      </c>
      <c r="AQ353" s="19">
        <f t="shared" si="22"/>
        <v>1.4142135623730951</v>
      </c>
      <c r="AR353" s="3">
        <v>0</v>
      </c>
      <c r="AU353" s="19" t="str">
        <f t="shared" si="23"/>
        <v/>
      </c>
    </row>
    <row r="354" spans="1:47" ht="25.05" customHeight="1">
      <c r="A354" s="3">
        <v>13</v>
      </c>
      <c r="B354" s="2" t="s">
        <v>76</v>
      </c>
      <c r="C354" s="17" t="str">
        <f>IF($A354="","",IF(VLOOKUP($A354,Spiele!$A$2:$D$17,3,FALSE)=$B354,"H","G"))</f>
        <v>G</v>
      </c>
      <c r="D354" s="17" t="str">
        <f>IF($B354="","",IF(VLOOKUP($A354,Spiele!$A$2:$F$17,3,FALSE)=$B354,VLOOKUP($A354,Spiele!$A$2:$F$17,4,FALSE),VLOOKUP($A354,Spiele!$A$2:$F$17,3,FALSE)))</f>
        <v>FCN</v>
      </c>
      <c r="E354" s="18">
        <f>IF(Abschlüsse[[#This Row],[Ergeb]]="ET",0,COUNTIFS($A$2:$A354,$A354,$B$2:$B354,$B354,$L$2:$L354,"&lt;&gt;ET"))</f>
        <v>8</v>
      </c>
      <c r="F354" s="11">
        <v>35</v>
      </c>
      <c r="G354" s="12">
        <v>1</v>
      </c>
      <c r="H354" s="18">
        <f>COUNTIFS('Rote Karten'!$A$2:$A$4,$A354,'Rote Karten'!$D$2:$D$4,"&lt;&gt;"&amp;$B354,'Rote Karten'!$B$2:$B$4,"&lt;"&amp;$F354,'Rote Karten'!$C$2:$C$4,"&lt;="&amp;$G354)-COUNTIFS('Rote Karten'!$A$2:$A$4,$A354,'Rote Karten'!$D$2:$D$4,$B354,'Rote Karten'!$B$2:$B$4,"&lt;"&amp;$F354,'Rote Karten'!$C$2:$C$4,"&lt;="&amp;$G354)</f>
        <v>0</v>
      </c>
      <c r="I354" s="17" t="str">
        <f>IF(OR($L354="Tor",$L354="ET"),_xlfn.IFNA(IF(VLOOKUP($A354,Spiele!$A$2:$C$17,3,FALSE)=$B354,COUNTIFS($L$2:$L354,"Tor",$B$2:$B354,$B354,$A$2:$A354,$A354)+COUNTIFS($L$2:$L354,"ET",$B$2:$B354,$B354,$A$2:$A354,$A354)&amp;":"&amp;COUNTIFS($L$2:$L354,"Tor",$B$2:$B354,"&lt;&gt;"&amp;$B354,$A$2:$A354,$A354)+COUNTIFS($L$2:$L354,"ET",$B$2:$B354,"&lt;&gt;"&amp;$B354,$A$2:$A354,$A354),COUNTIFS($L$2:$L354,"Tor",$B$2:$B354,"&lt;&gt;"&amp;$B354,$A$2:$A354,$A354)+COUNTIFS($L$2:$L354,"ET",$B$2:$B354,"&lt;&gt;"&amp;$B354,$A$2:$A354,$A354)&amp;":"&amp;COUNTIFS($L$2:$L354,"Tor",$B$2:$B354,$B354,$A$2:$A354,$A354)+COUNTIFS($L$2:$L354,"ET",$B$2:$B354,$B354,$A$2:$A354,$A354)),""),"")</f>
        <v/>
      </c>
      <c r="J354" s="18">
        <f>_xlfn.IFNA(IF(VLOOKUP($A354,Spiele!$A$2:$D$17,3,FALSE)=$B354,(COUNTIFS($L$1:$L353,"Tor",$B$1:$B353,$B354,$A$1:$A353,$A354)+COUNTIFS($L$1:$L353,"ET",$B$1:$B353,$B354,$A$1:$A353,$A354))-(COUNTIFS($L$1:$L353,"Tor",$B$1:$B353,"&lt;&gt;"&amp;$B354,$A$1:$A353,$A354)+COUNTIFS($L$1:$L353,"ET",$B$1:$B353,"&lt;&gt;"&amp;$B354,$A$1:$A353,$A354)),(COUNTIFS($L$1:$L353,"Tor",$B$1:$B353,$B354,$A$1:$A353,$A354)+COUNTIFS($L$1:$L353,"ET",$B$1:$B353,$B354,$A$1:$A353,$A354))-(COUNTIFS($L$1:$L353,"Tor",$B$1:$B353,"&lt;&gt;"&amp;$B354,$A$1:$A353,$A354)+COUNTIFS($L$1:$L353,"ET",$B$1:$B353,"&lt;&gt;"&amp;$B354,$A$1:$A353,$A354))),"")</f>
        <v>0</v>
      </c>
      <c r="K354" s="3">
        <v>12</v>
      </c>
      <c r="L354" s="17" t="s">
        <v>19</v>
      </c>
      <c r="M354" s="2" t="s">
        <v>163</v>
      </c>
      <c r="N354" s="2" t="s">
        <v>153</v>
      </c>
      <c r="O354" s="17"/>
      <c r="AA354" s="2" t="s">
        <v>154</v>
      </c>
      <c r="AB354" s="17" t="s">
        <v>160</v>
      </c>
      <c r="AC354" s="14" t="s">
        <v>161</v>
      </c>
      <c r="AD354" s="14" t="s">
        <v>156</v>
      </c>
      <c r="AE354" s="18"/>
      <c r="AF354" s="13">
        <v>-1</v>
      </c>
      <c r="AG354" s="13">
        <v>9</v>
      </c>
      <c r="AH354" s="19">
        <f t="shared" si="20"/>
        <v>9</v>
      </c>
      <c r="AI354" s="19">
        <f t="shared" si="21"/>
        <v>43.839454439268671</v>
      </c>
      <c r="AJ354" s="2" t="s">
        <v>146</v>
      </c>
      <c r="AK354" s="13">
        <v>-1</v>
      </c>
      <c r="AL354" s="13">
        <v>0.5</v>
      </c>
      <c r="AM354" s="19">
        <f>IF(Abschlüsse[[#This Row],[Ergeb]]="ET","",SQRT(($AF354-$AK354)^2+($AG354-$AL354)^2))</f>
        <v>8.5</v>
      </c>
      <c r="AN354" s="3">
        <v>1</v>
      </c>
      <c r="AO354" s="13">
        <v>0</v>
      </c>
      <c r="AP354" s="13">
        <v>9</v>
      </c>
      <c r="AQ354" s="19">
        <f t="shared" si="22"/>
        <v>1</v>
      </c>
      <c r="AR354" s="3">
        <v>0</v>
      </c>
      <c r="AU354" s="19" t="str">
        <f t="shared" si="23"/>
        <v/>
      </c>
    </row>
    <row r="355" spans="1:47" ht="25.05" customHeight="1">
      <c r="A355" s="3">
        <v>13</v>
      </c>
      <c r="B355" s="2" t="s">
        <v>76</v>
      </c>
      <c r="C355" s="17" t="str">
        <f>IF($A355="","",IF(VLOOKUP($A355,Spiele!$A$2:$D$17,3,FALSE)=$B355,"H","G"))</f>
        <v>G</v>
      </c>
      <c r="D355" s="17" t="str">
        <f>IF($B355="","",IF(VLOOKUP($A355,Spiele!$A$2:$F$17,3,FALSE)=$B355,VLOOKUP($A355,Spiele!$A$2:$F$17,4,FALSE),VLOOKUP($A355,Spiele!$A$2:$F$17,3,FALSE)))</f>
        <v>FCN</v>
      </c>
      <c r="E355" s="18">
        <f>IF(Abschlüsse[[#This Row],[Ergeb]]="ET",0,COUNTIFS($A$2:$A355,$A355,$B$2:$B355,$B355,$L$2:$L355,"&lt;&gt;ET"))</f>
        <v>9</v>
      </c>
      <c r="F355" s="11">
        <v>37</v>
      </c>
      <c r="G355" s="12">
        <v>1</v>
      </c>
      <c r="H355" s="18">
        <f>COUNTIFS('Rote Karten'!$A$2:$A$4,$A355,'Rote Karten'!$D$2:$D$4,"&lt;&gt;"&amp;$B355,'Rote Karten'!$B$2:$B$4,"&lt;"&amp;$F355,'Rote Karten'!$C$2:$C$4,"&lt;="&amp;$G355)-COUNTIFS('Rote Karten'!$A$2:$A$4,$A355,'Rote Karten'!$D$2:$D$4,$B355,'Rote Karten'!$B$2:$B$4,"&lt;"&amp;$F355,'Rote Karten'!$C$2:$C$4,"&lt;="&amp;$G355)</f>
        <v>0</v>
      </c>
      <c r="I355" s="17" t="str">
        <f>IF(OR($L355="Tor",$L355="ET"),_xlfn.IFNA(IF(VLOOKUP($A355,Spiele!$A$2:$C$17,3,FALSE)=$B355,COUNTIFS($L$2:$L355,"Tor",$B$2:$B355,$B355,$A$2:$A355,$A355)+COUNTIFS($L$2:$L355,"ET",$B$2:$B355,$B355,$A$2:$A355,$A355)&amp;":"&amp;COUNTIFS($L$2:$L355,"Tor",$B$2:$B355,"&lt;&gt;"&amp;$B355,$A$2:$A355,$A355)+COUNTIFS($L$2:$L355,"ET",$B$2:$B355,"&lt;&gt;"&amp;$B355,$A$2:$A355,$A355),COUNTIFS($L$2:$L355,"Tor",$B$2:$B355,"&lt;&gt;"&amp;$B355,$A$2:$A355,$A355)+COUNTIFS($L$2:$L355,"ET",$B$2:$B355,"&lt;&gt;"&amp;$B355,$A$2:$A355,$A355)&amp;":"&amp;COUNTIFS($L$2:$L355,"Tor",$B$2:$B355,$B355,$A$2:$A355,$A355)+COUNTIFS($L$2:$L355,"ET",$B$2:$B355,$B355,$A$2:$A355,$A355)),""),"")</f>
        <v/>
      </c>
      <c r="J355" s="18">
        <f>_xlfn.IFNA(IF(VLOOKUP($A355,Spiele!$A$2:$D$17,3,FALSE)=$B355,(COUNTIFS($L$1:$L354,"Tor",$B$1:$B354,$B355,$A$1:$A354,$A355)+COUNTIFS($L$1:$L354,"ET",$B$1:$B354,$B355,$A$1:$A354,$A355))-(COUNTIFS($L$1:$L354,"Tor",$B$1:$B354,"&lt;&gt;"&amp;$B355,$A$1:$A354,$A355)+COUNTIFS($L$1:$L354,"ET",$B$1:$B354,"&lt;&gt;"&amp;$B355,$A$1:$A354,$A355)),(COUNTIFS($L$1:$L354,"Tor",$B$1:$B354,$B355,$A$1:$A354,$A355)+COUNTIFS($L$1:$L354,"ET",$B$1:$B354,$B355,$A$1:$A354,$A355))-(COUNTIFS($L$1:$L354,"Tor",$B$1:$B354,"&lt;&gt;"&amp;$B355,$A$1:$A354,$A355)+COUNTIFS($L$1:$L354,"ET",$B$1:$B354,"&lt;&gt;"&amp;$B355,$A$1:$A354,$A355))),"")</f>
        <v>0</v>
      </c>
      <c r="K355" s="3">
        <v>13</v>
      </c>
      <c r="L355" s="17" t="s">
        <v>19</v>
      </c>
      <c r="M355" s="2" t="s">
        <v>173</v>
      </c>
      <c r="N355" s="2" t="s">
        <v>173</v>
      </c>
      <c r="O355" s="17"/>
      <c r="AA355" s="2" t="s">
        <v>154</v>
      </c>
      <c r="AB355" s="17" t="s">
        <v>160</v>
      </c>
      <c r="AC355" s="14" t="s">
        <v>161</v>
      </c>
      <c r="AD355" s="14" t="s">
        <v>145</v>
      </c>
      <c r="AE355" s="18"/>
      <c r="AF355" s="13">
        <v>-6</v>
      </c>
      <c r="AG355" s="13">
        <v>1</v>
      </c>
      <c r="AH355" s="19">
        <f t="shared" si="20"/>
        <v>2.5447200238926087</v>
      </c>
      <c r="AI355" s="19">
        <f t="shared" si="21"/>
        <v>17.229273479884245</v>
      </c>
      <c r="AJ355" s="2" t="s">
        <v>146</v>
      </c>
      <c r="AK355" s="13">
        <v>-4</v>
      </c>
      <c r="AL355" s="13">
        <v>0.5</v>
      </c>
      <c r="AM355" s="19">
        <f>IF(Abschlüsse[[#This Row],[Ergeb]]="ET","",SQRT(($AF355-$AK355)^2+($AG355-$AL355)^2))</f>
        <v>2.0615528128088303</v>
      </c>
      <c r="AN355" s="3">
        <v>1</v>
      </c>
      <c r="AO355" s="13">
        <v>-5</v>
      </c>
      <c r="AP355" s="13">
        <v>1</v>
      </c>
      <c r="AQ355" s="19">
        <f t="shared" si="22"/>
        <v>1</v>
      </c>
      <c r="AR355" s="3">
        <v>1</v>
      </c>
      <c r="AS355" s="13">
        <v>-3.5</v>
      </c>
      <c r="AT355" s="13">
        <v>0.5</v>
      </c>
      <c r="AU355" s="19">
        <f t="shared" si="23"/>
        <v>2.5495097567963922</v>
      </c>
    </row>
    <row r="356" spans="1:47" ht="25.05" customHeight="1">
      <c r="A356" s="3">
        <v>13</v>
      </c>
      <c r="B356" s="2" t="s">
        <v>8</v>
      </c>
      <c r="C356" s="17" t="str">
        <f>IF($A356="","",IF(VLOOKUP($A356,Spiele!$A$2:$D$17,3,FALSE)=$B356,"H","G"))</f>
        <v>H</v>
      </c>
      <c r="D356" s="17" t="str">
        <f>IF($B356="","",IF(VLOOKUP($A356,Spiele!$A$2:$F$17,3,FALSE)=$B356,VLOOKUP($A356,Spiele!$A$2:$F$17,4,FALSE),VLOOKUP($A356,Spiele!$A$2:$F$17,3,FALSE)))</f>
        <v>60M</v>
      </c>
      <c r="E356" s="18">
        <f>IF(Abschlüsse[[#This Row],[Ergeb]]="ET",0,COUNTIFS($A$2:$A356,$A356,$B$2:$B356,$B356,$L$2:$L356,"&lt;&gt;ET"))</f>
        <v>7</v>
      </c>
      <c r="F356" s="11">
        <v>40</v>
      </c>
      <c r="G356" s="12">
        <v>1</v>
      </c>
      <c r="H356" s="18">
        <f>COUNTIFS('Rote Karten'!$A$2:$A$4,$A356,'Rote Karten'!$D$2:$D$4,"&lt;&gt;"&amp;$B356,'Rote Karten'!$B$2:$B$4,"&lt;"&amp;$F356,'Rote Karten'!$C$2:$C$4,"&lt;="&amp;$G356)-COUNTIFS('Rote Karten'!$A$2:$A$4,$A356,'Rote Karten'!$D$2:$D$4,$B356,'Rote Karten'!$B$2:$B$4,"&lt;"&amp;$F356,'Rote Karten'!$C$2:$C$4,"&lt;="&amp;$G356)</f>
        <v>0</v>
      </c>
      <c r="I356" s="17" t="str">
        <f>IF(OR($L356="Tor",$L356="ET"),_xlfn.IFNA(IF(VLOOKUP($A356,Spiele!$A$2:$C$17,3,FALSE)=$B356,COUNTIFS($L$2:$L356,"Tor",$B$2:$B356,$B356,$A$2:$A356,$A356)+COUNTIFS($L$2:$L356,"ET",$B$2:$B356,$B356,$A$2:$A356,$A356)&amp;":"&amp;COUNTIFS($L$2:$L356,"Tor",$B$2:$B356,"&lt;&gt;"&amp;$B356,$A$2:$A356,$A356)+COUNTIFS($L$2:$L356,"ET",$B$2:$B356,"&lt;&gt;"&amp;$B356,$A$2:$A356,$A356),COUNTIFS($L$2:$L356,"Tor",$B$2:$B356,"&lt;&gt;"&amp;$B356,$A$2:$A356,$A356)+COUNTIFS($L$2:$L356,"ET",$B$2:$B356,"&lt;&gt;"&amp;$B356,$A$2:$A356,$A356)&amp;":"&amp;COUNTIFS($L$2:$L356,"Tor",$B$2:$B356,$B356,$A$2:$A356,$A356)+COUNTIFS($L$2:$L356,"ET",$B$2:$B356,$B356,$A$2:$A356,$A356)),""),"")</f>
        <v/>
      </c>
      <c r="J356" s="18">
        <f>_xlfn.IFNA(IF(VLOOKUP($A356,Spiele!$A$2:$D$17,3,FALSE)=$B356,(COUNTIFS($L$1:$L355,"Tor",$B$1:$B355,$B356,$A$1:$A355,$A356)+COUNTIFS($L$1:$L355,"ET",$B$1:$B355,$B356,$A$1:$A355,$A356))-(COUNTIFS($L$1:$L355,"Tor",$B$1:$B355,"&lt;&gt;"&amp;$B356,$A$1:$A355,$A356)+COUNTIFS($L$1:$L355,"ET",$B$1:$B355,"&lt;&gt;"&amp;$B356,$A$1:$A355,$A356)),(COUNTIFS($L$1:$L355,"Tor",$B$1:$B355,$B356,$A$1:$A355,$A356)+COUNTIFS($L$1:$L355,"ET",$B$1:$B355,$B356,$A$1:$A355,$A356))-(COUNTIFS($L$1:$L355,"Tor",$B$1:$B355,"&lt;&gt;"&amp;$B356,$A$1:$A355,$A356)+COUNTIFS($L$1:$L355,"ET",$B$1:$B355,"&lt;&gt;"&amp;$B356,$A$1:$A355,$A356))),"")</f>
        <v>0</v>
      </c>
      <c r="K356" s="3">
        <v>14</v>
      </c>
      <c r="L356" s="17" t="s">
        <v>18</v>
      </c>
      <c r="M356" s="2" t="s">
        <v>163</v>
      </c>
      <c r="N356" s="2" t="s">
        <v>153</v>
      </c>
      <c r="O356" s="17">
        <v>7</v>
      </c>
      <c r="AA356" s="2" t="s">
        <v>154</v>
      </c>
      <c r="AB356" s="17" t="s">
        <v>160</v>
      </c>
      <c r="AC356" s="14" t="s">
        <v>161</v>
      </c>
      <c r="AD356" s="14" t="s">
        <v>156</v>
      </c>
      <c r="AE356" s="18">
        <v>9</v>
      </c>
      <c r="AF356" s="13">
        <v>-2</v>
      </c>
      <c r="AG356" s="13">
        <v>9</v>
      </c>
      <c r="AH356" s="19">
        <f t="shared" si="20"/>
        <v>9</v>
      </c>
      <c r="AI356" s="19">
        <f t="shared" si="21"/>
        <v>42.615768593997174</v>
      </c>
      <c r="AJ356" s="2" t="s">
        <v>146</v>
      </c>
      <c r="AK356" s="13">
        <v>-2</v>
      </c>
      <c r="AL356" s="13">
        <v>2.5</v>
      </c>
      <c r="AM356" s="19">
        <f>IF(Abschlüsse[[#This Row],[Ergeb]]="ET","",SQRT(($AF356-$AK356)^2+($AG356-$AL356)^2))</f>
        <v>6.5</v>
      </c>
      <c r="AN356" s="3">
        <v>2</v>
      </c>
      <c r="AO356" s="13">
        <v>-0.5</v>
      </c>
      <c r="AP356" s="13">
        <v>9</v>
      </c>
      <c r="AQ356" s="19">
        <f t="shared" si="22"/>
        <v>1.5</v>
      </c>
      <c r="AR356" s="3">
        <v>0</v>
      </c>
      <c r="AU356" s="19" t="str">
        <f t="shared" si="23"/>
        <v/>
      </c>
    </row>
    <row r="357" spans="1:47" ht="25.05" customHeight="1">
      <c r="A357" s="3">
        <v>13</v>
      </c>
      <c r="B357" s="2" t="s">
        <v>8</v>
      </c>
      <c r="C357" s="17" t="str">
        <f>IF($A357="","",IF(VLOOKUP($A357,Spiele!$A$2:$D$17,3,FALSE)=$B357,"H","G"))</f>
        <v>H</v>
      </c>
      <c r="D357" s="17" t="str">
        <f>IF($B357="","",IF(VLOOKUP($A357,Spiele!$A$2:$F$17,3,FALSE)=$B357,VLOOKUP($A357,Spiele!$A$2:$F$17,4,FALSE),VLOOKUP($A357,Spiele!$A$2:$F$17,3,FALSE)))</f>
        <v>60M</v>
      </c>
      <c r="E357" s="18">
        <f>IF(Abschlüsse[[#This Row],[Ergeb]]="ET",0,COUNTIFS($A$2:$A357,$A357,$B$2:$B357,$B357,$L$2:$L357,"&lt;&gt;ET"))</f>
        <v>8</v>
      </c>
      <c r="F357" s="11">
        <v>40</v>
      </c>
      <c r="G357" s="12">
        <v>1</v>
      </c>
      <c r="H357" s="18">
        <f>COUNTIFS('Rote Karten'!$A$2:$A$4,$A357,'Rote Karten'!$D$2:$D$4,"&lt;&gt;"&amp;$B357,'Rote Karten'!$B$2:$B$4,"&lt;"&amp;$F357,'Rote Karten'!$C$2:$C$4,"&lt;="&amp;$G357)-COUNTIFS('Rote Karten'!$A$2:$A$4,$A357,'Rote Karten'!$D$2:$D$4,$B357,'Rote Karten'!$B$2:$B$4,"&lt;"&amp;$F357,'Rote Karten'!$C$2:$C$4,"&lt;="&amp;$G357)</f>
        <v>0</v>
      </c>
      <c r="I357" s="17" t="str">
        <f>IF(OR($L357="Tor",$L357="ET"),_xlfn.IFNA(IF(VLOOKUP($A357,Spiele!$A$2:$C$17,3,FALSE)=$B357,COUNTIFS($L$2:$L357,"Tor",$B$2:$B357,$B357,$A$2:$A357,$A357)+COUNTIFS($L$2:$L357,"ET",$B$2:$B357,$B357,$A$2:$A357,$A357)&amp;":"&amp;COUNTIFS($L$2:$L357,"Tor",$B$2:$B357,"&lt;&gt;"&amp;$B357,$A$2:$A357,$A357)+COUNTIFS($L$2:$L357,"ET",$B$2:$B357,"&lt;&gt;"&amp;$B357,$A$2:$A357,$A357),COUNTIFS($L$2:$L357,"Tor",$B$2:$B357,"&lt;&gt;"&amp;$B357,$A$2:$A357,$A357)+COUNTIFS($L$2:$L357,"ET",$B$2:$B357,"&lt;&gt;"&amp;$B357,$A$2:$A357,$A357)&amp;":"&amp;COUNTIFS($L$2:$L357,"Tor",$B$2:$B357,$B357,$A$2:$A357,$A357)+COUNTIFS($L$2:$L357,"ET",$B$2:$B357,$B357,$A$2:$A357,$A357)),""),"")</f>
        <v>1:0</v>
      </c>
      <c r="J357" s="18">
        <f>_xlfn.IFNA(IF(VLOOKUP($A357,Spiele!$A$2:$D$17,3,FALSE)=$B357,(COUNTIFS($L$1:$L356,"Tor",$B$1:$B356,$B357,$A$1:$A356,$A357)+COUNTIFS($L$1:$L356,"ET",$B$1:$B356,$B357,$A$1:$A356,$A357))-(COUNTIFS($L$1:$L356,"Tor",$B$1:$B356,"&lt;&gt;"&amp;$B357,$A$1:$A356,$A357)+COUNTIFS($L$1:$L356,"ET",$B$1:$B356,"&lt;&gt;"&amp;$B357,$A$1:$A356,$A357)),(COUNTIFS($L$1:$L356,"Tor",$B$1:$B356,$B357,$A$1:$A356,$A357)+COUNTIFS($L$1:$L356,"ET",$B$1:$B356,$B357,$A$1:$A356,$A357))-(COUNTIFS($L$1:$L356,"Tor",$B$1:$B356,"&lt;&gt;"&amp;$B357,$A$1:$A356,$A357)+COUNTIFS($L$1:$L356,"ET",$B$1:$B356,"&lt;&gt;"&amp;$B357,$A$1:$A356,$A357))),"")</f>
        <v>0</v>
      </c>
      <c r="K357" s="3">
        <v>14</v>
      </c>
      <c r="L357" s="17" t="s">
        <v>0</v>
      </c>
      <c r="M357" s="2" t="s">
        <v>163</v>
      </c>
      <c r="N357" s="2" t="s">
        <v>3</v>
      </c>
      <c r="O357" s="17"/>
      <c r="AA357" s="2" t="s">
        <v>154</v>
      </c>
      <c r="AB357" s="17" t="s">
        <v>160</v>
      </c>
      <c r="AC357" s="14" t="s">
        <v>161</v>
      </c>
      <c r="AD357" s="14" t="s">
        <v>145</v>
      </c>
      <c r="AE357" s="18">
        <v>7</v>
      </c>
      <c r="AF357" s="13">
        <v>-6.5</v>
      </c>
      <c r="AG357" s="13">
        <v>5</v>
      </c>
      <c r="AH357" s="19">
        <f t="shared" si="20"/>
        <v>5.7502695588989567</v>
      </c>
      <c r="AI357" s="19">
        <f t="shared" si="21"/>
        <v>34.200427604672875</v>
      </c>
      <c r="AJ357" s="2" t="s">
        <v>169</v>
      </c>
      <c r="AK357" s="13">
        <v>0.5</v>
      </c>
      <c r="AL357" s="13">
        <v>2</v>
      </c>
      <c r="AM357" s="19">
        <f>IF(Abschlüsse[[#This Row],[Ergeb]]="ET","",SQRT(($AF357-$AK357)^2+($AG357-$AL357)^2))</f>
        <v>7.6157731058639087</v>
      </c>
      <c r="AN357" s="3">
        <v>1</v>
      </c>
      <c r="AO357" s="13">
        <v>-4</v>
      </c>
      <c r="AP357" s="13">
        <v>5.5</v>
      </c>
      <c r="AQ357" s="19">
        <f t="shared" si="22"/>
        <v>2.5495097567963922</v>
      </c>
      <c r="AR357" s="3">
        <v>0</v>
      </c>
      <c r="AU357" s="19" t="str">
        <f t="shared" si="23"/>
        <v/>
      </c>
    </row>
    <row r="358" spans="1:47" ht="25.05" customHeight="1">
      <c r="A358" s="3">
        <v>13</v>
      </c>
      <c r="B358" s="2" t="s">
        <v>76</v>
      </c>
      <c r="C358" s="17" t="str">
        <f>IF($A358="","",IF(VLOOKUP($A358,Spiele!$A$2:$D$17,3,FALSE)=$B358,"H","G"))</f>
        <v>G</v>
      </c>
      <c r="D358" s="17" t="str">
        <f>IF($B358="","",IF(VLOOKUP($A358,Spiele!$A$2:$F$17,3,FALSE)=$B358,VLOOKUP($A358,Spiele!$A$2:$F$17,4,FALSE),VLOOKUP($A358,Spiele!$A$2:$F$17,3,FALSE)))</f>
        <v>FCN</v>
      </c>
      <c r="E358" s="18">
        <f>IF(Abschlüsse[[#This Row],[Ergeb]]="ET",0,COUNTIFS($A$2:$A358,$A358,$B$2:$B358,$B358,$L$2:$L358,"&lt;&gt;ET"))</f>
        <v>10</v>
      </c>
      <c r="F358" s="11">
        <v>44</v>
      </c>
      <c r="G358" s="12">
        <v>2</v>
      </c>
      <c r="H358" s="18">
        <f>COUNTIFS('Rote Karten'!$A$2:$A$4,$A358,'Rote Karten'!$D$2:$D$4,"&lt;&gt;"&amp;$B358,'Rote Karten'!$B$2:$B$4,"&lt;"&amp;$F358,'Rote Karten'!$C$2:$C$4,"&lt;="&amp;$G358)-COUNTIFS('Rote Karten'!$A$2:$A$4,$A358,'Rote Karten'!$D$2:$D$4,$B358,'Rote Karten'!$B$2:$B$4,"&lt;"&amp;$F358,'Rote Karten'!$C$2:$C$4,"&lt;="&amp;$G358)</f>
        <v>0</v>
      </c>
      <c r="I358" s="17" t="str">
        <f>IF(OR($L358="Tor",$L358="ET"),_xlfn.IFNA(IF(VLOOKUP($A358,Spiele!$A$2:$C$17,3,FALSE)=$B358,COUNTIFS($L$2:$L358,"Tor",$B$2:$B358,$B358,$A$2:$A358,$A358)+COUNTIFS($L$2:$L358,"ET",$B$2:$B358,$B358,$A$2:$A358,$A358)&amp;":"&amp;COUNTIFS($L$2:$L358,"Tor",$B$2:$B358,"&lt;&gt;"&amp;$B358,$A$2:$A358,$A358)+COUNTIFS($L$2:$L358,"ET",$B$2:$B358,"&lt;&gt;"&amp;$B358,$A$2:$A358,$A358),COUNTIFS($L$2:$L358,"Tor",$B$2:$B358,"&lt;&gt;"&amp;$B358,$A$2:$A358,$A358)+COUNTIFS($L$2:$L358,"ET",$B$2:$B358,"&lt;&gt;"&amp;$B358,$A$2:$A358,$A358)&amp;":"&amp;COUNTIFS($L$2:$L358,"Tor",$B$2:$B358,$B358,$A$2:$A358,$A358)+COUNTIFS($L$2:$L358,"ET",$B$2:$B358,$B358,$A$2:$A358,$A358)),""),"")</f>
        <v/>
      </c>
      <c r="J358" s="18">
        <f>_xlfn.IFNA(IF(VLOOKUP($A358,Spiele!$A$2:$D$17,3,FALSE)=$B358,(COUNTIFS($L$1:$L357,"Tor",$B$1:$B357,$B358,$A$1:$A357,$A358)+COUNTIFS($L$1:$L357,"ET",$B$1:$B357,$B358,$A$1:$A357,$A358))-(COUNTIFS($L$1:$L357,"Tor",$B$1:$B357,"&lt;&gt;"&amp;$B358,$A$1:$A357,$A358)+COUNTIFS($L$1:$L357,"ET",$B$1:$B357,"&lt;&gt;"&amp;$B358,$A$1:$A357,$A358)),(COUNTIFS($L$1:$L357,"Tor",$B$1:$B357,$B358,$A$1:$A357,$A358)+COUNTIFS($L$1:$L357,"ET",$B$1:$B357,$B358,$A$1:$A357,$A358))-(COUNTIFS($L$1:$L357,"Tor",$B$1:$B357,"&lt;&gt;"&amp;$B358,$A$1:$A357,$A358)+COUNTIFS($L$1:$L357,"ET",$B$1:$B357,"&lt;&gt;"&amp;$B358,$A$1:$A357,$A358))),"")</f>
        <v>-1</v>
      </c>
      <c r="K358" s="3">
        <v>15</v>
      </c>
      <c r="L358" s="17" t="s">
        <v>19</v>
      </c>
      <c r="M358" s="2" t="s">
        <v>174</v>
      </c>
      <c r="O358" s="17"/>
      <c r="AA358" s="2" t="s">
        <v>142</v>
      </c>
      <c r="AB358" s="17" t="s">
        <v>143</v>
      </c>
      <c r="AC358" s="14" t="s">
        <v>150</v>
      </c>
      <c r="AD358" s="14" t="s">
        <v>156</v>
      </c>
      <c r="AE358" s="18"/>
      <c r="AF358" s="13">
        <v>-3</v>
      </c>
      <c r="AG358" s="13">
        <v>34</v>
      </c>
      <c r="AH358" s="19">
        <f t="shared" si="20"/>
        <v>34</v>
      </c>
      <c r="AI358" s="19">
        <f t="shared" si="21"/>
        <v>12.194976603981754</v>
      </c>
      <c r="AJ358" s="2" t="s">
        <v>146</v>
      </c>
      <c r="AK358" s="13">
        <v>0.5</v>
      </c>
      <c r="AL358" s="13">
        <v>0.5</v>
      </c>
      <c r="AM358" s="19">
        <f>IF(Abschlüsse[[#This Row],[Ergeb]]="ET","",SQRT(($AF358-$AK358)^2+($AG358-$AL358)^2))</f>
        <v>33.68233958619858</v>
      </c>
      <c r="AN358" s="3">
        <v>0</v>
      </c>
      <c r="AO358" s="13"/>
      <c r="AP358" s="13"/>
      <c r="AQ358" s="19" t="str">
        <f t="shared" si="22"/>
        <v/>
      </c>
      <c r="AR358" s="3">
        <v>3</v>
      </c>
      <c r="AS358" s="13">
        <v>-3.5</v>
      </c>
      <c r="AT358" s="13">
        <v>27</v>
      </c>
      <c r="AU358" s="19">
        <f t="shared" si="23"/>
        <v>7.0178344238090995</v>
      </c>
    </row>
    <row r="359" spans="1:47" ht="25.05" customHeight="1">
      <c r="A359" s="3">
        <v>13</v>
      </c>
      <c r="B359" s="2" t="s">
        <v>8</v>
      </c>
      <c r="C359" s="17" t="str">
        <f>IF($A359="","",IF(VLOOKUP($A359,Spiele!$A$2:$D$17,3,FALSE)=$B359,"H","G"))</f>
        <v>H</v>
      </c>
      <c r="D359" s="17" t="str">
        <f>IF($B359="","",IF(VLOOKUP($A359,Spiele!$A$2:$F$17,3,FALSE)=$B359,VLOOKUP($A359,Spiele!$A$2:$F$17,4,FALSE),VLOOKUP($A359,Spiele!$A$2:$F$17,3,FALSE)))</f>
        <v>60M</v>
      </c>
      <c r="E359" s="18">
        <f>IF(Abschlüsse[[#This Row],[Ergeb]]="ET",0,COUNTIFS($A$2:$A359,$A359,$B$2:$B359,$B359,$L$2:$L359,"&lt;&gt;ET"))</f>
        <v>9</v>
      </c>
      <c r="F359" s="11">
        <v>51</v>
      </c>
      <c r="G359" s="12">
        <v>2</v>
      </c>
      <c r="H359" s="18">
        <f>COUNTIFS('Rote Karten'!$A$2:$A$4,$A359,'Rote Karten'!$D$2:$D$4,"&lt;&gt;"&amp;$B359,'Rote Karten'!$B$2:$B$4,"&lt;"&amp;$F359,'Rote Karten'!$C$2:$C$4,"&lt;="&amp;$G359)-COUNTIFS('Rote Karten'!$A$2:$A$4,$A359,'Rote Karten'!$D$2:$D$4,$B359,'Rote Karten'!$B$2:$B$4,"&lt;"&amp;$F359,'Rote Karten'!$C$2:$C$4,"&lt;="&amp;$G359)</f>
        <v>0</v>
      </c>
      <c r="I359" s="17" t="str">
        <f>IF(OR($L359="Tor",$L359="ET"),_xlfn.IFNA(IF(VLOOKUP($A359,Spiele!$A$2:$C$17,3,FALSE)=$B359,COUNTIFS($L$2:$L359,"Tor",$B$2:$B359,$B359,$A$2:$A359,$A359)+COUNTIFS($L$2:$L359,"ET",$B$2:$B359,$B359,$A$2:$A359,$A359)&amp;":"&amp;COUNTIFS($L$2:$L359,"Tor",$B$2:$B359,"&lt;&gt;"&amp;$B359,$A$2:$A359,$A359)+COUNTIFS($L$2:$L359,"ET",$B$2:$B359,"&lt;&gt;"&amp;$B359,$A$2:$A359,$A359),COUNTIFS($L$2:$L359,"Tor",$B$2:$B359,"&lt;&gt;"&amp;$B359,$A$2:$A359,$A359)+COUNTIFS($L$2:$L359,"ET",$B$2:$B359,"&lt;&gt;"&amp;$B359,$A$2:$A359,$A359)&amp;":"&amp;COUNTIFS($L$2:$L359,"Tor",$B$2:$B359,$B359,$A$2:$A359,$A359)+COUNTIFS($L$2:$L359,"ET",$B$2:$B359,$B359,$A$2:$A359,$A359)),""),"")</f>
        <v/>
      </c>
      <c r="J359" s="18">
        <f>_xlfn.IFNA(IF(VLOOKUP($A359,Spiele!$A$2:$D$17,3,FALSE)=$B359,(COUNTIFS($L$1:$L358,"Tor",$B$1:$B358,$B359,$A$1:$A358,$A359)+COUNTIFS($L$1:$L358,"ET",$B$1:$B358,$B359,$A$1:$A358,$A359))-(COUNTIFS($L$1:$L358,"Tor",$B$1:$B358,"&lt;&gt;"&amp;$B359,$A$1:$A358,$A359)+COUNTIFS($L$1:$L358,"ET",$B$1:$B358,"&lt;&gt;"&amp;$B359,$A$1:$A358,$A359)),(COUNTIFS($L$1:$L358,"Tor",$B$1:$B358,$B359,$A$1:$A358,$A359)+COUNTIFS($L$1:$L358,"ET",$B$1:$B358,$B359,$A$1:$A358,$A359))-(COUNTIFS($L$1:$L358,"Tor",$B$1:$B358,"&lt;&gt;"&amp;$B359,$A$1:$A358,$A359)+COUNTIFS($L$1:$L358,"ET",$B$1:$B358,"&lt;&gt;"&amp;$B359,$A$1:$A358,$A359))),"")</f>
        <v>1</v>
      </c>
      <c r="K359" s="3">
        <v>16</v>
      </c>
      <c r="L359" s="18" t="s">
        <v>18</v>
      </c>
      <c r="M359" s="3" t="s">
        <v>163</v>
      </c>
      <c r="N359" s="2" t="s">
        <v>164</v>
      </c>
      <c r="O359" s="17">
        <v>8</v>
      </c>
      <c r="P359" s="2">
        <v>26</v>
      </c>
      <c r="Q359" s="2">
        <v>6</v>
      </c>
      <c r="AA359" s="22" t="s">
        <v>151</v>
      </c>
      <c r="AB359" s="18" t="s">
        <v>143</v>
      </c>
      <c r="AC359" s="14" t="s">
        <v>150</v>
      </c>
      <c r="AD359" s="14" t="s">
        <v>145</v>
      </c>
      <c r="AE359" s="18">
        <v>10</v>
      </c>
      <c r="AF359" s="13">
        <v>-10.5</v>
      </c>
      <c r="AG359" s="13">
        <v>13</v>
      </c>
      <c r="AH359" s="19">
        <f t="shared" si="20"/>
        <v>14.689642609675703</v>
      </c>
      <c r="AI359" s="19">
        <f t="shared" si="21"/>
        <v>19.694334659050181</v>
      </c>
      <c r="AJ359" s="3" t="s">
        <v>146</v>
      </c>
      <c r="AK359" s="13">
        <v>-3.5</v>
      </c>
      <c r="AL359" s="13">
        <v>2.5</v>
      </c>
      <c r="AM359" s="19">
        <f>IF(Abschlüsse[[#This Row],[Ergeb]]="ET","",SQRT(($AF359-$AK359)^2+($AG359-$AL359)^2))</f>
        <v>12.619429464123963</v>
      </c>
      <c r="AN359" s="3">
        <v>2</v>
      </c>
      <c r="AO359" s="13">
        <v>-10</v>
      </c>
      <c r="AP359" s="13">
        <v>13.5</v>
      </c>
      <c r="AQ359" s="19">
        <f t="shared" si="22"/>
        <v>0.70710678118654757</v>
      </c>
      <c r="AR359" s="3">
        <v>1</v>
      </c>
      <c r="AS359" s="13">
        <v>-3</v>
      </c>
      <c r="AT359" s="13">
        <v>7.5</v>
      </c>
      <c r="AU359" s="19">
        <f t="shared" si="23"/>
        <v>9.3005376188691375</v>
      </c>
    </row>
    <row r="360" spans="1:47" ht="25.05" customHeight="1">
      <c r="A360" s="3">
        <v>13</v>
      </c>
      <c r="B360" s="2" t="s">
        <v>76</v>
      </c>
      <c r="C360" s="17" t="str">
        <f>IF($A360="","",IF(VLOOKUP($A360,Spiele!$A$2:$D$17,3,FALSE)=$B360,"H","G"))</f>
        <v>G</v>
      </c>
      <c r="D360" s="17" t="str">
        <f>IF($B360="","",IF(VLOOKUP($A360,Spiele!$A$2:$F$17,3,FALSE)=$B360,VLOOKUP($A360,Spiele!$A$2:$F$17,4,FALSE),VLOOKUP($A360,Spiele!$A$2:$F$17,3,FALSE)))</f>
        <v>FCN</v>
      </c>
      <c r="E360" s="18">
        <f>IF(Abschlüsse[[#This Row],[Ergeb]]="ET",0,COUNTIFS($A$2:$A360,$A360,$B$2:$B360,$B360,$L$2:$L360,"&lt;&gt;ET"))</f>
        <v>11</v>
      </c>
      <c r="F360" s="11">
        <v>57</v>
      </c>
      <c r="G360" s="12">
        <v>2</v>
      </c>
      <c r="H360" s="18">
        <f>COUNTIFS('Rote Karten'!$A$2:$A$4,$A360,'Rote Karten'!$D$2:$D$4,"&lt;&gt;"&amp;$B360,'Rote Karten'!$B$2:$B$4,"&lt;"&amp;$F360,'Rote Karten'!$C$2:$C$4,"&lt;="&amp;$G360)-COUNTIFS('Rote Karten'!$A$2:$A$4,$A360,'Rote Karten'!$D$2:$D$4,$B360,'Rote Karten'!$B$2:$B$4,"&lt;"&amp;$F360,'Rote Karten'!$C$2:$C$4,"&lt;="&amp;$G360)</f>
        <v>0</v>
      </c>
      <c r="I360" s="17" t="str">
        <f>IF(OR($L360="Tor",$L360="ET"),_xlfn.IFNA(IF(VLOOKUP($A360,Spiele!$A$2:$C$17,3,FALSE)=$B360,COUNTIFS($L$2:$L360,"Tor",$B$2:$B360,$B360,$A$2:$A360,$A360)+COUNTIFS($L$2:$L360,"ET",$B$2:$B360,$B360,$A$2:$A360,$A360)&amp;":"&amp;COUNTIFS($L$2:$L360,"Tor",$B$2:$B360,"&lt;&gt;"&amp;$B360,$A$2:$A360,$A360)+COUNTIFS($L$2:$L360,"ET",$B$2:$B360,"&lt;&gt;"&amp;$B360,$A$2:$A360,$A360),COUNTIFS($L$2:$L360,"Tor",$B$2:$B360,"&lt;&gt;"&amp;$B360,$A$2:$A360,$A360)+COUNTIFS($L$2:$L360,"ET",$B$2:$B360,"&lt;&gt;"&amp;$B360,$A$2:$A360,$A360)&amp;":"&amp;COUNTIFS($L$2:$L360,"Tor",$B$2:$B360,$B360,$A$2:$A360,$A360)+COUNTIFS($L$2:$L360,"ET",$B$2:$B360,$B360,$A$2:$A360,$A360)),""),"")</f>
        <v/>
      </c>
      <c r="J360" s="18">
        <f>_xlfn.IFNA(IF(VLOOKUP($A360,Spiele!$A$2:$D$17,3,FALSE)=$B360,(COUNTIFS($L$1:$L359,"Tor",$B$1:$B359,$B360,$A$1:$A359,$A360)+COUNTIFS($L$1:$L359,"ET",$B$1:$B359,$B360,$A$1:$A359,$A360))-(COUNTIFS($L$1:$L359,"Tor",$B$1:$B359,"&lt;&gt;"&amp;$B360,$A$1:$A359,$A360)+COUNTIFS($L$1:$L359,"ET",$B$1:$B359,"&lt;&gt;"&amp;$B360,$A$1:$A359,$A360)),(COUNTIFS($L$1:$L359,"Tor",$B$1:$B359,$B360,$A$1:$A359,$A360)+COUNTIFS($L$1:$L359,"ET",$B$1:$B359,$B360,$A$1:$A359,$A360))-(COUNTIFS($L$1:$L359,"Tor",$B$1:$B359,"&lt;&gt;"&amp;$B360,$A$1:$A359,$A360)+COUNTIFS($L$1:$L359,"ET",$B$1:$B359,"&lt;&gt;"&amp;$B360,$A$1:$A359,$A360))),"")</f>
        <v>-1</v>
      </c>
      <c r="K360" s="3">
        <v>17</v>
      </c>
      <c r="L360" s="17" t="s">
        <v>19</v>
      </c>
      <c r="M360" s="2" t="s">
        <v>163</v>
      </c>
      <c r="N360" s="2" t="s">
        <v>152</v>
      </c>
      <c r="O360" s="17"/>
      <c r="AA360" s="2" t="s">
        <v>142</v>
      </c>
      <c r="AB360" s="17" t="s">
        <v>143</v>
      </c>
      <c r="AC360" s="14" t="s">
        <v>150</v>
      </c>
      <c r="AD360" s="14" t="s">
        <v>145</v>
      </c>
      <c r="AE360" s="18"/>
      <c r="AF360" s="13">
        <v>12</v>
      </c>
      <c r="AG360" s="13">
        <v>7.5</v>
      </c>
      <c r="AH360" s="19">
        <f t="shared" si="20"/>
        <v>11.216309553502882</v>
      </c>
      <c r="AI360" s="19">
        <f t="shared" si="21"/>
        <v>16.373402664953399</v>
      </c>
      <c r="AJ360" s="2" t="s">
        <v>146</v>
      </c>
      <c r="AK360" s="13">
        <v>3.5</v>
      </c>
      <c r="AL360" s="13">
        <v>0.5</v>
      </c>
      <c r="AM360" s="19">
        <f>IF(Abschlüsse[[#This Row],[Ergeb]]="ET","",SQRT(($AF360-$AK360)^2+($AG360-$AL360)^2))</f>
        <v>11.01135777277262</v>
      </c>
      <c r="AN360" s="3">
        <v>1</v>
      </c>
      <c r="AO360" s="13">
        <v>9</v>
      </c>
      <c r="AP360" s="13">
        <v>8.5</v>
      </c>
      <c r="AQ360" s="19">
        <f t="shared" si="22"/>
        <v>3.1622776601683795</v>
      </c>
      <c r="AR360" s="3">
        <v>0</v>
      </c>
      <c r="AU360" s="19" t="str">
        <f t="shared" si="23"/>
        <v/>
      </c>
    </row>
    <row r="361" spans="1:47" ht="25.05" customHeight="1">
      <c r="A361" s="3">
        <v>13</v>
      </c>
      <c r="B361" s="2" t="s">
        <v>8</v>
      </c>
      <c r="C361" s="17" t="str">
        <f>IF($A361="","",IF(VLOOKUP($A361,Spiele!$A$2:$D$17,3,FALSE)=$B361,"H","G"))</f>
        <v>H</v>
      </c>
      <c r="D361" s="17" t="str">
        <f>IF($B361="","",IF(VLOOKUP($A361,Spiele!$A$2:$F$17,3,FALSE)=$B361,VLOOKUP($A361,Spiele!$A$2:$F$17,4,FALSE),VLOOKUP($A361,Spiele!$A$2:$F$17,3,FALSE)))</f>
        <v>60M</v>
      </c>
      <c r="E361" s="18">
        <f>IF(Abschlüsse[[#This Row],[Ergeb]]="ET",0,COUNTIFS($A$2:$A361,$A361,$B$2:$B361,$B361,$L$2:$L361,"&lt;&gt;ET"))</f>
        <v>10</v>
      </c>
      <c r="F361" s="11">
        <v>59</v>
      </c>
      <c r="G361" s="12">
        <v>2</v>
      </c>
      <c r="H361" s="18">
        <f>COUNTIFS('Rote Karten'!$A$2:$A$4,$A361,'Rote Karten'!$D$2:$D$4,"&lt;&gt;"&amp;$B361,'Rote Karten'!$B$2:$B$4,"&lt;"&amp;$F361,'Rote Karten'!$C$2:$C$4,"&lt;="&amp;$G361)-COUNTIFS('Rote Karten'!$A$2:$A$4,$A361,'Rote Karten'!$D$2:$D$4,$B361,'Rote Karten'!$B$2:$B$4,"&lt;"&amp;$F361,'Rote Karten'!$C$2:$C$4,"&lt;="&amp;$G361)</f>
        <v>0</v>
      </c>
      <c r="I361" s="17" t="str">
        <f>IF(OR($L361="Tor",$L361="ET"),_xlfn.IFNA(IF(VLOOKUP($A361,Spiele!$A$2:$C$17,3,FALSE)=$B361,COUNTIFS($L$2:$L361,"Tor",$B$2:$B361,$B361,$A$2:$A361,$A361)+COUNTIFS($L$2:$L361,"ET",$B$2:$B361,$B361,$A$2:$A361,$A361)&amp;":"&amp;COUNTIFS($L$2:$L361,"Tor",$B$2:$B361,"&lt;&gt;"&amp;$B361,$A$2:$A361,$A361)+COUNTIFS($L$2:$L361,"ET",$B$2:$B361,"&lt;&gt;"&amp;$B361,$A$2:$A361,$A361),COUNTIFS($L$2:$L361,"Tor",$B$2:$B361,"&lt;&gt;"&amp;$B361,$A$2:$A361,$A361)+COUNTIFS($L$2:$L361,"ET",$B$2:$B361,"&lt;&gt;"&amp;$B361,$A$2:$A361,$A361)&amp;":"&amp;COUNTIFS($L$2:$L361,"Tor",$B$2:$B361,$B361,$A$2:$A361,$A361)+COUNTIFS($L$2:$L361,"ET",$B$2:$B361,$B361,$A$2:$A361,$A361)),""),"")</f>
        <v/>
      </c>
      <c r="J361" s="18">
        <f>_xlfn.IFNA(IF(VLOOKUP($A361,Spiele!$A$2:$D$17,3,FALSE)=$B361,(COUNTIFS($L$1:$L360,"Tor",$B$1:$B360,$B361,$A$1:$A360,$A361)+COUNTIFS($L$1:$L360,"ET",$B$1:$B360,$B361,$A$1:$A360,$A361))-(COUNTIFS($L$1:$L360,"Tor",$B$1:$B360,"&lt;&gt;"&amp;$B361,$A$1:$A360,$A361)+COUNTIFS($L$1:$L360,"ET",$B$1:$B360,"&lt;&gt;"&amp;$B361,$A$1:$A360,$A361)),(COUNTIFS($L$1:$L360,"Tor",$B$1:$B360,$B361,$A$1:$A360,$A361)+COUNTIFS($L$1:$L360,"ET",$B$1:$B360,$B361,$A$1:$A360,$A361))-(COUNTIFS($L$1:$L360,"Tor",$B$1:$B360,"&lt;&gt;"&amp;$B361,$A$1:$A360,$A361)+COUNTIFS($L$1:$L360,"ET",$B$1:$B360,"&lt;&gt;"&amp;$B361,$A$1:$A360,$A361))),"")</f>
        <v>1</v>
      </c>
      <c r="K361" s="3">
        <v>18</v>
      </c>
      <c r="L361" s="17" t="s">
        <v>18</v>
      </c>
      <c r="M361" s="2" t="s">
        <v>147</v>
      </c>
      <c r="N361" s="2" t="s">
        <v>158</v>
      </c>
      <c r="O361" s="17">
        <v>4</v>
      </c>
      <c r="P361" s="2">
        <v>23</v>
      </c>
      <c r="Q361" s="2">
        <v>6</v>
      </c>
      <c r="R361" s="2">
        <v>8</v>
      </c>
      <c r="S361" s="2">
        <v>20</v>
      </c>
      <c r="T361" s="2">
        <v>4</v>
      </c>
      <c r="AA361" s="2" t="s">
        <v>151</v>
      </c>
      <c r="AB361" s="17" t="s">
        <v>143</v>
      </c>
      <c r="AC361" s="14" t="s">
        <v>150</v>
      </c>
      <c r="AD361" s="14" t="s">
        <v>156</v>
      </c>
      <c r="AE361" s="18">
        <v>18</v>
      </c>
      <c r="AF361" s="13">
        <v>-14</v>
      </c>
      <c r="AG361" s="13">
        <v>19.5</v>
      </c>
      <c r="AH361" s="19">
        <f t="shared" si="20"/>
        <v>22.071828197954062</v>
      </c>
      <c r="AI361" s="19">
        <f t="shared" si="21"/>
        <v>14.230221882728383</v>
      </c>
      <c r="AJ361" s="2" t="s">
        <v>146</v>
      </c>
      <c r="AK361" s="13">
        <v>-1.5</v>
      </c>
      <c r="AL361" s="13">
        <v>2.5</v>
      </c>
      <c r="AM361" s="19">
        <f>IF(Abschlüsse[[#This Row],[Ergeb]]="ET","",SQRT(($AF361-$AK361)^2+($AG361-$AL361)^2))</f>
        <v>21.100947846009191</v>
      </c>
      <c r="AN361" s="3">
        <v>1</v>
      </c>
      <c r="AO361" s="13">
        <v>-14</v>
      </c>
      <c r="AP361" s="13">
        <v>18</v>
      </c>
      <c r="AQ361" s="19">
        <f t="shared" si="22"/>
        <v>1.5</v>
      </c>
      <c r="AR361" s="3">
        <v>2</v>
      </c>
      <c r="AS361" s="13">
        <v>-11</v>
      </c>
      <c r="AT361" s="13">
        <v>14.5</v>
      </c>
      <c r="AU361" s="19">
        <f t="shared" si="23"/>
        <v>5.8309518948453007</v>
      </c>
    </row>
    <row r="362" spans="1:47" ht="25.05" customHeight="1">
      <c r="A362" s="3">
        <v>13</v>
      </c>
      <c r="B362" s="2" t="s">
        <v>8</v>
      </c>
      <c r="C362" s="17" t="str">
        <f>IF($A362="","",IF(VLOOKUP($A362,Spiele!$A$2:$D$17,3,FALSE)=$B362,"H","G"))</f>
        <v>H</v>
      </c>
      <c r="D362" s="17" t="str">
        <f>IF($B362="","",IF(VLOOKUP($A362,Spiele!$A$2:$F$17,3,FALSE)=$B362,VLOOKUP($A362,Spiele!$A$2:$F$17,4,FALSE),VLOOKUP($A362,Spiele!$A$2:$F$17,3,FALSE)))</f>
        <v>60M</v>
      </c>
      <c r="E362" s="18">
        <f>IF(Abschlüsse[[#This Row],[Ergeb]]="ET",0,COUNTIFS($A$2:$A362,$A362,$B$2:$B362,$B362,$L$2:$L362,"&lt;&gt;ET"))</f>
        <v>11</v>
      </c>
      <c r="F362" s="11">
        <v>60</v>
      </c>
      <c r="G362" s="12">
        <v>2</v>
      </c>
      <c r="H362" s="18">
        <f>COUNTIFS('Rote Karten'!$A$2:$A$4,$A362,'Rote Karten'!$D$2:$D$4,"&lt;&gt;"&amp;$B362,'Rote Karten'!$B$2:$B$4,"&lt;"&amp;$F362,'Rote Karten'!$C$2:$C$4,"&lt;="&amp;$G362)-COUNTIFS('Rote Karten'!$A$2:$A$4,$A362,'Rote Karten'!$D$2:$D$4,$B362,'Rote Karten'!$B$2:$B$4,"&lt;"&amp;$F362,'Rote Karten'!$C$2:$C$4,"&lt;="&amp;$G362)</f>
        <v>0</v>
      </c>
      <c r="I362" s="17" t="str">
        <f>IF(OR($L362="Tor",$L362="ET"),_xlfn.IFNA(IF(VLOOKUP($A362,Spiele!$A$2:$C$17,3,FALSE)=$B362,COUNTIFS($L$2:$L362,"Tor",$B$2:$B362,$B362,$A$2:$A362,$A362)+COUNTIFS($L$2:$L362,"ET",$B$2:$B362,$B362,$A$2:$A362,$A362)&amp;":"&amp;COUNTIFS($L$2:$L362,"Tor",$B$2:$B362,"&lt;&gt;"&amp;$B362,$A$2:$A362,$A362)+COUNTIFS($L$2:$L362,"ET",$B$2:$B362,"&lt;&gt;"&amp;$B362,$A$2:$A362,$A362),COUNTIFS($L$2:$L362,"Tor",$B$2:$B362,"&lt;&gt;"&amp;$B362,$A$2:$A362,$A362)+COUNTIFS($L$2:$L362,"ET",$B$2:$B362,"&lt;&gt;"&amp;$B362,$A$2:$A362,$A362)&amp;":"&amp;COUNTIFS($L$2:$L362,"Tor",$B$2:$B362,$B362,$A$2:$A362,$A362)+COUNTIFS($L$2:$L362,"ET",$B$2:$B362,$B362,$A$2:$A362,$A362)),""),"")</f>
        <v/>
      </c>
      <c r="J362" s="18">
        <f>_xlfn.IFNA(IF(VLOOKUP($A362,Spiele!$A$2:$D$17,3,FALSE)=$B362,(COUNTIFS($L$1:$L361,"Tor",$B$1:$B361,$B362,$A$1:$A361,$A362)+COUNTIFS($L$1:$L361,"ET",$B$1:$B361,$B362,$A$1:$A361,$A362))-(COUNTIFS($L$1:$L361,"Tor",$B$1:$B361,"&lt;&gt;"&amp;$B362,$A$1:$A361,$A362)+COUNTIFS($L$1:$L361,"ET",$B$1:$B361,"&lt;&gt;"&amp;$B362,$A$1:$A361,$A362)),(COUNTIFS($L$1:$L361,"Tor",$B$1:$B361,$B362,$A$1:$A361,$A362)+COUNTIFS($L$1:$L361,"ET",$B$1:$B361,$B362,$A$1:$A361,$A362))-(COUNTIFS($L$1:$L361,"Tor",$B$1:$B361,"&lt;&gt;"&amp;$B362,$A$1:$A361,$A362)+COUNTIFS($L$1:$L361,"ET",$B$1:$B361,"&lt;&gt;"&amp;$B362,$A$1:$A361,$A362))),"")</f>
        <v>1</v>
      </c>
      <c r="K362" s="3">
        <v>19</v>
      </c>
      <c r="L362" s="17" t="s">
        <v>18</v>
      </c>
      <c r="M362" s="2" t="s">
        <v>174</v>
      </c>
      <c r="O362" s="17"/>
      <c r="AA362" s="2" t="s">
        <v>142</v>
      </c>
      <c r="AB362" s="17" t="s">
        <v>143</v>
      </c>
      <c r="AC362" s="14" t="s">
        <v>150</v>
      </c>
      <c r="AD362" s="14" t="s">
        <v>145</v>
      </c>
      <c r="AE362" s="18">
        <v>8</v>
      </c>
      <c r="AF362" s="13">
        <v>14</v>
      </c>
      <c r="AG362" s="13">
        <v>23.5</v>
      </c>
      <c r="AH362" s="19">
        <f t="shared" si="20"/>
        <v>25.674220533445606</v>
      </c>
      <c r="AI362" s="19">
        <f t="shared" si="21"/>
        <v>13.174977970680043</v>
      </c>
      <c r="AJ362" s="2" t="s">
        <v>146</v>
      </c>
      <c r="AK362" s="13">
        <v>0</v>
      </c>
      <c r="AL362" s="13">
        <v>2.5</v>
      </c>
      <c r="AM362" s="19">
        <f>IF(Abschlüsse[[#This Row],[Ergeb]]="ET","",SQRT(($AF362-$AK362)^2+($AG362-$AL362)^2))</f>
        <v>25.238858928247925</v>
      </c>
      <c r="AN362" s="3">
        <v>0</v>
      </c>
      <c r="AO362" s="13"/>
      <c r="AP362" s="13"/>
      <c r="AQ362" s="19" t="str">
        <f t="shared" si="22"/>
        <v/>
      </c>
      <c r="AR362" s="3">
        <v>3</v>
      </c>
      <c r="AS362" s="13">
        <v>9</v>
      </c>
      <c r="AT362" s="13">
        <v>16</v>
      </c>
      <c r="AU362" s="19">
        <f t="shared" si="23"/>
        <v>9.013878188659973</v>
      </c>
    </row>
    <row r="363" spans="1:47" ht="25.05" customHeight="1">
      <c r="A363" s="3">
        <v>13</v>
      </c>
      <c r="B363" s="2" t="s">
        <v>76</v>
      </c>
      <c r="C363" s="17" t="str">
        <f>IF($A363="","",IF(VLOOKUP($A363,Spiele!$A$2:$D$17,3,FALSE)=$B363,"H","G"))</f>
        <v>G</v>
      </c>
      <c r="D363" s="17" t="str">
        <f>IF($B363="","",IF(VLOOKUP($A363,Spiele!$A$2:$F$17,3,FALSE)=$B363,VLOOKUP($A363,Spiele!$A$2:$F$17,4,FALSE),VLOOKUP($A363,Spiele!$A$2:$F$17,3,FALSE)))</f>
        <v>FCN</v>
      </c>
      <c r="E363" s="18">
        <f>IF(Abschlüsse[[#This Row],[Ergeb]]="ET",0,COUNTIFS($A$2:$A363,$A363,$B$2:$B363,$B363,$L$2:$L363,"&lt;&gt;ET"))</f>
        <v>12</v>
      </c>
      <c r="F363" s="11">
        <v>61</v>
      </c>
      <c r="G363" s="12">
        <v>2</v>
      </c>
      <c r="H363" s="18">
        <f>COUNTIFS('Rote Karten'!$A$2:$A$4,$A363,'Rote Karten'!$D$2:$D$4,"&lt;&gt;"&amp;$B363,'Rote Karten'!$B$2:$B$4,"&lt;"&amp;$F363,'Rote Karten'!$C$2:$C$4,"&lt;="&amp;$G363)-COUNTIFS('Rote Karten'!$A$2:$A$4,$A363,'Rote Karten'!$D$2:$D$4,$B363,'Rote Karten'!$B$2:$B$4,"&lt;"&amp;$F363,'Rote Karten'!$C$2:$C$4,"&lt;="&amp;$G363)</f>
        <v>0</v>
      </c>
      <c r="I363" s="17" t="str">
        <f>IF(OR($L363="Tor",$L363="ET"),_xlfn.IFNA(IF(VLOOKUP($A363,Spiele!$A$2:$C$17,3,FALSE)=$B363,COUNTIFS($L$2:$L363,"Tor",$B$2:$B363,$B363,$A$2:$A363,$A363)+COUNTIFS($L$2:$L363,"ET",$B$2:$B363,$B363,$A$2:$A363,$A363)&amp;":"&amp;COUNTIFS($L$2:$L363,"Tor",$B$2:$B363,"&lt;&gt;"&amp;$B363,$A$2:$A363,$A363)+COUNTIFS($L$2:$L363,"ET",$B$2:$B363,"&lt;&gt;"&amp;$B363,$A$2:$A363,$A363),COUNTIFS($L$2:$L363,"Tor",$B$2:$B363,"&lt;&gt;"&amp;$B363,$A$2:$A363,$A363)+COUNTIFS($L$2:$L363,"ET",$B$2:$B363,"&lt;&gt;"&amp;$B363,$A$2:$A363,$A363)&amp;":"&amp;COUNTIFS($L$2:$L363,"Tor",$B$2:$B363,$B363,$A$2:$A363,$A363)+COUNTIFS($L$2:$L363,"ET",$B$2:$B363,$B363,$A$2:$A363,$A363)),""),"")</f>
        <v>1:1</v>
      </c>
      <c r="J363" s="18">
        <f>_xlfn.IFNA(IF(VLOOKUP($A363,Spiele!$A$2:$D$17,3,FALSE)=$B363,(COUNTIFS($L$1:$L362,"Tor",$B$1:$B362,$B363,$A$1:$A362,$A363)+COUNTIFS($L$1:$L362,"ET",$B$1:$B362,$B363,$A$1:$A362,$A363))-(COUNTIFS($L$1:$L362,"Tor",$B$1:$B362,"&lt;&gt;"&amp;$B363,$A$1:$A362,$A363)+COUNTIFS($L$1:$L362,"ET",$B$1:$B362,"&lt;&gt;"&amp;$B363,$A$1:$A362,$A363)),(COUNTIFS($L$1:$L362,"Tor",$B$1:$B362,$B363,$A$1:$A362,$A363)+COUNTIFS($L$1:$L362,"ET",$B$1:$B362,$B363,$A$1:$A362,$A363))-(COUNTIFS($L$1:$L362,"Tor",$B$1:$B362,"&lt;&gt;"&amp;$B363,$A$1:$A362,$A363)+COUNTIFS($L$1:$L362,"ET",$B$1:$B362,"&lt;&gt;"&amp;$B363,$A$1:$A362,$A363))),"")</f>
        <v>-1</v>
      </c>
      <c r="K363" s="3">
        <v>20</v>
      </c>
      <c r="L363" s="17" t="s">
        <v>0</v>
      </c>
      <c r="M363" s="2" t="s">
        <v>163</v>
      </c>
      <c r="N363" s="2" t="s">
        <v>152</v>
      </c>
      <c r="O363" s="17"/>
      <c r="AA363" s="2" t="s">
        <v>151</v>
      </c>
      <c r="AB363" s="17" t="s">
        <v>149</v>
      </c>
      <c r="AC363" s="14" t="s">
        <v>150</v>
      </c>
      <c r="AD363" s="14" t="s">
        <v>156</v>
      </c>
      <c r="AE363" s="18"/>
      <c r="AF363" s="13">
        <v>-8.5</v>
      </c>
      <c r="AG363" s="13">
        <v>7</v>
      </c>
      <c r="AH363" s="19">
        <f t="shared" si="20"/>
        <v>8.5103231431009725</v>
      </c>
      <c r="AI363" s="19">
        <f t="shared" si="21"/>
        <v>25.411688271902904</v>
      </c>
      <c r="AJ363" s="2" t="s">
        <v>146</v>
      </c>
      <c r="AK363" s="13">
        <v>-3</v>
      </c>
      <c r="AL363" s="13">
        <v>0.5</v>
      </c>
      <c r="AM363" s="19">
        <f>IF(Abschlüsse[[#This Row],[Ergeb]]="ET","",SQRT(($AF363-$AK363)^2+($AG363-$AL363)^2))</f>
        <v>8.5146931829632013</v>
      </c>
      <c r="AN363" s="3">
        <v>1</v>
      </c>
      <c r="AO363" s="13">
        <v>-5</v>
      </c>
      <c r="AP363" s="13">
        <v>6.5</v>
      </c>
      <c r="AQ363" s="19">
        <f t="shared" si="22"/>
        <v>3.5355339059327378</v>
      </c>
      <c r="AR363" s="3">
        <v>0</v>
      </c>
      <c r="AU363" s="19" t="str">
        <f t="shared" si="23"/>
        <v/>
      </c>
    </row>
    <row r="364" spans="1:47" ht="25.05" customHeight="1">
      <c r="A364" s="3">
        <v>13</v>
      </c>
      <c r="B364" s="2" t="s">
        <v>76</v>
      </c>
      <c r="C364" s="17" t="str">
        <f>IF($A364="","",IF(VLOOKUP($A364,Spiele!$A$2:$D$17,3,FALSE)=$B364,"H","G"))</f>
        <v>G</v>
      </c>
      <c r="D364" s="17" t="str">
        <f>IF($B364="","",IF(VLOOKUP($A364,Spiele!$A$2:$F$17,3,FALSE)=$B364,VLOOKUP($A364,Spiele!$A$2:$F$17,4,FALSE),VLOOKUP($A364,Spiele!$A$2:$F$17,3,FALSE)))</f>
        <v>FCN</v>
      </c>
      <c r="E364" s="18">
        <f>IF(Abschlüsse[[#This Row],[Ergeb]]="ET",0,COUNTIFS($A$2:$A364,$A364,$B$2:$B364,$B364,$L$2:$L364,"&lt;&gt;ET"))</f>
        <v>13</v>
      </c>
      <c r="F364" s="11">
        <v>65</v>
      </c>
      <c r="G364" s="12">
        <v>2</v>
      </c>
      <c r="H364" s="18">
        <f>COUNTIFS('Rote Karten'!$A$2:$A$4,$A364,'Rote Karten'!$D$2:$D$4,"&lt;&gt;"&amp;$B364,'Rote Karten'!$B$2:$B$4,"&lt;"&amp;$F364,'Rote Karten'!$C$2:$C$4,"&lt;="&amp;$G364)-COUNTIFS('Rote Karten'!$A$2:$A$4,$A364,'Rote Karten'!$D$2:$D$4,$B364,'Rote Karten'!$B$2:$B$4,"&lt;"&amp;$F364,'Rote Karten'!$C$2:$C$4,"&lt;="&amp;$G364)</f>
        <v>0</v>
      </c>
      <c r="I364" s="17" t="str">
        <f>IF(OR($L364="Tor",$L364="ET"),_xlfn.IFNA(IF(VLOOKUP($A364,Spiele!$A$2:$C$17,3,FALSE)=$B364,COUNTIFS($L$2:$L364,"Tor",$B$2:$B364,$B364,$A$2:$A364,$A364)+COUNTIFS($L$2:$L364,"ET",$B$2:$B364,$B364,$A$2:$A364,$A364)&amp;":"&amp;COUNTIFS($L$2:$L364,"Tor",$B$2:$B364,"&lt;&gt;"&amp;$B364,$A$2:$A364,$A364)+COUNTIFS($L$2:$L364,"ET",$B$2:$B364,"&lt;&gt;"&amp;$B364,$A$2:$A364,$A364),COUNTIFS($L$2:$L364,"Tor",$B$2:$B364,"&lt;&gt;"&amp;$B364,$A$2:$A364,$A364)+COUNTIFS($L$2:$L364,"ET",$B$2:$B364,"&lt;&gt;"&amp;$B364,$A$2:$A364,$A364)&amp;":"&amp;COUNTIFS($L$2:$L364,"Tor",$B$2:$B364,$B364,$A$2:$A364,$A364)+COUNTIFS($L$2:$L364,"ET",$B$2:$B364,$B364,$A$2:$A364,$A364)),""),"")</f>
        <v/>
      </c>
      <c r="J364" s="18">
        <f>_xlfn.IFNA(IF(VLOOKUP($A364,Spiele!$A$2:$D$17,3,FALSE)=$B364,(COUNTIFS($L$1:$L363,"Tor",$B$1:$B363,$B364,$A$1:$A363,$A364)+COUNTIFS($L$1:$L363,"ET",$B$1:$B363,$B364,$A$1:$A363,$A364))-(COUNTIFS($L$1:$L363,"Tor",$B$1:$B363,"&lt;&gt;"&amp;$B364,$A$1:$A363,$A364)+COUNTIFS($L$1:$L363,"ET",$B$1:$B363,"&lt;&gt;"&amp;$B364,$A$1:$A363,$A364)),(COUNTIFS($L$1:$L363,"Tor",$B$1:$B363,$B364,$A$1:$A363,$A364)+COUNTIFS($L$1:$L363,"ET",$B$1:$B363,$B364,$A$1:$A363,$A364))-(COUNTIFS($L$1:$L363,"Tor",$B$1:$B363,"&lt;&gt;"&amp;$B364,$A$1:$A363,$A364)+COUNTIFS($L$1:$L363,"ET",$B$1:$B363,"&lt;&gt;"&amp;$B364,$A$1:$A363,$A364))),"")</f>
        <v>0</v>
      </c>
      <c r="K364" s="3">
        <v>21</v>
      </c>
      <c r="L364" s="17" t="s">
        <v>18</v>
      </c>
      <c r="M364" s="2" t="s">
        <v>163</v>
      </c>
      <c r="N364" s="2" t="s">
        <v>3</v>
      </c>
      <c r="O364" s="17"/>
      <c r="AA364" s="2" t="s">
        <v>141</v>
      </c>
      <c r="AB364" s="17" t="s">
        <v>143</v>
      </c>
      <c r="AC364" s="14" t="s">
        <v>150</v>
      </c>
      <c r="AD364" s="14" t="s">
        <v>156</v>
      </c>
      <c r="AE364" s="18"/>
      <c r="AF364" s="13">
        <v>4.5</v>
      </c>
      <c r="AG364" s="13">
        <v>11</v>
      </c>
      <c r="AH364" s="19">
        <f t="shared" si="20"/>
        <v>11.032026105842935</v>
      </c>
      <c r="AI364" s="19">
        <f t="shared" si="21"/>
        <v>32.201857009576806</v>
      </c>
      <c r="AJ364" s="2" t="s">
        <v>146</v>
      </c>
      <c r="AK364" s="13">
        <v>1</v>
      </c>
      <c r="AL364" s="13">
        <v>0.5</v>
      </c>
      <c r="AM364" s="19">
        <f>IF(Abschlüsse[[#This Row],[Ergeb]]="ET","",SQRT(($AF364-$AK364)^2+($AG364-$AL364)^2))</f>
        <v>11.067971810589327</v>
      </c>
      <c r="AN364" s="3">
        <v>1</v>
      </c>
      <c r="AO364" s="13">
        <v>4.5</v>
      </c>
      <c r="AP364" s="13">
        <v>9</v>
      </c>
      <c r="AQ364" s="19">
        <f t="shared" si="22"/>
        <v>2</v>
      </c>
      <c r="AR364" s="3">
        <v>1</v>
      </c>
      <c r="AS364" s="13">
        <v>4</v>
      </c>
      <c r="AT364" s="13">
        <v>5.5</v>
      </c>
      <c r="AU364" s="19">
        <f t="shared" si="23"/>
        <v>5.5226805085936306</v>
      </c>
    </row>
    <row r="365" spans="1:47" ht="25.05" customHeight="1">
      <c r="A365" s="3">
        <v>13</v>
      </c>
      <c r="B365" s="2" t="s">
        <v>8</v>
      </c>
      <c r="C365" s="17" t="str">
        <f>IF($A365="","",IF(VLOOKUP($A365,Spiele!$A$2:$D$17,3,FALSE)=$B365,"H","G"))</f>
        <v>H</v>
      </c>
      <c r="D365" s="17" t="str">
        <f>IF($B365="","",IF(VLOOKUP($A365,Spiele!$A$2:$F$17,3,FALSE)=$B365,VLOOKUP($A365,Spiele!$A$2:$F$17,4,FALSE),VLOOKUP($A365,Spiele!$A$2:$F$17,3,FALSE)))</f>
        <v>60M</v>
      </c>
      <c r="E365" s="18">
        <f>IF(Abschlüsse[[#This Row],[Ergeb]]="ET",0,COUNTIFS($A$2:$A365,$A365,$B$2:$B365,$B365,$L$2:$L365,"&lt;&gt;ET"))</f>
        <v>12</v>
      </c>
      <c r="F365" s="11">
        <v>68</v>
      </c>
      <c r="G365" s="12">
        <v>2</v>
      </c>
      <c r="H365" s="18">
        <f>COUNTIFS('Rote Karten'!$A$2:$A$4,$A365,'Rote Karten'!$D$2:$D$4,"&lt;&gt;"&amp;$B365,'Rote Karten'!$B$2:$B$4,"&lt;"&amp;$F365,'Rote Karten'!$C$2:$C$4,"&lt;="&amp;$G365)-COUNTIFS('Rote Karten'!$A$2:$A$4,$A365,'Rote Karten'!$D$2:$D$4,$B365,'Rote Karten'!$B$2:$B$4,"&lt;"&amp;$F365,'Rote Karten'!$C$2:$C$4,"&lt;="&amp;$G365)</f>
        <v>0</v>
      </c>
      <c r="I365" s="17" t="str">
        <f>IF(OR($L365="Tor",$L365="ET"),_xlfn.IFNA(IF(VLOOKUP($A365,Spiele!$A$2:$C$17,3,FALSE)=$B365,COUNTIFS($L$2:$L365,"Tor",$B$2:$B365,$B365,$A$2:$A365,$A365)+COUNTIFS($L$2:$L365,"ET",$B$2:$B365,$B365,$A$2:$A365,$A365)&amp;":"&amp;COUNTIFS($L$2:$L365,"Tor",$B$2:$B365,"&lt;&gt;"&amp;$B365,$A$2:$A365,$A365)+COUNTIFS($L$2:$L365,"ET",$B$2:$B365,"&lt;&gt;"&amp;$B365,$A$2:$A365,$A365),COUNTIFS($L$2:$L365,"Tor",$B$2:$B365,"&lt;&gt;"&amp;$B365,$A$2:$A365,$A365)+COUNTIFS($L$2:$L365,"ET",$B$2:$B365,"&lt;&gt;"&amp;$B365,$A$2:$A365,$A365)&amp;":"&amp;COUNTIFS($L$2:$L365,"Tor",$B$2:$B365,$B365,$A$2:$A365,$A365)+COUNTIFS($L$2:$L365,"ET",$B$2:$B365,$B365,$A$2:$A365,$A365)),""),"")</f>
        <v/>
      </c>
      <c r="J365" s="18">
        <f>_xlfn.IFNA(IF(VLOOKUP($A365,Spiele!$A$2:$D$17,3,FALSE)=$B365,(COUNTIFS($L$1:$L364,"Tor",$B$1:$B364,$B365,$A$1:$A364,$A365)+COUNTIFS($L$1:$L364,"ET",$B$1:$B364,$B365,$A$1:$A364,$A365))-(COUNTIFS($L$1:$L364,"Tor",$B$1:$B364,"&lt;&gt;"&amp;$B365,$A$1:$A364,$A365)+COUNTIFS($L$1:$L364,"ET",$B$1:$B364,"&lt;&gt;"&amp;$B365,$A$1:$A364,$A365)),(COUNTIFS($L$1:$L364,"Tor",$B$1:$B364,$B365,$A$1:$A364,$A365)+COUNTIFS($L$1:$L364,"ET",$B$1:$B364,$B365,$A$1:$A364,$A365))-(COUNTIFS($L$1:$L364,"Tor",$B$1:$B364,"&lt;&gt;"&amp;$B365,$A$1:$A364,$A365)+COUNTIFS($L$1:$L364,"ET",$B$1:$B364,"&lt;&gt;"&amp;$B365,$A$1:$A364,$A365))),"")</f>
        <v>0</v>
      </c>
      <c r="K365" s="3">
        <v>22</v>
      </c>
      <c r="L365" s="17" t="s">
        <v>20</v>
      </c>
      <c r="M365" s="2" t="s">
        <v>140</v>
      </c>
      <c r="N365" s="2" t="s">
        <v>153</v>
      </c>
      <c r="O365" s="17">
        <v>8</v>
      </c>
      <c r="P365" s="2">
        <v>5</v>
      </c>
      <c r="Q365" s="2">
        <v>8</v>
      </c>
      <c r="R365" s="2">
        <v>6</v>
      </c>
      <c r="AA365" s="2" t="s">
        <v>154</v>
      </c>
      <c r="AB365" s="17" t="s">
        <v>160</v>
      </c>
      <c r="AC365" s="14" t="s">
        <v>161</v>
      </c>
      <c r="AD365" s="14" t="s">
        <v>145</v>
      </c>
      <c r="AE365" s="18">
        <v>16</v>
      </c>
      <c r="AF365" s="13">
        <v>-5.5</v>
      </c>
      <c r="AG365" s="13">
        <v>4</v>
      </c>
      <c r="AH365" s="19">
        <f t="shared" si="20"/>
        <v>4.4029081298614443</v>
      </c>
      <c r="AI365" s="19">
        <f t="shared" si="21"/>
        <v>41.707579601485392</v>
      </c>
      <c r="AJ365" s="2" t="s">
        <v>169</v>
      </c>
      <c r="AK365" s="13">
        <v>-4</v>
      </c>
      <c r="AL365" s="13">
        <v>3</v>
      </c>
      <c r="AM365" s="19">
        <f>IF(Abschlüsse[[#This Row],[Ergeb]]="ET","",SQRT(($AF365-$AK365)^2+($AG365-$AL365)^2))</f>
        <v>1.8027756377319946</v>
      </c>
      <c r="AN365" s="3">
        <v>1</v>
      </c>
      <c r="AO365" s="13">
        <v>-5.5</v>
      </c>
      <c r="AP365" s="13">
        <v>3.5</v>
      </c>
      <c r="AQ365" s="19">
        <f t="shared" si="22"/>
        <v>0.5</v>
      </c>
      <c r="AR365" s="3">
        <v>2</v>
      </c>
      <c r="AS365" s="13">
        <v>0.5</v>
      </c>
      <c r="AT365" s="13">
        <v>1.5</v>
      </c>
      <c r="AU365" s="19">
        <f t="shared" si="23"/>
        <v>6.5</v>
      </c>
    </row>
    <row r="366" spans="1:47" ht="25.05" customHeight="1">
      <c r="A366" s="3">
        <v>13</v>
      </c>
      <c r="B366" s="2" t="s">
        <v>8</v>
      </c>
      <c r="C366" s="17" t="str">
        <f>IF($A366="","",IF(VLOOKUP($A366,Spiele!$A$2:$D$17,3,FALSE)=$B366,"H","G"))</f>
        <v>H</v>
      </c>
      <c r="D366" s="17" t="str">
        <f>IF($B366="","",IF(VLOOKUP($A366,Spiele!$A$2:$F$17,3,FALSE)=$B366,VLOOKUP($A366,Spiele!$A$2:$F$17,4,FALSE),VLOOKUP($A366,Spiele!$A$2:$F$17,3,FALSE)))</f>
        <v>60M</v>
      </c>
      <c r="E366" s="18">
        <f>IF(Abschlüsse[[#This Row],[Ergeb]]="ET",0,COUNTIFS($A$2:$A366,$A366,$B$2:$B366,$B366,$L$2:$L366,"&lt;&gt;ET"))</f>
        <v>13</v>
      </c>
      <c r="F366" s="11">
        <v>71</v>
      </c>
      <c r="G366" s="12">
        <v>2</v>
      </c>
      <c r="H366" s="18">
        <f>COUNTIFS('Rote Karten'!$A$2:$A$4,$A366,'Rote Karten'!$D$2:$D$4,"&lt;&gt;"&amp;$B366,'Rote Karten'!$B$2:$B$4,"&lt;"&amp;$F366,'Rote Karten'!$C$2:$C$4,"&lt;="&amp;$G366)-COUNTIFS('Rote Karten'!$A$2:$A$4,$A366,'Rote Karten'!$D$2:$D$4,$B366,'Rote Karten'!$B$2:$B$4,"&lt;"&amp;$F366,'Rote Karten'!$C$2:$C$4,"&lt;="&amp;$G366)</f>
        <v>0</v>
      </c>
      <c r="I366" s="17" t="str">
        <f>IF(OR($L366="Tor",$L366="ET"),_xlfn.IFNA(IF(VLOOKUP($A366,Spiele!$A$2:$C$17,3,FALSE)=$B366,COUNTIFS($L$2:$L366,"Tor",$B$2:$B366,$B366,$A$2:$A366,$A366)+COUNTIFS($L$2:$L366,"ET",$B$2:$B366,$B366,$A$2:$A366,$A366)&amp;":"&amp;COUNTIFS($L$2:$L366,"Tor",$B$2:$B366,"&lt;&gt;"&amp;$B366,$A$2:$A366,$A366)+COUNTIFS($L$2:$L366,"ET",$B$2:$B366,"&lt;&gt;"&amp;$B366,$A$2:$A366,$A366),COUNTIFS($L$2:$L366,"Tor",$B$2:$B366,"&lt;&gt;"&amp;$B366,$A$2:$A366,$A366)+COUNTIFS($L$2:$L366,"ET",$B$2:$B366,"&lt;&gt;"&amp;$B366,$A$2:$A366,$A366)&amp;":"&amp;COUNTIFS($L$2:$L366,"Tor",$B$2:$B366,$B366,$A$2:$A366,$A366)+COUNTIFS($L$2:$L366,"ET",$B$2:$B366,$B366,$A$2:$A366,$A366)),""),"")</f>
        <v/>
      </c>
      <c r="J366" s="18">
        <f>_xlfn.IFNA(IF(VLOOKUP($A366,Spiele!$A$2:$D$17,3,FALSE)=$B366,(COUNTIFS($L$1:$L365,"Tor",$B$1:$B365,$B366,$A$1:$A365,$A366)+COUNTIFS($L$1:$L365,"ET",$B$1:$B365,$B366,$A$1:$A365,$A366))-(COUNTIFS($L$1:$L365,"Tor",$B$1:$B365,"&lt;&gt;"&amp;$B366,$A$1:$A365,$A366)+COUNTIFS($L$1:$L365,"ET",$B$1:$B365,"&lt;&gt;"&amp;$B366,$A$1:$A365,$A366)),(COUNTIFS($L$1:$L365,"Tor",$B$1:$B365,$B366,$A$1:$A365,$A366)+COUNTIFS($L$1:$L365,"ET",$B$1:$B365,$B366,$A$1:$A365,$A366))-(COUNTIFS($L$1:$L365,"Tor",$B$1:$B365,"&lt;&gt;"&amp;$B366,$A$1:$A365,$A366)+COUNTIFS($L$1:$L365,"ET",$B$1:$B365,"&lt;&gt;"&amp;$B366,$A$1:$A365,$A366))),"")</f>
        <v>0</v>
      </c>
      <c r="K366" s="3">
        <v>23</v>
      </c>
      <c r="L366" s="17" t="s">
        <v>19</v>
      </c>
      <c r="M366" s="2" t="s">
        <v>147</v>
      </c>
      <c r="N366" s="2" t="s">
        <v>158</v>
      </c>
      <c r="O366" s="17">
        <v>7</v>
      </c>
      <c r="P366" s="2">
        <v>18</v>
      </c>
      <c r="Q366" s="2">
        <v>8</v>
      </c>
      <c r="R366" s="2">
        <v>7</v>
      </c>
      <c r="S366" s="2">
        <v>23</v>
      </c>
      <c r="T366" s="2">
        <v>6</v>
      </c>
      <c r="U366" s="2">
        <v>5</v>
      </c>
      <c r="V366" s="2">
        <v>16</v>
      </c>
      <c r="W366" s="2">
        <v>20</v>
      </c>
      <c r="AA366" s="2" t="s">
        <v>142</v>
      </c>
      <c r="AB366" s="17" t="s">
        <v>149</v>
      </c>
      <c r="AC366" s="14" t="s">
        <v>150</v>
      </c>
      <c r="AD366" s="14" t="s">
        <v>156</v>
      </c>
      <c r="AE366" s="18">
        <v>10</v>
      </c>
      <c r="AF366" s="13">
        <v>2.5</v>
      </c>
      <c r="AG366" s="13">
        <v>15</v>
      </c>
      <c r="AH366" s="19">
        <f t="shared" si="20"/>
        <v>15</v>
      </c>
      <c r="AI366" s="19">
        <f t="shared" si="21"/>
        <v>26.748394088035369</v>
      </c>
      <c r="AJ366" s="2" t="s">
        <v>146</v>
      </c>
      <c r="AK366" s="13">
        <v>0</v>
      </c>
      <c r="AL366" s="13">
        <v>3.5</v>
      </c>
      <c r="AM366" s="19">
        <f>IF(Abschlüsse[[#This Row],[Ergeb]]="ET","",SQRT(($AF366-$AK366)^2+($AG366-$AL366)^2))</f>
        <v>11.76860229593982</v>
      </c>
      <c r="AN366" s="3">
        <v>0</v>
      </c>
      <c r="AO366" s="13"/>
      <c r="AP366" s="13"/>
      <c r="AQ366" s="19" t="str">
        <f t="shared" si="22"/>
        <v/>
      </c>
      <c r="AR366" s="3">
        <v>3</v>
      </c>
      <c r="AS366" s="13">
        <v>1.5</v>
      </c>
      <c r="AT366" s="13">
        <v>11</v>
      </c>
      <c r="AU366" s="19">
        <f t="shared" si="23"/>
        <v>4.1231056256176606</v>
      </c>
    </row>
    <row r="367" spans="1:47" ht="25.05" customHeight="1">
      <c r="A367" s="3">
        <v>13</v>
      </c>
      <c r="B367" s="2" t="s">
        <v>8</v>
      </c>
      <c r="C367" s="17" t="str">
        <f>IF($A367="","",IF(VLOOKUP($A367,Spiele!$A$2:$D$17,3,FALSE)=$B367,"H","G"))</f>
        <v>H</v>
      </c>
      <c r="D367" s="17" t="str">
        <f>IF($B367="","",IF(VLOOKUP($A367,Spiele!$A$2:$F$17,3,FALSE)=$B367,VLOOKUP($A367,Spiele!$A$2:$F$17,4,FALSE),VLOOKUP($A367,Spiele!$A$2:$F$17,3,FALSE)))</f>
        <v>60M</v>
      </c>
      <c r="E367" s="18">
        <f>IF(Abschlüsse[[#This Row],[Ergeb]]="ET",0,COUNTIFS($A$2:$A367,$A367,$B$2:$B367,$B367,$L$2:$L367,"&lt;&gt;ET"))</f>
        <v>14</v>
      </c>
      <c r="F367" s="11">
        <v>73</v>
      </c>
      <c r="G367" s="12">
        <v>2</v>
      </c>
      <c r="H367" s="18">
        <f>COUNTIFS('Rote Karten'!$A$2:$A$4,$A367,'Rote Karten'!$D$2:$D$4,"&lt;&gt;"&amp;$B367,'Rote Karten'!$B$2:$B$4,"&lt;"&amp;$F367,'Rote Karten'!$C$2:$C$4,"&lt;="&amp;$G367)-COUNTIFS('Rote Karten'!$A$2:$A$4,$A367,'Rote Karten'!$D$2:$D$4,$B367,'Rote Karten'!$B$2:$B$4,"&lt;"&amp;$F367,'Rote Karten'!$C$2:$C$4,"&lt;="&amp;$G367)</f>
        <v>0</v>
      </c>
      <c r="I367" s="17" t="str">
        <f>IF(OR($L367="Tor",$L367="ET"),_xlfn.IFNA(IF(VLOOKUP($A367,Spiele!$A$2:$C$17,3,FALSE)=$B367,COUNTIFS($L$2:$L367,"Tor",$B$2:$B367,$B367,$A$2:$A367,$A367)+COUNTIFS($L$2:$L367,"ET",$B$2:$B367,$B367,$A$2:$A367,$A367)&amp;":"&amp;COUNTIFS($L$2:$L367,"Tor",$B$2:$B367,"&lt;&gt;"&amp;$B367,$A$2:$A367,$A367)+COUNTIFS($L$2:$L367,"ET",$B$2:$B367,"&lt;&gt;"&amp;$B367,$A$2:$A367,$A367),COUNTIFS($L$2:$L367,"Tor",$B$2:$B367,"&lt;&gt;"&amp;$B367,$A$2:$A367,$A367)+COUNTIFS($L$2:$L367,"ET",$B$2:$B367,"&lt;&gt;"&amp;$B367,$A$2:$A367,$A367)&amp;":"&amp;COUNTIFS($L$2:$L367,"Tor",$B$2:$B367,$B367,$A$2:$A367,$A367)+COUNTIFS($L$2:$L367,"ET",$B$2:$B367,$B367,$A$2:$A367,$A367)),""),"")</f>
        <v/>
      </c>
      <c r="J367" s="18">
        <f>_xlfn.IFNA(IF(VLOOKUP($A367,Spiele!$A$2:$D$17,3,FALSE)=$B367,(COUNTIFS($L$1:$L366,"Tor",$B$1:$B366,$B367,$A$1:$A366,$A367)+COUNTIFS($L$1:$L366,"ET",$B$1:$B366,$B367,$A$1:$A366,$A367))-(COUNTIFS($L$1:$L366,"Tor",$B$1:$B366,"&lt;&gt;"&amp;$B367,$A$1:$A366,$A367)+COUNTIFS($L$1:$L366,"ET",$B$1:$B366,"&lt;&gt;"&amp;$B367,$A$1:$A366,$A367)),(COUNTIFS($L$1:$L366,"Tor",$B$1:$B366,$B367,$A$1:$A366,$A367)+COUNTIFS($L$1:$L366,"ET",$B$1:$B366,$B367,$A$1:$A366,$A367))-(COUNTIFS($L$1:$L366,"Tor",$B$1:$B366,"&lt;&gt;"&amp;$B367,$A$1:$A366,$A367)+COUNTIFS($L$1:$L366,"ET",$B$1:$B366,"&lt;&gt;"&amp;$B367,$A$1:$A366,$A367))),"")</f>
        <v>0</v>
      </c>
      <c r="K367" s="3">
        <v>24</v>
      </c>
      <c r="L367" s="17" t="s">
        <v>19</v>
      </c>
      <c r="M367" s="2" t="s">
        <v>163</v>
      </c>
      <c r="N367" s="2" t="s">
        <v>164</v>
      </c>
      <c r="O367" s="17">
        <v>18</v>
      </c>
      <c r="P367" s="2">
        <v>5</v>
      </c>
      <c r="Q367" s="2">
        <v>18</v>
      </c>
      <c r="AA367" s="2" t="s">
        <v>151</v>
      </c>
      <c r="AB367" s="17" t="s">
        <v>143</v>
      </c>
      <c r="AC367" s="14" t="s">
        <v>150</v>
      </c>
      <c r="AD367" s="14" t="s">
        <v>145</v>
      </c>
      <c r="AE367" s="18">
        <v>7</v>
      </c>
      <c r="AF367" s="13">
        <v>-13.5</v>
      </c>
      <c r="AG367" s="13">
        <v>16.5</v>
      </c>
      <c r="AH367" s="19">
        <f t="shared" si="20"/>
        <v>19.211340400919454</v>
      </c>
      <c r="AI367" s="19">
        <f t="shared" si="21"/>
        <v>15.312989252529659</v>
      </c>
      <c r="AJ367" s="2" t="s">
        <v>146</v>
      </c>
      <c r="AK367" s="13">
        <v>-3.5</v>
      </c>
      <c r="AL367" s="13">
        <v>2</v>
      </c>
      <c r="AM367" s="19">
        <f>IF(Abschlüsse[[#This Row],[Ergeb]]="ET","",SQRT(($AF367-$AK367)^2+($AG367-$AL367)^2))</f>
        <v>17.613914953808536</v>
      </c>
      <c r="AN367" s="3">
        <v>2</v>
      </c>
      <c r="AO367" s="13">
        <v>-12.5</v>
      </c>
      <c r="AP367" s="13">
        <v>17.5</v>
      </c>
      <c r="AQ367" s="19">
        <f t="shared" si="22"/>
        <v>1.4142135623730951</v>
      </c>
      <c r="AR367" s="3">
        <v>0</v>
      </c>
      <c r="AU367" s="19" t="str">
        <f t="shared" si="23"/>
        <v/>
      </c>
    </row>
    <row r="368" spans="1:47" ht="25.05" customHeight="1">
      <c r="A368" s="3">
        <v>13</v>
      </c>
      <c r="B368" s="2" t="s">
        <v>8</v>
      </c>
      <c r="C368" s="17" t="str">
        <f>IF($A368="","",IF(VLOOKUP($A368,Spiele!$A$2:$D$17,3,FALSE)=$B368,"H","G"))</f>
        <v>H</v>
      </c>
      <c r="D368" s="17" t="str">
        <f>IF($B368="","",IF(VLOOKUP($A368,Spiele!$A$2:$F$17,3,FALSE)=$B368,VLOOKUP($A368,Spiele!$A$2:$F$17,4,FALSE),VLOOKUP($A368,Spiele!$A$2:$F$17,3,FALSE)))</f>
        <v>60M</v>
      </c>
      <c r="E368" s="18">
        <f>IF(Abschlüsse[[#This Row],[Ergeb]]="ET",0,COUNTIFS($A$2:$A368,$A368,$B$2:$B368,$B368,$L$2:$L368,"&lt;&gt;ET"))</f>
        <v>15</v>
      </c>
      <c r="F368" s="11">
        <v>77</v>
      </c>
      <c r="G368" s="12">
        <v>2</v>
      </c>
      <c r="H368" s="18">
        <f>COUNTIFS('Rote Karten'!$A$2:$A$4,$A368,'Rote Karten'!$D$2:$D$4,"&lt;&gt;"&amp;$B368,'Rote Karten'!$B$2:$B$4,"&lt;"&amp;$F368,'Rote Karten'!$C$2:$C$4,"&lt;="&amp;$G368)-COUNTIFS('Rote Karten'!$A$2:$A$4,$A368,'Rote Karten'!$D$2:$D$4,$B368,'Rote Karten'!$B$2:$B$4,"&lt;"&amp;$F368,'Rote Karten'!$C$2:$C$4,"&lt;="&amp;$G368)</f>
        <v>0</v>
      </c>
      <c r="I368" s="17" t="str">
        <f>IF(OR($L368="Tor",$L368="ET"),_xlfn.IFNA(IF(VLOOKUP($A368,Spiele!$A$2:$C$17,3,FALSE)=$B368,COUNTIFS($L$2:$L368,"Tor",$B$2:$B368,$B368,$A$2:$A368,$A368)+COUNTIFS($L$2:$L368,"ET",$B$2:$B368,$B368,$A$2:$A368,$A368)&amp;":"&amp;COUNTIFS($L$2:$L368,"Tor",$B$2:$B368,"&lt;&gt;"&amp;$B368,$A$2:$A368,$A368)+COUNTIFS($L$2:$L368,"ET",$B$2:$B368,"&lt;&gt;"&amp;$B368,$A$2:$A368,$A368),COUNTIFS($L$2:$L368,"Tor",$B$2:$B368,"&lt;&gt;"&amp;$B368,$A$2:$A368,$A368)+COUNTIFS($L$2:$L368,"ET",$B$2:$B368,"&lt;&gt;"&amp;$B368,$A$2:$A368,$A368)&amp;":"&amp;COUNTIFS($L$2:$L368,"Tor",$B$2:$B368,$B368,$A$2:$A368,$A368)+COUNTIFS($L$2:$L368,"ET",$B$2:$B368,$B368,$A$2:$A368,$A368)),""),"")</f>
        <v/>
      </c>
      <c r="J368" s="18">
        <f>_xlfn.IFNA(IF(VLOOKUP($A368,Spiele!$A$2:$D$17,3,FALSE)=$B368,(COUNTIFS($L$1:$L367,"Tor",$B$1:$B367,$B368,$A$1:$A367,$A368)+COUNTIFS($L$1:$L367,"ET",$B$1:$B367,$B368,$A$1:$A367,$A368))-(COUNTIFS($L$1:$L367,"Tor",$B$1:$B367,"&lt;&gt;"&amp;$B368,$A$1:$A367,$A368)+COUNTIFS($L$1:$L367,"ET",$B$1:$B367,"&lt;&gt;"&amp;$B368,$A$1:$A367,$A368)),(COUNTIFS($L$1:$L367,"Tor",$B$1:$B367,$B368,$A$1:$A367,$A368)+COUNTIFS($L$1:$L367,"ET",$B$1:$B367,$B368,$A$1:$A367,$A368))-(COUNTIFS($L$1:$L367,"Tor",$B$1:$B367,"&lt;&gt;"&amp;$B368,$A$1:$A367,$A368)+COUNTIFS($L$1:$L367,"ET",$B$1:$B367,"&lt;&gt;"&amp;$B368,$A$1:$A367,$A368))),"")</f>
        <v>0</v>
      </c>
      <c r="K368" s="3">
        <v>25</v>
      </c>
      <c r="L368" s="17" t="s">
        <v>20</v>
      </c>
      <c r="M368" s="2" t="s">
        <v>163</v>
      </c>
      <c r="N368" s="2" t="s">
        <v>158</v>
      </c>
      <c r="O368" s="17">
        <v>10</v>
      </c>
      <c r="AA368" s="2" t="s">
        <v>151</v>
      </c>
      <c r="AB368" s="17" t="s">
        <v>143</v>
      </c>
      <c r="AC368" s="14" t="s">
        <v>150</v>
      </c>
      <c r="AD368" s="14" t="s">
        <v>156</v>
      </c>
      <c r="AE368" s="18">
        <v>6</v>
      </c>
      <c r="AF368" s="13">
        <v>14.5</v>
      </c>
      <c r="AG368" s="13">
        <v>14</v>
      </c>
      <c r="AH368" s="19">
        <f t="shared" si="20"/>
        <v>17.7060893480181</v>
      </c>
      <c r="AI368" s="19">
        <f t="shared" si="21"/>
        <v>14.620361026676797</v>
      </c>
      <c r="AJ368" s="2" t="s">
        <v>146</v>
      </c>
      <c r="AK368" s="13">
        <v>2.5</v>
      </c>
      <c r="AL368" s="13">
        <v>1.5</v>
      </c>
      <c r="AM368" s="19">
        <f>IF(Abschlüsse[[#This Row],[Ergeb]]="ET","",SQRT(($AF368-$AK368)^2+($AG368-$AL368)^2))</f>
        <v>17.327723451163457</v>
      </c>
      <c r="AN368" s="3">
        <v>1</v>
      </c>
      <c r="AO368" s="13">
        <v>14</v>
      </c>
      <c r="AP368" s="13">
        <v>14</v>
      </c>
      <c r="AQ368" s="19">
        <f t="shared" si="22"/>
        <v>0.5</v>
      </c>
      <c r="AR368" s="3">
        <v>2</v>
      </c>
      <c r="AS368" s="13">
        <v>8.5</v>
      </c>
      <c r="AT368" s="13">
        <v>8</v>
      </c>
      <c r="AU368" s="19">
        <f t="shared" si="23"/>
        <v>8.4852813742385695</v>
      </c>
    </row>
    <row r="369" spans="1:47" ht="25.05" customHeight="1">
      <c r="A369" s="3">
        <v>13</v>
      </c>
      <c r="B369" s="2" t="s">
        <v>76</v>
      </c>
      <c r="C369" s="17" t="str">
        <f>IF($A369="","",IF(VLOOKUP($A369,Spiele!$A$2:$D$17,3,FALSE)=$B369,"H","G"))</f>
        <v>G</v>
      </c>
      <c r="D369" s="17" t="str">
        <f>IF($B369="","",IF(VLOOKUP($A369,Spiele!$A$2:$F$17,3,FALSE)=$B369,VLOOKUP($A369,Spiele!$A$2:$F$17,4,FALSE),VLOOKUP($A369,Spiele!$A$2:$F$17,3,FALSE)))</f>
        <v>FCN</v>
      </c>
      <c r="E369" s="18">
        <f>IF(Abschlüsse[[#This Row],[Ergeb]]="ET",0,COUNTIFS($A$2:$A369,$A369,$B$2:$B369,$B369,$L$2:$L369,"&lt;&gt;ET"))</f>
        <v>14</v>
      </c>
      <c r="F369" s="11">
        <v>83</v>
      </c>
      <c r="G369" s="12">
        <v>2</v>
      </c>
      <c r="H369" s="18">
        <f>COUNTIFS('Rote Karten'!$A$2:$A$4,$A369,'Rote Karten'!$D$2:$D$4,"&lt;&gt;"&amp;$B369,'Rote Karten'!$B$2:$B$4,"&lt;"&amp;$F369,'Rote Karten'!$C$2:$C$4,"&lt;="&amp;$G369)-COUNTIFS('Rote Karten'!$A$2:$A$4,$A369,'Rote Karten'!$D$2:$D$4,$B369,'Rote Karten'!$B$2:$B$4,"&lt;"&amp;$F369,'Rote Karten'!$C$2:$C$4,"&lt;="&amp;$G369)</f>
        <v>0</v>
      </c>
      <c r="I369" s="17" t="str">
        <f>IF(OR($L369="Tor",$L369="ET"),_xlfn.IFNA(IF(VLOOKUP($A369,Spiele!$A$2:$C$17,3,FALSE)=$B369,COUNTIFS($L$2:$L369,"Tor",$B$2:$B369,$B369,$A$2:$A369,$A369)+COUNTIFS($L$2:$L369,"ET",$B$2:$B369,$B369,$A$2:$A369,$A369)&amp;":"&amp;COUNTIFS($L$2:$L369,"Tor",$B$2:$B369,"&lt;&gt;"&amp;$B369,$A$2:$A369,$A369)+COUNTIFS($L$2:$L369,"ET",$B$2:$B369,"&lt;&gt;"&amp;$B369,$A$2:$A369,$A369),COUNTIFS($L$2:$L369,"Tor",$B$2:$B369,"&lt;&gt;"&amp;$B369,$A$2:$A369,$A369)+COUNTIFS($L$2:$L369,"ET",$B$2:$B369,"&lt;&gt;"&amp;$B369,$A$2:$A369,$A369)&amp;":"&amp;COUNTIFS($L$2:$L369,"Tor",$B$2:$B369,$B369,$A$2:$A369,$A369)+COUNTIFS($L$2:$L369,"ET",$B$2:$B369,$B369,$A$2:$A369,$A369)),""),"")</f>
        <v/>
      </c>
      <c r="J369" s="18">
        <f>_xlfn.IFNA(IF(VLOOKUP($A369,Spiele!$A$2:$D$17,3,FALSE)=$B369,(COUNTIFS($L$1:$L368,"Tor",$B$1:$B368,$B369,$A$1:$A368,$A369)+COUNTIFS($L$1:$L368,"ET",$B$1:$B368,$B369,$A$1:$A368,$A369))-(COUNTIFS($L$1:$L368,"Tor",$B$1:$B368,"&lt;&gt;"&amp;$B369,$A$1:$A368,$A369)+COUNTIFS($L$1:$L368,"ET",$B$1:$B368,"&lt;&gt;"&amp;$B369,$A$1:$A368,$A369)),(COUNTIFS($L$1:$L368,"Tor",$B$1:$B368,$B369,$A$1:$A368,$A369)+COUNTIFS($L$1:$L368,"ET",$B$1:$B368,$B369,$A$1:$A368,$A369))-(COUNTIFS($L$1:$L368,"Tor",$B$1:$B368,"&lt;&gt;"&amp;$B369,$A$1:$A368,$A369)+COUNTIFS($L$1:$L368,"ET",$B$1:$B368,"&lt;&gt;"&amp;$B369,$A$1:$A368,$A369))),"")</f>
        <v>0</v>
      </c>
      <c r="K369" s="3">
        <v>26</v>
      </c>
      <c r="L369" s="17" t="s">
        <v>18</v>
      </c>
      <c r="M369" s="2" t="s">
        <v>147</v>
      </c>
      <c r="N369" s="2" t="s">
        <v>152</v>
      </c>
      <c r="O369" s="17"/>
      <c r="AA369" s="2" t="s">
        <v>142</v>
      </c>
      <c r="AB369" s="17" t="s">
        <v>143</v>
      </c>
      <c r="AC369" s="14" t="s">
        <v>150</v>
      </c>
      <c r="AD369" s="14" t="s">
        <v>156</v>
      </c>
      <c r="AE369" s="18"/>
      <c r="AF369" s="13">
        <v>-12</v>
      </c>
      <c r="AG369" s="13">
        <v>18</v>
      </c>
      <c r="AH369" s="19">
        <f t="shared" si="20"/>
        <v>19.838235808660002</v>
      </c>
      <c r="AI369" s="19">
        <f t="shared" si="21"/>
        <v>16.163407255354326</v>
      </c>
      <c r="AJ369" s="2" t="s">
        <v>146</v>
      </c>
      <c r="AK369" s="13">
        <v>-1.5</v>
      </c>
      <c r="AL369" s="13">
        <v>2.5</v>
      </c>
      <c r="AM369" s="19">
        <f>IF(Abschlüsse[[#This Row],[Ergeb]]="ET","",SQRT(($AF369-$AK369)^2+($AG369-$AL369)^2))</f>
        <v>18.721645226849056</v>
      </c>
      <c r="AN369" s="3">
        <v>1</v>
      </c>
      <c r="AO369" s="13">
        <v>-10.5</v>
      </c>
      <c r="AP369" s="13">
        <v>21</v>
      </c>
      <c r="AQ369" s="19">
        <f t="shared" si="22"/>
        <v>3.3541019662496847</v>
      </c>
      <c r="AR369" s="3">
        <v>0</v>
      </c>
      <c r="AU369" s="19" t="str">
        <f t="shared" si="23"/>
        <v/>
      </c>
    </row>
    <row r="370" spans="1:47" ht="25.05" customHeight="1">
      <c r="A370" s="3">
        <v>14</v>
      </c>
      <c r="B370" s="2" t="s">
        <v>78</v>
      </c>
      <c r="C370" s="17" t="str">
        <f>IF($A370="","",IF(VLOOKUP($A370,Spiele!$A$2:$D$17,3,FALSE)=$B370,"H","G"))</f>
        <v>H</v>
      </c>
      <c r="D370" s="17" t="str">
        <f>IF($B370="","",IF(VLOOKUP($A370,Spiele!$A$2:$F$17,3,FALSE)=$B370,VLOOKUP($A370,Spiele!$A$2:$F$17,4,FALSE),VLOOKUP($A370,Spiele!$A$2:$F$17,3,FALSE)))</f>
        <v>FCN</v>
      </c>
      <c r="E370" s="18">
        <f>IF(Abschlüsse[[#This Row],[Ergeb]]="ET",0,COUNTIFS($A$2:$A370,$A370,$B$2:$B370,$B370,$L$2:$L370,"&lt;&gt;ET"))</f>
        <v>1</v>
      </c>
      <c r="F370" s="11">
        <v>7</v>
      </c>
      <c r="G370" s="12">
        <v>1</v>
      </c>
      <c r="H370" s="18">
        <f>COUNTIFS('Rote Karten'!$A$2:$A$4,$A370,'Rote Karten'!$D$2:$D$4,"&lt;&gt;"&amp;$B370,'Rote Karten'!$B$2:$B$4,"&lt;"&amp;$F370,'Rote Karten'!$C$2:$C$4,"&lt;="&amp;$G370)-COUNTIFS('Rote Karten'!$A$2:$A$4,$A370,'Rote Karten'!$D$2:$D$4,$B370,'Rote Karten'!$B$2:$B$4,"&lt;"&amp;$F370,'Rote Karten'!$C$2:$C$4,"&lt;="&amp;$G370)</f>
        <v>0</v>
      </c>
      <c r="I370" s="17" t="str">
        <f>IF(OR($L370="Tor",$L370="ET"),_xlfn.IFNA(IF(VLOOKUP($A370,Spiele!$A$2:$C$17,3,FALSE)=$B370,COUNTIFS($L$2:$L370,"Tor",$B$2:$B370,$B370,$A$2:$A370,$A370)+COUNTIFS($L$2:$L370,"ET",$B$2:$B370,$B370,$A$2:$A370,$A370)&amp;":"&amp;COUNTIFS($L$2:$L370,"Tor",$B$2:$B370,"&lt;&gt;"&amp;$B370,$A$2:$A370,$A370)+COUNTIFS($L$2:$L370,"ET",$B$2:$B370,"&lt;&gt;"&amp;$B370,$A$2:$A370,$A370),COUNTIFS($L$2:$L370,"Tor",$B$2:$B370,"&lt;&gt;"&amp;$B370,$A$2:$A370,$A370)+COUNTIFS($L$2:$L370,"ET",$B$2:$B370,"&lt;&gt;"&amp;$B370,$A$2:$A370,$A370)&amp;":"&amp;COUNTIFS($L$2:$L370,"Tor",$B$2:$B370,$B370,$A$2:$A370,$A370)+COUNTIFS($L$2:$L370,"ET",$B$2:$B370,$B370,$A$2:$A370,$A370)),""),"")</f>
        <v/>
      </c>
      <c r="J370" s="18">
        <f>_xlfn.IFNA(IF(VLOOKUP($A370,Spiele!$A$2:$D$17,3,FALSE)=$B370,(COUNTIFS($L$1:$L369,"Tor",$B$1:$B369,$B370,$A$1:$A369,$A370)+COUNTIFS($L$1:$L369,"ET",$B$1:$B369,$B370,$A$1:$A369,$A370))-(COUNTIFS($L$1:$L369,"Tor",$B$1:$B369,"&lt;&gt;"&amp;$B370,$A$1:$A369,$A370)+COUNTIFS($L$1:$L369,"ET",$B$1:$B369,"&lt;&gt;"&amp;$B370,$A$1:$A369,$A370)),(COUNTIFS($L$1:$L369,"Tor",$B$1:$B369,$B370,$A$1:$A369,$A370)+COUNTIFS($L$1:$L369,"ET",$B$1:$B369,$B370,$A$1:$A369,$A370))-(COUNTIFS($L$1:$L369,"Tor",$B$1:$B369,"&lt;&gt;"&amp;$B370,$A$1:$A369,$A370)+COUNTIFS($L$1:$L369,"ET",$B$1:$B369,"&lt;&gt;"&amp;$B370,$A$1:$A369,$A370))),"")</f>
        <v>0</v>
      </c>
      <c r="K370" s="3">
        <v>1</v>
      </c>
      <c r="L370" s="17" t="s">
        <v>19</v>
      </c>
      <c r="M370" s="2" t="s">
        <v>163</v>
      </c>
      <c r="N370" s="2" t="s">
        <v>3</v>
      </c>
      <c r="O370" s="17"/>
      <c r="AA370" s="2" t="s">
        <v>142</v>
      </c>
      <c r="AB370" s="17" t="s">
        <v>143</v>
      </c>
      <c r="AC370" s="14" t="s">
        <v>150</v>
      </c>
      <c r="AD370" s="14" t="s">
        <v>156</v>
      </c>
      <c r="AE370" s="18"/>
      <c r="AF370" s="13">
        <v>-14.5</v>
      </c>
      <c r="AG370" s="13">
        <v>18.5</v>
      </c>
      <c r="AH370" s="19">
        <f t="shared" si="20"/>
        <v>21.441912228157264</v>
      </c>
      <c r="AI370" s="19">
        <f t="shared" si="21"/>
        <v>14.100633260461773</v>
      </c>
      <c r="AJ370" s="2" t="s">
        <v>146</v>
      </c>
      <c r="AK370" s="13">
        <v>-1.5</v>
      </c>
      <c r="AL370" s="13">
        <v>1</v>
      </c>
      <c r="AM370" s="19">
        <f>IF(Abschlüsse[[#This Row],[Ergeb]]="ET","",SQRT(($AF370-$AK370)^2+($AG370-$AL370)^2))</f>
        <v>21.80022935659164</v>
      </c>
      <c r="AN370" s="3">
        <v>2</v>
      </c>
      <c r="AO370" s="13">
        <v>-14.5</v>
      </c>
      <c r="AP370" s="13">
        <v>17</v>
      </c>
      <c r="AQ370" s="19">
        <f t="shared" ref="AQ370:AQ411" si="24">IF(AN370=0,"",SQRT(($AF370-$AO370)^2+($AG370-$AP370)^2))</f>
        <v>1.5</v>
      </c>
      <c r="AR370" s="3">
        <v>1</v>
      </c>
      <c r="AS370" s="13">
        <v>-11</v>
      </c>
      <c r="AT370" s="13">
        <v>14.5</v>
      </c>
      <c r="AU370" s="19">
        <f t="shared" ref="AU370:AU411" si="25">IF(AR370=0,"",SQRT(($AF370-$AS370)^2+($AG370-$AT370)^2))</f>
        <v>5.315072906367325</v>
      </c>
    </row>
    <row r="371" spans="1:47" ht="25.05" customHeight="1">
      <c r="A371" s="3">
        <v>14</v>
      </c>
      <c r="B371" s="2" t="s">
        <v>8</v>
      </c>
      <c r="C371" s="17" t="str">
        <f>IF($A371="","",IF(VLOOKUP($A371,Spiele!$A$2:$D$17,3,FALSE)=$B371,"H","G"))</f>
        <v>G</v>
      </c>
      <c r="D371" s="17" t="str">
        <f>IF($B371="","",IF(VLOOKUP($A371,Spiele!$A$2:$F$17,3,FALSE)=$B371,VLOOKUP($A371,Spiele!$A$2:$F$17,4,FALSE),VLOOKUP($A371,Spiele!$A$2:$F$17,3,FALSE)))</f>
        <v>SGF</v>
      </c>
      <c r="E371" s="18">
        <f>IF(Abschlüsse[[#This Row],[Ergeb]]="ET",0,COUNTIFS($A$2:$A371,$A371,$B$2:$B371,$B371,$L$2:$L371,"&lt;&gt;ET"))</f>
        <v>1</v>
      </c>
      <c r="F371" s="11">
        <v>9</v>
      </c>
      <c r="G371" s="12">
        <v>1</v>
      </c>
      <c r="H371" s="18">
        <f>COUNTIFS('Rote Karten'!$A$2:$A$4,$A371,'Rote Karten'!$D$2:$D$4,"&lt;&gt;"&amp;$B371,'Rote Karten'!$B$2:$B$4,"&lt;"&amp;$F371,'Rote Karten'!$C$2:$C$4,"&lt;="&amp;$G371)-COUNTIFS('Rote Karten'!$A$2:$A$4,$A371,'Rote Karten'!$D$2:$D$4,$B371,'Rote Karten'!$B$2:$B$4,"&lt;"&amp;$F371,'Rote Karten'!$C$2:$C$4,"&lt;="&amp;$G371)</f>
        <v>0</v>
      </c>
      <c r="I371" s="17" t="str">
        <f>IF(OR($L371="Tor",$L371="ET"),_xlfn.IFNA(IF(VLOOKUP($A371,Spiele!$A$2:$C$17,3,FALSE)=$B371,COUNTIFS($L$2:$L371,"Tor",$B$2:$B371,$B371,$A$2:$A371,$A371)+COUNTIFS($L$2:$L371,"ET",$B$2:$B371,$B371,$A$2:$A371,$A371)&amp;":"&amp;COUNTIFS($L$2:$L371,"Tor",$B$2:$B371,"&lt;&gt;"&amp;$B371,$A$2:$A371,$A371)+COUNTIFS($L$2:$L371,"ET",$B$2:$B371,"&lt;&gt;"&amp;$B371,$A$2:$A371,$A371),COUNTIFS($L$2:$L371,"Tor",$B$2:$B371,"&lt;&gt;"&amp;$B371,$A$2:$A371,$A371)+COUNTIFS($L$2:$L371,"ET",$B$2:$B371,"&lt;&gt;"&amp;$B371,$A$2:$A371,$A371)&amp;":"&amp;COUNTIFS($L$2:$L371,"Tor",$B$2:$B371,$B371,$A$2:$A371,$A371)+COUNTIFS($L$2:$L371,"ET",$B$2:$B371,$B371,$A$2:$A371,$A371)),""),"")</f>
        <v/>
      </c>
      <c r="J371" s="18">
        <f>_xlfn.IFNA(IF(VLOOKUP($A371,Spiele!$A$2:$D$17,3,FALSE)=$B371,(COUNTIFS($L$1:$L370,"Tor",$B$1:$B370,$B371,$A$1:$A370,$A371)+COUNTIFS($L$1:$L370,"ET",$B$1:$B370,$B371,$A$1:$A370,$A371))-(COUNTIFS($L$1:$L370,"Tor",$B$1:$B370,"&lt;&gt;"&amp;$B371,$A$1:$A370,$A371)+COUNTIFS($L$1:$L370,"ET",$B$1:$B370,"&lt;&gt;"&amp;$B371,$A$1:$A370,$A371)),(COUNTIFS($L$1:$L370,"Tor",$B$1:$B370,$B371,$A$1:$A370,$A371)+COUNTIFS($L$1:$L370,"ET",$B$1:$B370,$B371,$A$1:$A370,$A371))-(COUNTIFS($L$1:$L370,"Tor",$B$1:$B370,"&lt;&gt;"&amp;$B371,$A$1:$A370,$A371)+COUNTIFS($L$1:$L370,"ET",$B$1:$B370,"&lt;&gt;"&amp;$B371,$A$1:$A370,$A371))),"")</f>
        <v>0</v>
      </c>
      <c r="K371" s="3">
        <v>2</v>
      </c>
      <c r="L371" s="17" t="s">
        <v>19</v>
      </c>
      <c r="M371" s="2" t="s">
        <v>147</v>
      </c>
      <c r="N371" s="2" t="s">
        <v>148</v>
      </c>
      <c r="O371" s="17">
        <v>16</v>
      </c>
      <c r="P371" s="2">
        <v>26</v>
      </c>
      <c r="Q371" s="2">
        <v>4</v>
      </c>
      <c r="R371" s="2">
        <v>16</v>
      </c>
      <c r="AA371" s="2" t="s">
        <v>151</v>
      </c>
      <c r="AB371" s="17" t="s">
        <v>143</v>
      </c>
      <c r="AC371" s="14" t="s">
        <v>144</v>
      </c>
      <c r="AD371" s="14" t="s">
        <v>156</v>
      </c>
      <c r="AE371" s="18">
        <v>9</v>
      </c>
      <c r="AF371" s="13">
        <v>16</v>
      </c>
      <c r="AG371" s="13">
        <v>6</v>
      </c>
      <c r="AH371" s="19">
        <f t="shared" si="20"/>
        <v>13.721355618159599</v>
      </c>
      <c r="AI371" s="19">
        <f t="shared" si="21"/>
        <v>8.9585467435871635</v>
      </c>
      <c r="AJ371" s="2" t="s">
        <v>166</v>
      </c>
      <c r="AM371" s="19">
        <f>IF(Abschlüsse[[#This Row],[Ergeb]]="ET","",SQRT(($AF371-$AK371)^2+($AG371-$AL371)^2))</f>
        <v>17.088007490635061</v>
      </c>
      <c r="AN371" s="3">
        <v>0</v>
      </c>
      <c r="AO371" s="13"/>
      <c r="AP371" s="13"/>
      <c r="AQ371" s="19" t="str">
        <f t="shared" si="24"/>
        <v/>
      </c>
      <c r="AR371" s="3">
        <v>0</v>
      </c>
      <c r="AU371" s="19" t="str">
        <f t="shared" si="25"/>
        <v/>
      </c>
    </row>
    <row r="372" spans="1:47" ht="25.05" customHeight="1">
      <c r="A372" s="3">
        <v>14</v>
      </c>
      <c r="B372" s="2" t="s">
        <v>8</v>
      </c>
      <c r="C372" s="17" t="str">
        <f>IF($A372="","",IF(VLOOKUP($A372,Spiele!$A$2:$D$17,3,FALSE)=$B372,"H","G"))</f>
        <v>G</v>
      </c>
      <c r="D372" s="17" t="str">
        <f>IF($B372="","",IF(VLOOKUP($A372,Spiele!$A$2:$F$17,3,FALSE)=$B372,VLOOKUP($A372,Spiele!$A$2:$F$17,4,FALSE),VLOOKUP($A372,Spiele!$A$2:$F$17,3,FALSE)))</f>
        <v>SGF</v>
      </c>
      <c r="E372" s="18">
        <f>IF(Abschlüsse[[#This Row],[Ergeb]]="ET",0,COUNTIFS($A$2:$A372,$A372,$B$2:$B372,$B372,$L$2:$L372,"&lt;&gt;ET"))</f>
        <v>2</v>
      </c>
      <c r="F372" s="11">
        <v>13</v>
      </c>
      <c r="G372" s="12">
        <v>1</v>
      </c>
      <c r="H372" s="18">
        <f>COUNTIFS('Rote Karten'!$A$2:$A$4,$A372,'Rote Karten'!$D$2:$D$4,"&lt;&gt;"&amp;$B372,'Rote Karten'!$B$2:$B$4,"&lt;"&amp;$F372,'Rote Karten'!$C$2:$C$4,"&lt;="&amp;$G372)-COUNTIFS('Rote Karten'!$A$2:$A$4,$A372,'Rote Karten'!$D$2:$D$4,$B372,'Rote Karten'!$B$2:$B$4,"&lt;"&amp;$F372,'Rote Karten'!$C$2:$C$4,"&lt;="&amp;$G372)</f>
        <v>0</v>
      </c>
      <c r="I372" s="17" t="str">
        <f>IF(OR($L372="Tor",$L372="ET"),_xlfn.IFNA(IF(VLOOKUP($A372,Spiele!$A$2:$C$17,3,FALSE)=$B372,COUNTIFS($L$2:$L372,"Tor",$B$2:$B372,$B372,$A$2:$A372,$A372)+COUNTIFS($L$2:$L372,"ET",$B$2:$B372,$B372,$A$2:$A372,$A372)&amp;":"&amp;COUNTIFS($L$2:$L372,"Tor",$B$2:$B372,"&lt;&gt;"&amp;$B372,$A$2:$A372,$A372)+COUNTIFS($L$2:$L372,"ET",$B$2:$B372,"&lt;&gt;"&amp;$B372,$A$2:$A372,$A372),COUNTIFS($L$2:$L372,"Tor",$B$2:$B372,"&lt;&gt;"&amp;$B372,$A$2:$A372,$A372)+COUNTIFS($L$2:$L372,"ET",$B$2:$B372,"&lt;&gt;"&amp;$B372,$A$2:$A372,$A372)&amp;":"&amp;COUNTIFS($L$2:$L372,"Tor",$B$2:$B372,$B372,$A$2:$A372,$A372)+COUNTIFS($L$2:$L372,"ET",$B$2:$B372,$B372,$A$2:$A372,$A372)),""),"")</f>
        <v>0:1</v>
      </c>
      <c r="J372" s="18">
        <f>_xlfn.IFNA(IF(VLOOKUP($A372,Spiele!$A$2:$D$17,3,FALSE)=$B372,(COUNTIFS($L$1:$L371,"Tor",$B$1:$B371,$B372,$A$1:$A371,$A372)+COUNTIFS($L$1:$L371,"ET",$B$1:$B371,$B372,$A$1:$A371,$A372))-(COUNTIFS($L$1:$L371,"Tor",$B$1:$B371,"&lt;&gt;"&amp;$B372,$A$1:$A371,$A372)+COUNTIFS($L$1:$L371,"ET",$B$1:$B371,"&lt;&gt;"&amp;$B372,$A$1:$A371,$A372)),(COUNTIFS($L$1:$L371,"Tor",$B$1:$B371,$B372,$A$1:$A371,$A372)+COUNTIFS($L$1:$L371,"ET",$B$1:$B371,$B372,$A$1:$A371,$A372))-(COUNTIFS($L$1:$L371,"Tor",$B$1:$B371,"&lt;&gt;"&amp;$B372,$A$1:$A371,$A372)+COUNTIFS($L$1:$L371,"ET",$B$1:$B371,"&lt;&gt;"&amp;$B372,$A$1:$A371,$A372))),"")</f>
        <v>0</v>
      </c>
      <c r="K372" s="3">
        <v>3</v>
      </c>
      <c r="L372" s="17" t="s">
        <v>0</v>
      </c>
      <c r="M372" s="2" t="s">
        <v>163</v>
      </c>
      <c r="N372" s="2" t="s">
        <v>167</v>
      </c>
      <c r="O372" s="17"/>
      <c r="AA372" s="2" t="s">
        <v>151</v>
      </c>
      <c r="AB372" s="17" t="s">
        <v>143</v>
      </c>
      <c r="AC372" s="14" t="s">
        <v>150</v>
      </c>
      <c r="AD372" s="14" t="s">
        <v>156</v>
      </c>
      <c r="AE372" s="18">
        <v>9</v>
      </c>
      <c r="AF372" s="13">
        <v>10</v>
      </c>
      <c r="AG372" s="13">
        <v>12.5</v>
      </c>
      <c r="AH372" s="19">
        <f t="shared" si="20"/>
        <v>14.015905250821298</v>
      </c>
      <c r="AI372" s="19">
        <f t="shared" si="21"/>
        <v>20.644851809287072</v>
      </c>
      <c r="AJ372" s="2" t="s">
        <v>146</v>
      </c>
      <c r="AK372" s="13">
        <v>7</v>
      </c>
      <c r="AL372" s="13">
        <v>9</v>
      </c>
      <c r="AM372" s="19">
        <f>IF(Abschlüsse[[#This Row],[Ergeb]]="ET","",SQRT(($AF372-$AK372)^2+($AG372-$AL372)^2))</f>
        <v>4.6097722286464435</v>
      </c>
      <c r="AN372" s="3">
        <v>1</v>
      </c>
      <c r="AO372" s="13">
        <v>11.5</v>
      </c>
      <c r="AP372" s="13">
        <v>16.5</v>
      </c>
      <c r="AQ372" s="19">
        <f t="shared" si="24"/>
        <v>4.2720018726587652</v>
      </c>
      <c r="AR372" s="3">
        <v>0</v>
      </c>
      <c r="AU372" s="19" t="str">
        <f t="shared" si="25"/>
        <v/>
      </c>
    </row>
    <row r="373" spans="1:47" ht="25.05" customHeight="1">
      <c r="A373" s="3">
        <v>14</v>
      </c>
      <c r="B373" s="2" t="s">
        <v>8</v>
      </c>
      <c r="C373" s="17" t="str">
        <f>IF($A373="","",IF(VLOOKUP($A373,Spiele!$A$2:$D$17,3,FALSE)=$B373,"H","G"))</f>
        <v>G</v>
      </c>
      <c r="D373" s="17" t="str">
        <f>IF($B373="","",IF(VLOOKUP($A373,Spiele!$A$2:$F$17,3,FALSE)=$B373,VLOOKUP($A373,Spiele!$A$2:$F$17,4,FALSE),VLOOKUP($A373,Spiele!$A$2:$F$17,3,FALSE)))</f>
        <v>SGF</v>
      </c>
      <c r="E373" s="18">
        <f>IF(Abschlüsse[[#This Row],[Ergeb]]="ET",0,COUNTIFS($A$2:$A373,$A373,$B$2:$B373,$B373,$L$2:$L373,"&lt;&gt;ET"))</f>
        <v>3</v>
      </c>
      <c r="F373" s="11">
        <v>24</v>
      </c>
      <c r="G373" s="12">
        <v>1</v>
      </c>
      <c r="H373" s="18">
        <f>COUNTIFS('Rote Karten'!$A$2:$A$4,$A373,'Rote Karten'!$D$2:$D$4,"&lt;&gt;"&amp;$B373,'Rote Karten'!$B$2:$B$4,"&lt;"&amp;$F373,'Rote Karten'!$C$2:$C$4,"&lt;="&amp;$G373)-COUNTIFS('Rote Karten'!$A$2:$A$4,$A373,'Rote Karten'!$D$2:$D$4,$B373,'Rote Karten'!$B$2:$B$4,"&lt;"&amp;$F373,'Rote Karten'!$C$2:$C$4,"&lt;="&amp;$G373)</f>
        <v>0</v>
      </c>
      <c r="I373" s="17" t="str">
        <f>IF(OR($L373="Tor",$L373="ET"),_xlfn.IFNA(IF(VLOOKUP($A373,Spiele!$A$2:$C$17,3,FALSE)=$B373,COUNTIFS($L$2:$L373,"Tor",$B$2:$B373,$B373,$A$2:$A373,$A373)+COUNTIFS($L$2:$L373,"ET",$B$2:$B373,$B373,$A$2:$A373,$A373)&amp;":"&amp;COUNTIFS($L$2:$L373,"Tor",$B$2:$B373,"&lt;&gt;"&amp;$B373,$A$2:$A373,$A373)+COUNTIFS($L$2:$L373,"ET",$B$2:$B373,"&lt;&gt;"&amp;$B373,$A$2:$A373,$A373),COUNTIFS($L$2:$L373,"Tor",$B$2:$B373,"&lt;&gt;"&amp;$B373,$A$2:$A373,$A373)+COUNTIFS($L$2:$L373,"ET",$B$2:$B373,"&lt;&gt;"&amp;$B373,$A$2:$A373,$A373)&amp;":"&amp;COUNTIFS($L$2:$L373,"Tor",$B$2:$B373,$B373,$A$2:$A373,$A373)+COUNTIFS($L$2:$L373,"ET",$B$2:$B373,$B373,$A$2:$A373,$A373)),""),"")</f>
        <v/>
      </c>
      <c r="J373" s="18">
        <f>_xlfn.IFNA(IF(VLOOKUP($A373,Spiele!$A$2:$D$17,3,FALSE)=$B373,(COUNTIFS($L$1:$L372,"Tor",$B$1:$B372,$B373,$A$1:$A372,$A373)+COUNTIFS($L$1:$L372,"ET",$B$1:$B372,$B373,$A$1:$A372,$A373))-(COUNTIFS($L$1:$L372,"Tor",$B$1:$B372,"&lt;&gt;"&amp;$B373,$A$1:$A372,$A373)+COUNTIFS($L$1:$L372,"ET",$B$1:$B372,"&lt;&gt;"&amp;$B373,$A$1:$A372,$A373)),(COUNTIFS($L$1:$L372,"Tor",$B$1:$B372,$B373,$A$1:$A372,$A373)+COUNTIFS($L$1:$L372,"ET",$B$1:$B372,$B373,$A$1:$A372,$A373))-(COUNTIFS($L$1:$L372,"Tor",$B$1:$B372,"&lt;&gt;"&amp;$B373,$A$1:$A372,$A373)+COUNTIFS($L$1:$L372,"ET",$B$1:$B372,"&lt;&gt;"&amp;$B373,$A$1:$A372,$A373))),"")</f>
        <v>1</v>
      </c>
      <c r="K373" s="3">
        <v>4</v>
      </c>
      <c r="L373" s="17" t="s">
        <v>20</v>
      </c>
      <c r="M373" s="2" t="s">
        <v>168</v>
      </c>
      <c r="N373" s="2" t="s">
        <v>158</v>
      </c>
      <c r="O373" s="17">
        <v>10</v>
      </c>
      <c r="AA373" s="2" t="s">
        <v>141</v>
      </c>
      <c r="AB373" s="17" t="s">
        <v>143</v>
      </c>
      <c r="AC373" s="14" t="s">
        <v>150</v>
      </c>
      <c r="AD373" s="14" t="s">
        <v>145</v>
      </c>
      <c r="AE373" s="18">
        <v>4</v>
      </c>
      <c r="AF373" s="13">
        <v>0</v>
      </c>
      <c r="AG373" s="13">
        <v>29</v>
      </c>
      <c r="AH373" s="19">
        <f t="shared" si="20"/>
        <v>29</v>
      </c>
      <c r="AI373" s="19">
        <f t="shared" si="21"/>
        <v>14.386184872244916</v>
      </c>
      <c r="AJ373" s="2" t="s">
        <v>146</v>
      </c>
      <c r="AK373" s="13">
        <v>0</v>
      </c>
      <c r="AL373" s="13">
        <v>3.5</v>
      </c>
      <c r="AM373" s="19">
        <f>IF(Abschlüsse[[#This Row],[Ergeb]]="ET","",SQRT(($AF373-$AK373)^2+($AG373-$AL373)^2))</f>
        <v>25.5</v>
      </c>
      <c r="AN373" s="3">
        <v>0</v>
      </c>
      <c r="AO373" s="13"/>
      <c r="AP373" s="13"/>
      <c r="AQ373" s="19" t="str">
        <f t="shared" si="24"/>
        <v/>
      </c>
      <c r="AR373" s="3">
        <v>2</v>
      </c>
      <c r="AS373" s="13">
        <v>-0.5</v>
      </c>
      <c r="AT373" s="13">
        <v>25.5</v>
      </c>
      <c r="AU373" s="19">
        <f t="shared" si="25"/>
        <v>3.5355339059327378</v>
      </c>
    </row>
    <row r="374" spans="1:47" ht="25.05" customHeight="1">
      <c r="A374" s="3">
        <v>14</v>
      </c>
      <c r="B374" s="2" t="s">
        <v>78</v>
      </c>
      <c r="C374" s="17" t="str">
        <f>IF($A374="","",IF(VLOOKUP($A374,Spiele!$A$2:$D$17,3,FALSE)=$B374,"H","G"))</f>
        <v>H</v>
      </c>
      <c r="D374" s="17" t="str">
        <f>IF($B374="","",IF(VLOOKUP($A374,Spiele!$A$2:$F$17,3,FALSE)=$B374,VLOOKUP($A374,Spiele!$A$2:$F$17,4,FALSE),VLOOKUP($A374,Spiele!$A$2:$F$17,3,FALSE)))</f>
        <v>FCN</v>
      </c>
      <c r="E374" s="18">
        <f>IF(Abschlüsse[[#This Row],[Ergeb]]="ET",0,COUNTIFS($A$2:$A374,$A374,$B$2:$B374,$B374,$L$2:$L374,"&lt;&gt;ET"))</f>
        <v>2</v>
      </c>
      <c r="F374" s="11">
        <v>26</v>
      </c>
      <c r="G374" s="12">
        <v>1</v>
      </c>
      <c r="H374" s="18">
        <f>COUNTIFS('Rote Karten'!$A$2:$A$4,$A374,'Rote Karten'!$D$2:$D$4,"&lt;&gt;"&amp;$B374,'Rote Karten'!$B$2:$B$4,"&lt;"&amp;$F374,'Rote Karten'!$C$2:$C$4,"&lt;="&amp;$G374)-COUNTIFS('Rote Karten'!$A$2:$A$4,$A374,'Rote Karten'!$D$2:$D$4,$B374,'Rote Karten'!$B$2:$B$4,"&lt;"&amp;$F374,'Rote Karten'!$C$2:$C$4,"&lt;="&amp;$G374)</f>
        <v>0</v>
      </c>
      <c r="I374" s="17" t="str">
        <f>IF(OR($L374="Tor",$L374="ET"),_xlfn.IFNA(IF(VLOOKUP($A374,Spiele!$A$2:$C$17,3,FALSE)=$B374,COUNTIFS($L$2:$L374,"Tor",$B$2:$B374,$B374,$A$2:$A374,$A374)+COUNTIFS($L$2:$L374,"ET",$B$2:$B374,$B374,$A$2:$A374,$A374)&amp;":"&amp;COUNTIFS($L$2:$L374,"Tor",$B$2:$B374,"&lt;&gt;"&amp;$B374,$A$2:$A374,$A374)+COUNTIFS($L$2:$L374,"ET",$B$2:$B374,"&lt;&gt;"&amp;$B374,$A$2:$A374,$A374),COUNTIFS($L$2:$L374,"Tor",$B$2:$B374,"&lt;&gt;"&amp;$B374,$A$2:$A374,$A374)+COUNTIFS($L$2:$L374,"ET",$B$2:$B374,"&lt;&gt;"&amp;$B374,$A$2:$A374,$A374)&amp;":"&amp;COUNTIFS($L$2:$L374,"Tor",$B$2:$B374,$B374,$A$2:$A374,$A374)+COUNTIFS($L$2:$L374,"ET",$B$2:$B374,$B374,$A$2:$A374,$A374)),""),"")</f>
        <v>1:1</v>
      </c>
      <c r="J374" s="18">
        <f>_xlfn.IFNA(IF(VLOOKUP($A374,Spiele!$A$2:$D$17,3,FALSE)=$B374,(COUNTIFS($L$1:$L373,"Tor",$B$1:$B373,$B374,$A$1:$A373,$A374)+COUNTIFS($L$1:$L373,"ET",$B$1:$B373,$B374,$A$1:$A373,$A374))-(COUNTIFS($L$1:$L373,"Tor",$B$1:$B373,"&lt;&gt;"&amp;$B374,$A$1:$A373,$A374)+COUNTIFS($L$1:$L373,"ET",$B$1:$B373,"&lt;&gt;"&amp;$B374,$A$1:$A373,$A374)),(COUNTIFS($L$1:$L373,"Tor",$B$1:$B373,$B374,$A$1:$A373,$A374)+COUNTIFS($L$1:$L373,"ET",$B$1:$B373,$B374,$A$1:$A373,$A374))-(COUNTIFS($L$1:$L373,"Tor",$B$1:$B373,"&lt;&gt;"&amp;$B374,$A$1:$A373,$A374)+COUNTIFS($L$1:$L373,"ET",$B$1:$B373,"&lt;&gt;"&amp;$B374,$A$1:$A373,$A374))),"")</f>
        <v>-1</v>
      </c>
      <c r="K374" s="3">
        <v>5</v>
      </c>
      <c r="L374" s="17" t="s">
        <v>0</v>
      </c>
      <c r="M374" s="2" t="s">
        <v>163</v>
      </c>
      <c r="N374" s="2" t="s">
        <v>167</v>
      </c>
      <c r="O374" s="17"/>
      <c r="AA374" s="2" t="s">
        <v>142</v>
      </c>
      <c r="AB374" s="17" t="s">
        <v>143</v>
      </c>
      <c r="AC374" s="14" t="s">
        <v>150</v>
      </c>
      <c r="AD374" s="14" t="s">
        <v>145</v>
      </c>
      <c r="AE374" s="18"/>
      <c r="AF374" s="13">
        <v>-3.5</v>
      </c>
      <c r="AG374" s="13">
        <v>16</v>
      </c>
      <c r="AH374" s="19">
        <f t="shared" si="20"/>
        <v>16</v>
      </c>
      <c r="AI374" s="19">
        <f t="shared" si="21"/>
        <v>24.68145459765881</v>
      </c>
      <c r="AJ374" s="2" t="s">
        <v>166</v>
      </c>
      <c r="AM374" s="19">
        <f>IF(Abschlüsse[[#This Row],[Ergeb]]="ET","",SQRT(($AF374-$AK374)^2+($AG374-$AL374)^2))</f>
        <v>16.378339354159198</v>
      </c>
      <c r="AN374" s="3">
        <v>0</v>
      </c>
      <c r="AO374" s="13"/>
      <c r="AP374" s="13"/>
      <c r="AQ374" s="19" t="str">
        <f t="shared" si="24"/>
        <v/>
      </c>
      <c r="AR374" s="3">
        <v>1</v>
      </c>
      <c r="AS374" s="13">
        <v>-3.5</v>
      </c>
      <c r="AT374" s="13">
        <v>15.5</v>
      </c>
      <c r="AU374" s="19">
        <f t="shared" si="25"/>
        <v>0.5</v>
      </c>
    </row>
    <row r="375" spans="1:47" ht="25.05" customHeight="1">
      <c r="A375" s="3">
        <v>14</v>
      </c>
      <c r="B375" s="2" t="s">
        <v>78</v>
      </c>
      <c r="C375" s="17" t="str">
        <f>IF($A375="","",IF(VLOOKUP($A375,Spiele!$A$2:$D$17,3,FALSE)=$B375,"H","G"))</f>
        <v>H</v>
      </c>
      <c r="D375" s="17" t="str">
        <f>IF($B375="","",IF(VLOOKUP($A375,Spiele!$A$2:$F$17,3,FALSE)=$B375,VLOOKUP($A375,Spiele!$A$2:$F$17,4,FALSE),VLOOKUP($A375,Spiele!$A$2:$F$17,3,FALSE)))</f>
        <v>FCN</v>
      </c>
      <c r="E375" s="18">
        <f>IF(Abschlüsse[[#This Row],[Ergeb]]="ET",0,COUNTIFS($A$2:$A375,$A375,$B$2:$B375,$B375,$L$2:$L375,"&lt;&gt;ET"))</f>
        <v>3</v>
      </c>
      <c r="F375" s="11">
        <v>27</v>
      </c>
      <c r="G375" s="12">
        <v>1</v>
      </c>
      <c r="H375" s="18">
        <f>COUNTIFS('Rote Karten'!$A$2:$A$4,$A375,'Rote Karten'!$D$2:$D$4,"&lt;&gt;"&amp;$B375,'Rote Karten'!$B$2:$B$4,"&lt;"&amp;$F375,'Rote Karten'!$C$2:$C$4,"&lt;="&amp;$G375)-COUNTIFS('Rote Karten'!$A$2:$A$4,$A375,'Rote Karten'!$D$2:$D$4,$B375,'Rote Karten'!$B$2:$B$4,"&lt;"&amp;$F375,'Rote Karten'!$C$2:$C$4,"&lt;="&amp;$G375)</f>
        <v>0</v>
      </c>
      <c r="I375" s="17" t="str">
        <f>IF(OR($L375="Tor",$L375="ET"),_xlfn.IFNA(IF(VLOOKUP($A375,Spiele!$A$2:$C$17,3,FALSE)=$B375,COUNTIFS($L$2:$L375,"Tor",$B$2:$B375,$B375,$A$2:$A375,$A375)+COUNTIFS($L$2:$L375,"ET",$B$2:$B375,$B375,$A$2:$A375,$A375)&amp;":"&amp;COUNTIFS($L$2:$L375,"Tor",$B$2:$B375,"&lt;&gt;"&amp;$B375,$A$2:$A375,$A375)+COUNTIFS($L$2:$L375,"ET",$B$2:$B375,"&lt;&gt;"&amp;$B375,$A$2:$A375,$A375),COUNTIFS($L$2:$L375,"Tor",$B$2:$B375,"&lt;&gt;"&amp;$B375,$A$2:$A375,$A375)+COUNTIFS($L$2:$L375,"ET",$B$2:$B375,"&lt;&gt;"&amp;$B375,$A$2:$A375,$A375)&amp;":"&amp;COUNTIFS($L$2:$L375,"Tor",$B$2:$B375,$B375,$A$2:$A375,$A375)+COUNTIFS($L$2:$L375,"ET",$B$2:$B375,$B375,$A$2:$A375,$A375)),""),"")</f>
        <v/>
      </c>
      <c r="J375" s="18">
        <f>_xlfn.IFNA(IF(VLOOKUP($A375,Spiele!$A$2:$D$17,3,FALSE)=$B375,(COUNTIFS($L$1:$L374,"Tor",$B$1:$B374,$B375,$A$1:$A374,$A375)+COUNTIFS($L$1:$L374,"ET",$B$1:$B374,$B375,$A$1:$A374,$A375))-(COUNTIFS($L$1:$L374,"Tor",$B$1:$B374,"&lt;&gt;"&amp;$B375,$A$1:$A374,$A375)+COUNTIFS($L$1:$L374,"ET",$B$1:$B374,"&lt;&gt;"&amp;$B375,$A$1:$A374,$A375)),(COUNTIFS($L$1:$L374,"Tor",$B$1:$B374,$B375,$A$1:$A374,$A375)+COUNTIFS($L$1:$L374,"ET",$B$1:$B374,$B375,$A$1:$A374,$A375))-(COUNTIFS($L$1:$L374,"Tor",$B$1:$B374,"&lt;&gt;"&amp;$B375,$A$1:$A374,$A375)+COUNTIFS($L$1:$L374,"ET",$B$1:$B374,"&lt;&gt;"&amp;$B375,$A$1:$A374,$A375))),"")</f>
        <v>0</v>
      </c>
      <c r="K375" s="3">
        <v>6</v>
      </c>
      <c r="L375" s="17" t="s">
        <v>18</v>
      </c>
      <c r="M375" s="2" t="s">
        <v>163</v>
      </c>
      <c r="N375" s="2" t="s">
        <v>3</v>
      </c>
      <c r="O375" s="17"/>
      <c r="AA375" s="2" t="s">
        <v>151</v>
      </c>
      <c r="AB375" s="17" t="s">
        <v>149</v>
      </c>
      <c r="AC375" s="14" t="s">
        <v>150</v>
      </c>
      <c r="AD375" s="14" t="s">
        <v>156</v>
      </c>
      <c r="AE375" s="18"/>
      <c r="AF375" s="13">
        <v>-2.5</v>
      </c>
      <c r="AG375" s="13">
        <v>5.5</v>
      </c>
      <c r="AH375" s="19">
        <f t="shared" si="20"/>
        <v>5.5</v>
      </c>
      <c r="AI375" s="19">
        <f t="shared" si="21"/>
        <v>60.149357337726705</v>
      </c>
      <c r="AJ375" s="2" t="s">
        <v>146</v>
      </c>
      <c r="AK375" s="13">
        <v>-1.5</v>
      </c>
      <c r="AL375" s="13">
        <v>0.5</v>
      </c>
      <c r="AM375" s="19">
        <f>IF(Abschlüsse[[#This Row],[Ergeb]]="ET","",SQRT(($AF375-$AK375)^2+($AG375-$AL375)^2))</f>
        <v>5.0990195135927845</v>
      </c>
      <c r="AN375" s="3">
        <v>1</v>
      </c>
      <c r="AO375" s="13">
        <v>0</v>
      </c>
      <c r="AP375" s="13">
        <v>5</v>
      </c>
      <c r="AQ375" s="19">
        <f t="shared" si="24"/>
        <v>2.5495097567963922</v>
      </c>
      <c r="AR375" s="3">
        <v>1</v>
      </c>
      <c r="AS375" s="13">
        <v>-3</v>
      </c>
      <c r="AT375" s="13">
        <v>3.5</v>
      </c>
      <c r="AU375" s="19">
        <f t="shared" si="25"/>
        <v>2.0615528128088303</v>
      </c>
    </row>
    <row r="376" spans="1:47" ht="25.05" customHeight="1">
      <c r="A376" s="3">
        <v>14</v>
      </c>
      <c r="B376" s="2" t="s">
        <v>78</v>
      </c>
      <c r="C376" s="17" t="str">
        <f>IF($A376="","",IF(VLOOKUP($A376,Spiele!$A$2:$D$17,3,FALSE)=$B376,"H","G"))</f>
        <v>H</v>
      </c>
      <c r="D376" s="17" t="str">
        <f>IF($B376="","",IF(VLOOKUP($A376,Spiele!$A$2:$F$17,3,FALSE)=$B376,VLOOKUP($A376,Spiele!$A$2:$F$17,4,FALSE),VLOOKUP($A376,Spiele!$A$2:$F$17,3,FALSE)))</f>
        <v>FCN</v>
      </c>
      <c r="E376" s="18">
        <f>IF(Abschlüsse[[#This Row],[Ergeb]]="ET",0,COUNTIFS($A$2:$A376,$A376,$B$2:$B376,$B376,$L$2:$L376,"&lt;&gt;ET"))</f>
        <v>4</v>
      </c>
      <c r="F376" s="11">
        <v>27</v>
      </c>
      <c r="G376" s="12">
        <v>1</v>
      </c>
      <c r="H376" s="18">
        <f>COUNTIFS('Rote Karten'!$A$2:$A$4,$A376,'Rote Karten'!$D$2:$D$4,"&lt;&gt;"&amp;$B376,'Rote Karten'!$B$2:$B$4,"&lt;"&amp;$F376,'Rote Karten'!$C$2:$C$4,"&lt;="&amp;$G376)-COUNTIFS('Rote Karten'!$A$2:$A$4,$A376,'Rote Karten'!$D$2:$D$4,$B376,'Rote Karten'!$B$2:$B$4,"&lt;"&amp;$F376,'Rote Karten'!$C$2:$C$4,"&lt;="&amp;$G376)</f>
        <v>0</v>
      </c>
      <c r="I376" s="17" t="str">
        <f>IF(OR($L376="Tor",$L376="ET"),_xlfn.IFNA(IF(VLOOKUP($A376,Spiele!$A$2:$C$17,3,FALSE)=$B376,COUNTIFS($L$2:$L376,"Tor",$B$2:$B376,$B376,$A$2:$A376,$A376)+COUNTIFS($L$2:$L376,"ET",$B$2:$B376,$B376,$A$2:$A376,$A376)&amp;":"&amp;COUNTIFS($L$2:$L376,"Tor",$B$2:$B376,"&lt;&gt;"&amp;$B376,$A$2:$A376,$A376)+COUNTIFS($L$2:$L376,"ET",$B$2:$B376,"&lt;&gt;"&amp;$B376,$A$2:$A376,$A376),COUNTIFS($L$2:$L376,"Tor",$B$2:$B376,"&lt;&gt;"&amp;$B376,$A$2:$A376,$A376)+COUNTIFS($L$2:$L376,"ET",$B$2:$B376,"&lt;&gt;"&amp;$B376,$A$2:$A376,$A376)&amp;":"&amp;COUNTIFS($L$2:$L376,"Tor",$B$2:$B376,$B376,$A$2:$A376,$A376)+COUNTIFS($L$2:$L376,"ET",$B$2:$B376,$B376,$A$2:$A376,$A376)),""),"")</f>
        <v>2:1</v>
      </c>
      <c r="J376" s="18">
        <f>_xlfn.IFNA(IF(VLOOKUP($A376,Spiele!$A$2:$D$17,3,FALSE)=$B376,(COUNTIFS($L$1:$L375,"Tor",$B$1:$B375,$B376,$A$1:$A375,$A376)+COUNTIFS($L$1:$L375,"ET",$B$1:$B375,$B376,$A$1:$A375,$A376))-(COUNTIFS($L$1:$L375,"Tor",$B$1:$B375,"&lt;&gt;"&amp;$B376,$A$1:$A375,$A376)+COUNTIFS($L$1:$L375,"ET",$B$1:$B375,"&lt;&gt;"&amp;$B376,$A$1:$A375,$A376)),(COUNTIFS($L$1:$L375,"Tor",$B$1:$B375,$B376,$A$1:$A375,$A376)+COUNTIFS($L$1:$L375,"ET",$B$1:$B375,$B376,$A$1:$A375,$A376))-(COUNTIFS($L$1:$L375,"Tor",$B$1:$B375,"&lt;&gt;"&amp;$B376,$A$1:$A375,$A376)+COUNTIFS($L$1:$L375,"ET",$B$1:$B375,"&lt;&gt;"&amp;$B376,$A$1:$A375,$A376))),"")</f>
        <v>0</v>
      </c>
      <c r="K376" s="3">
        <v>6</v>
      </c>
      <c r="L376" s="17" t="s">
        <v>0</v>
      </c>
      <c r="M376" s="2" t="s">
        <v>163</v>
      </c>
      <c r="N376" s="2" t="s">
        <v>165</v>
      </c>
      <c r="O376" s="17"/>
      <c r="AA376" s="2" t="s">
        <v>142</v>
      </c>
      <c r="AB376" s="17" t="s">
        <v>143</v>
      </c>
      <c r="AC376" s="14" t="s">
        <v>150</v>
      </c>
      <c r="AD376" s="14" t="s">
        <v>145</v>
      </c>
      <c r="AE376" s="18"/>
      <c r="AF376" s="13">
        <v>-4.5</v>
      </c>
      <c r="AG376" s="13">
        <v>1</v>
      </c>
      <c r="AH376" s="19">
        <f t="shared" si="20"/>
        <v>1.3059862173851606</v>
      </c>
      <c r="AI376" s="19">
        <f t="shared" si="21"/>
        <v>42.983036191443382</v>
      </c>
      <c r="AJ376" s="2" t="s">
        <v>169</v>
      </c>
      <c r="AK376" s="13">
        <v>-3.5</v>
      </c>
      <c r="AL376" s="13">
        <v>0.5</v>
      </c>
      <c r="AM376" s="19">
        <f>IF(Abschlüsse[[#This Row],[Ergeb]]="ET","",SQRT(($AF376-$AK376)^2+($AG376-$AL376)^2))</f>
        <v>1.1180339887498949</v>
      </c>
      <c r="AN376" s="3">
        <v>1</v>
      </c>
      <c r="AO376" s="13">
        <v>-4.5</v>
      </c>
      <c r="AP376" s="13">
        <v>5</v>
      </c>
      <c r="AQ376" s="19">
        <f t="shared" si="24"/>
        <v>4</v>
      </c>
      <c r="AR376" s="3">
        <v>0</v>
      </c>
      <c r="AU376" s="19" t="str">
        <f t="shared" si="25"/>
        <v/>
      </c>
    </row>
    <row r="377" spans="1:47" ht="25.05" customHeight="1">
      <c r="A377" s="3">
        <v>14</v>
      </c>
      <c r="B377" s="2" t="s">
        <v>8</v>
      </c>
      <c r="C377" s="17" t="str">
        <f>IF($A377="","",IF(VLOOKUP($A377,Spiele!$A$2:$D$17,3,FALSE)=$B377,"H","G"))</f>
        <v>G</v>
      </c>
      <c r="D377" s="17" t="str">
        <f>IF($B377="","",IF(VLOOKUP($A377,Spiele!$A$2:$F$17,3,FALSE)=$B377,VLOOKUP($A377,Spiele!$A$2:$F$17,4,FALSE),VLOOKUP($A377,Spiele!$A$2:$F$17,3,FALSE)))</f>
        <v>SGF</v>
      </c>
      <c r="E377" s="18">
        <f>IF(Abschlüsse[[#This Row],[Ergeb]]="ET",0,COUNTIFS($A$2:$A377,$A377,$B$2:$B377,$B377,$L$2:$L377,"&lt;&gt;ET"))</f>
        <v>4</v>
      </c>
      <c r="F377" s="11">
        <v>29</v>
      </c>
      <c r="G377" s="12">
        <v>1</v>
      </c>
      <c r="H377" s="18">
        <f>COUNTIFS('Rote Karten'!$A$2:$A$4,$A377,'Rote Karten'!$D$2:$D$4,"&lt;&gt;"&amp;$B377,'Rote Karten'!$B$2:$B$4,"&lt;"&amp;$F377,'Rote Karten'!$C$2:$C$4,"&lt;="&amp;$G377)-COUNTIFS('Rote Karten'!$A$2:$A$4,$A377,'Rote Karten'!$D$2:$D$4,$B377,'Rote Karten'!$B$2:$B$4,"&lt;"&amp;$F377,'Rote Karten'!$C$2:$C$4,"&lt;="&amp;$G377)</f>
        <v>0</v>
      </c>
      <c r="I377" s="17" t="str">
        <f>IF(OR($L377="Tor",$L377="ET"),_xlfn.IFNA(IF(VLOOKUP($A377,Spiele!$A$2:$C$17,3,FALSE)=$B377,COUNTIFS($L$2:$L377,"Tor",$B$2:$B377,$B377,$A$2:$A377,$A377)+COUNTIFS($L$2:$L377,"ET",$B$2:$B377,$B377,$A$2:$A377,$A377)&amp;":"&amp;COUNTIFS($L$2:$L377,"Tor",$B$2:$B377,"&lt;&gt;"&amp;$B377,$A$2:$A377,$A377)+COUNTIFS($L$2:$L377,"ET",$B$2:$B377,"&lt;&gt;"&amp;$B377,$A$2:$A377,$A377),COUNTIFS($L$2:$L377,"Tor",$B$2:$B377,"&lt;&gt;"&amp;$B377,$A$2:$A377,$A377)+COUNTIFS($L$2:$L377,"ET",$B$2:$B377,"&lt;&gt;"&amp;$B377,$A$2:$A377,$A377)&amp;":"&amp;COUNTIFS($L$2:$L377,"Tor",$B$2:$B377,$B377,$A$2:$A377,$A377)+COUNTIFS($L$2:$L377,"ET",$B$2:$B377,$B377,$A$2:$A377,$A377)),""),"")</f>
        <v/>
      </c>
      <c r="J377" s="18">
        <f>_xlfn.IFNA(IF(VLOOKUP($A377,Spiele!$A$2:$D$17,3,FALSE)=$B377,(COUNTIFS($L$1:$L376,"Tor",$B$1:$B376,$B377,$A$1:$A376,$A377)+COUNTIFS($L$1:$L376,"ET",$B$1:$B376,$B377,$A$1:$A376,$A377))-(COUNTIFS($L$1:$L376,"Tor",$B$1:$B376,"&lt;&gt;"&amp;$B377,$A$1:$A376,$A377)+COUNTIFS($L$1:$L376,"ET",$B$1:$B376,"&lt;&gt;"&amp;$B377,$A$1:$A376,$A377)),(COUNTIFS($L$1:$L376,"Tor",$B$1:$B376,$B377,$A$1:$A376,$A377)+COUNTIFS($L$1:$L376,"ET",$B$1:$B376,$B377,$A$1:$A376,$A377))-(COUNTIFS($L$1:$L376,"Tor",$B$1:$B376,"&lt;&gt;"&amp;$B377,$A$1:$A376,$A377)+COUNTIFS($L$1:$L376,"ET",$B$1:$B376,"&lt;&gt;"&amp;$B377,$A$1:$A376,$A377))),"")</f>
        <v>-1</v>
      </c>
      <c r="K377" s="3">
        <v>7</v>
      </c>
      <c r="L377" s="17" t="s">
        <v>18</v>
      </c>
      <c r="M377" s="2" t="s">
        <v>163</v>
      </c>
      <c r="N377" s="2" t="s">
        <v>3</v>
      </c>
      <c r="O377" s="17"/>
      <c r="AA377" s="2" t="s">
        <v>151</v>
      </c>
      <c r="AB377" s="17" t="s">
        <v>149</v>
      </c>
      <c r="AC377" s="14" t="s">
        <v>150</v>
      </c>
      <c r="AD377" s="14" t="s">
        <v>156</v>
      </c>
      <c r="AE377" s="18">
        <v>10</v>
      </c>
      <c r="AF377" s="13">
        <v>-4</v>
      </c>
      <c r="AG377" s="13">
        <v>25.5</v>
      </c>
      <c r="AH377" s="19">
        <f t="shared" si="20"/>
        <v>25.502266565934878</v>
      </c>
      <c r="AI377" s="19">
        <f t="shared" si="21"/>
        <v>15.955957247645076</v>
      </c>
      <c r="AJ377" s="2" t="s">
        <v>146</v>
      </c>
      <c r="AK377" s="13">
        <v>-0.5</v>
      </c>
      <c r="AL377" s="13">
        <v>2</v>
      </c>
      <c r="AM377" s="19">
        <f>IF(Abschlüsse[[#This Row],[Ergeb]]="ET","",SQRT(($AF377-$AK377)^2+($AG377-$AL377)^2))</f>
        <v>23.759208741033444</v>
      </c>
      <c r="AN377" s="3">
        <v>0</v>
      </c>
      <c r="AO377" s="13"/>
      <c r="AP377" s="13"/>
      <c r="AQ377" s="19" t="str">
        <f t="shared" si="24"/>
        <v/>
      </c>
      <c r="AR377" s="3">
        <v>3</v>
      </c>
      <c r="AS377" s="13">
        <v>-3</v>
      </c>
      <c r="AT377" s="13">
        <v>23.5</v>
      </c>
      <c r="AU377" s="19">
        <f t="shared" si="25"/>
        <v>2.2360679774997898</v>
      </c>
    </row>
    <row r="378" spans="1:47" ht="25.05" customHeight="1">
      <c r="A378" s="3">
        <v>14</v>
      </c>
      <c r="B378" s="2" t="s">
        <v>78</v>
      </c>
      <c r="C378" s="17" t="str">
        <f>IF($A378="","",IF(VLOOKUP($A378,Spiele!$A$2:$D$17,3,FALSE)=$B378,"H","G"))</f>
        <v>H</v>
      </c>
      <c r="D378" s="17" t="str">
        <f>IF($B378="","",IF(VLOOKUP($A378,Spiele!$A$2:$F$17,3,FALSE)=$B378,VLOOKUP($A378,Spiele!$A$2:$F$17,4,FALSE),VLOOKUP($A378,Spiele!$A$2:$F$17,3,FALSE)))</f>
        <v>FCN</v>
      </c>
      <c r="E378" s="18">
        <f>IF(Abschlüsse[[#This Row],[Ergeb]]="ET",0,COUNTIFS($A$2:$A378,$A378,$B$2:$B378,$B378,$L$2:$L378,"&lt;&gt;ET"))</f>
        <v>5</v>
      </c>
      <c r="F378" s="11">
        <v>32</v>
      </c>
      <c r="G378" s="12">
        <v>1</v>
      </c>
      <c r="H378" s="18">
        <f>COUNTIFS('Rote Karten'!$A$2:$A$4,$A378,'Rote Karten'!$D$2:$D$4,"&lt;&gt;"&amp;$B378,'Rote Karten'!$B$2:$B$4,"&lt;"&amp;$F378,'Rote Karten'!$C$2:$C$4,"&lt;="&amp;$G378)-COUNTIFS('Rote Karten'!$A$2:$A$4,$A378,'Rote Karten'!$D$2:$D$4,$B378,'Rote Karten'!$B$2:$B$4,"&lt;"&amp;$F378,'Rote Karten'!$C$2:$C$4,"&lt;="&amp;$G378)</f>
        <v>0</v>
      </c>
      <c r="I378" s="17" t="str">
        <f>IF(OR($L378="Tor",$L378="ET"),_xlfn.IFNA(IF(VLOOKUP($A378,Spiele!$A$2:$C$17,3,FALSE)=$B378,COUNTIFS($L$2:$L378,"Tor",$B$2:$B378,$B378,$A$2:$A378,$A378)+COUNTIFS($L$2:$L378,"ET",$B$2:$B378,$B378,$A$2:$A378,$A378)&amp;":"&amp;COUNTIFS($L$2:$L378,"Tor",$B$2:$B378,"&lt;&gt;"&amp;$B378,$A$2:$A378,$A378)+COUNTIFS($L$2:$L378,"ET",$B$2:$B378,"&lt;&gt;"&amp;$B378,$A$2:$A378,$A378),COUNTIFS($L$2:$L378,"Tor",$B$2:$B378,"&lt;&gt;"&amp;$B378,$A$2:$A378,$A378)+COUNTIFS($L$2:$L378,"ET",$B$2:$B378,"&lt;&gt;"&amp;$B378,$A$2:$A378,$A378)&amp;":"&amp;COUNTIFS($L$2:$L378,"Tor",$B$2:$B378,$B378,$A$2:$A378,$A378)+COUNTIFS($L$2:$L378,"ET",$B$2:$B378,$B378,$A$2:$A378,$A378)),""),"")</f>
        <v/>
      </c>
      <c r="J378" s="18">
        <f>_xlfn.IFNA(IF(VLOOKUP($A378,Spiele!$A$2:$D$17,3,FALSE)=$B378,(COUNTIFS($L$1:$L377,"Tor",$B$1:$B377,$B378,$A$1:$A377,$A378)+COUNTIFS($L$1:$L377,"ET",$B$1:$B377,$B378,$A$1:$A377,$A378))-(COUNTIFS($L$1:$L377,"Tor",$B$1:$B377,"&lt;&gt;"&amp;$B378,$A$1:$A377,$A378)+COUNTIFS($L$1:$L377,"ET",$B$1:$B377,"&lt;&gt;"&amp;$B378,$A$1:$A377,$A378)),(COUNTIFS($L$1:$L377,"Tor",$B$1:$B377,$B378,$A$1:$A377,$A378)+COUNTIFS($L$1:$L377,"ET",$B$1:$B377,$B378,$A$1:$A377,$A378))-(COUNTIFS($L$1:$L377,"Tor",$B$1:$B377,"&lt;&gt;"&amp;$B378,$A$1:$A377,$A378)+COUNTIFS($L$1:$L377,"ET",$B$1:$B377,"&lt;&gt;"&amp;$B378,$A$1:$A377,$A378))),"")</f>
        <v>1</v>
      </c>
      <c r="K378" s="3">
        <v>8</v>
      </c>
      <c r="L378" s="17" t="s">
        <v>18</v>
      </c>
      <c r="M378" s="2" t="s">
        <v>163</v>
      </c>
      <c r="N378" s="2" t="s">
        <v>164</v>
      </c>
      <c r="O378" s="17"/>
      <c r="AA378" s="2" t="s">
        <v>151</v>
      </c>
      <c r="AB378" s="17" t="s">
        <v>143</v>
      </c>
      <c r="AC378" s="14" t="s">
        <v>150</v>
      </c>
      <c r="AD378" s="14" t="s">
        <v>156</v>
      </c>
      <c r="AE378" s="18"/>
      <c r="AF378" s="13">
        <v>-7.5</v>
      </c>
      <c r="AG378" s="13">
        <v>15.5</v>
      </c>
      <c r="AH378" s="19">
        <f t="shared" si="20"/>
        <v>15.968581652732968</v>
      </c>
      <c r="AI378" s="19">
        <f t="shared" si="21"/>
        <v>21.839475454833995</v>
      </c>
      <c r="AJ378" s="2" t="s">
        <v>146</v>
      </c>
      <c r="AK378" s="13">
        <v>-1</v>
      </c>
      <c r="AL378" s="13">
        <v>1</v>
      </c>
      <c r="AM378" s="19">
        <f>IF(Abschlüsse[[#This Row],[Ergeb]]="ET","",SQRT(($AF378-$AK378)^2+($AG378-$AL378)^2))</f>
        <v>15.890248582070704</v>
      </c>
      <c r="AN378" s="3">
        <v>2</v>
      </c>
      <c r="AO378" s="13">
        <v>-9</v>
      </c>
      <c r="AP378" s="13">
        <v>14.5</v>
      </c>
      <c r="AQ378" s="19">
        <f t="shared" si="24"/>
        <v>1.8027756377319946</v>
      </c>
      <c r="AR378" s="3">
        <v>1</v>
      </c>
      <c r="AS378" s="13">
        <v>-3</v>
      </c>
      <c r="AT378" s="13">
        <v>11.5</v>
      </c>
      <c r="AU378" s="19">
        <f t="shared" si="25"/>
        <v>6.0207972893961479</v>
      </c>
    </row>
    <row r="379" spans="1:47" ht="25.05" customHeight="1">
      <c r="A379" s="3">
        <v>14</v>
      </c>
      <c r="B379" s="2" t="s">
        <v>8</v>
      </c>
      <c r="C379" s="17" t="str">
        <f>IF($A379="","",IF(VLOOKUP($A379,Spiele!$A$2:$D$17,3,FALSE)=$B379,"H","G"))</f>
        <v>G</v>
      </c>
      <c r="D379" s="17" t="str">
        <f>IF($B379="","",IF(VLOOKUP($A379,Spiele!$A$2:$F$17,3,FALSE)=$B379,VLOOKUP($A379,Spiele!$A$2:$F$17,4,FALSE),VLOOKUP($A379,Spiele!$A$2:$F$17,3,FALSE)))</f>
        <v>SGF</v>
      </c>
      <c r="E379" s="18">
        <f>IF(Abschlüsse[[#This Row],[Ergeb]]="ET",0,COUNTIFS($A$2:$A379,$A379,$B$2:$B379,$B379,$L$2:$L379,"&lt;&gt;ET"))</f>
        <v>5</v>
      </c>
      <c r="F379" s="11">
        <v>46</v>
      </c>
      <c r="G379" s="12">
        <v>2</v>
      </c>
      <c r="H379" s="18">
        <f>COUNTIFS('Rote Karten'!$A$2:$A$4,$A379,'Rote Karten'!$D$2:$D$4,"&lt;&gt;"&amp;$B379,'Rote Karten'!$B$2:$B$4,"&lt;"&amp;$F379,'Rote Karten'!$C$2:$C$4,"&lt;="&amp;$G379)-COUNTIFS('Rote Karten'!$A$2:$A$4,$A379,'Rote Karten'!$D$2:$D$4,$B379,'Rote Karten'!$B$2:$B$4,"&lt;"&amp;$F379,'Rote Karten'!$C$2:$C$4,"&lt;="&amp;$G379)</f>
        <v>0</v>
      </c>
      <c r="I379" s="17" t="str">
        <f>IF(OR($L379="Tor",$L379="ET"),_xlfn.IFNA(IF(VLOOKUP($A379,Spiele!$A$2:$C$17,3,FALSE)=$B379,COUNTIFS($L$2:$L379,"Tor",$B$2:$B379,$B379,$A$2:$A379,$A379)+COUNTIFS($L$2:$L379,"ET",$B$2:$B379,$B379,$A$2:$A379,$A379)&amp;":"&amp;COUNTIFS($L$2:$L379,"Tor",$B$2:$B379,"&lt;&gt;"&amp;$B379,$A$2:$A379,$A379)+COUNTIFS($L$2:$L379,"ET",$B$2:$B379,"&lt;&gt;"&amp;$B379,$A$2:$A379,$A379),COUNTIFS($L$2:$L379,"Tor",$B$2:$B379,"&lt;&gt;"&amp;$B379,$A$2:$A379,$A379)+COUNTIFS($L$2:$L379,"ET",$B$2:$B379,"&lt;&gt;"&amp;$B379,$A$2:$A379,$A379)&amp;":"&amp;COUNTIFS($L$2:$L379,"Tor",$B$2:$B379,$B379,$A$2:$A379,$A379)+COUNTIFS($L$2:$L379,"ET",$B$2:$B379,$B379,$A$2:$A379,$A379)),""),"")</f>
        <v/>
      </c>
      <c r="J379" s="18">
        <f>_xlfn.IFNA(IF(VLOOKUP($A379,Spiele!$A$2:$D$17,3,FALSE)=$B379,(COUNTIFS($L$1:$L378,"Tor",$B$1:$B378,$B379,$A$1:$A378,$A379)+COUNTIFS($L$1:$L378,"ET",$B$1:$B378,$B379,$A$1:$A378,$A379))-(COUNTIFS($L$1:$L378,"Tor",$B$1:$B378,"&lt;&gt;"&amp;$B379,$A$1:$A378,$A379)+COUNTIFS($L$1:$L378,"ET",$B$1:$B378,"&lt;&gt;"&amp;$B379,$A$1:$A378,$A379)),(COUNTIFS($L$1:$L378,"Tor",$B$1:$B378,$B379,$A$1:$A378,$A379)+COUNTIFS($L$1:$L378,"ET",$B$1:$B378,$B379,$A$1:$A378,$A379))-(COUNTIFS($L$1:$L378,"Tor",$B$1:$B378,"&lt;&gt;"&amp;$B379,$A$1:$A378,$A379)+COUNTIFS($L$1:$L378,"ET",$B$1:$B378,"&lt;&gt;"&amp;$B379,$A$1:$A378,$A379))),"")</f>
        <v>-1</v>
      </c>
      <c r="K379" s="3">
        <v>9</v>
      </c>
      <c r="L379" s="17" t="s">
        <v>19</v>
      </c>
      <c r="M379" s="2" t="s">
        <v>168</v>
      </c>
      <c r="N379" s="2" t="s">
        <v>153</v>
      </c>
      <c r="O379" s="17">
        <v>8</v>
      </c>
      <c r="P379" s="2">
        <v>20</v>
      </c>
      <c r="AA379" s="2" t="s">
        <v>154</v>
      </c>
      <c r="AB379" s="17" t="s">
        <v>160</v>
      </c>
      <c r="AC379" s="14" t="s">
        <v>161</v>
      </c>
      <c r="AD379" s="14" t="s">
        <v>156</v>
      </c>
      <c r="AE379" s="18">
        <v>16</v>
      </c>
      <c r="AF379" s="13">
        <v>-3</v>
      </c>
      <c r="AG379" s="13">
        <v>5.5</v>
      </c>
      <c r="AH379" s="19">
        <f t="shared" si="20"/>
        <v>5.5</v>
      </c>
      <c r="AI379" s="19">
        <f t="shared" si="21"/>
        <v>57.291999541595608</v>
      </c>
      <c r="AJ379" s="2" t="s">
        <v>146</v>
      </c>
      <c r="AK379" s="13">
        <v>-2</v>
      </c>
      <c r="AL379" s="13">
        <v>0.5</v>
      </c>
      <c r="AM379" s="19">
        <f>IF(Abschlüsse[[#This Row],[Ergeb]]="ET","",SQRT(($AF379-$AK379)^2+($AG379-$AL379)^2))</f>
        <v>5.0990195135927845</v>
      </c>
      <c r="AN379" s="3">
        <v>0</v>
      </c>
      <c r="AO379" s="13"/>
      <c r="AP379" s="13"/>
      <c r="AQ379" s="19" t="str">
        <f t="shared" si="24"/>
        <v/>
      </c>
      <c r="AR379" s="3">
        <v>0</v>
      </c>
      <c r="AU379" s="19" t="str">
        <f t="shared" si="25"/>
        <v/>
      </c>
    </row>
    <row r="380" spans="1:47" ht="25.05" customHeight="1">
      <c r="A380" s="3">
        <v>14</v>
      </c>
      <c r="B380" s="2" t="s">
        <v>8</v>
      </c>
      <c r="C380" s="17" t="str">
        <f>IF($A380="","",IF(VLOOKUP($A380,Spiele!$A$2:$D$17,3,FALSE)=$B380,"H","G"))</f>
        <v>G</v>
      </c>
      <c r="D380" s="17" t="str">
        <f>IF($B380="","",IF(VLOOKUP($A380,Spiele!$A$2:$F$17,3,FALSE)=$B380,VLOOKUP($A380,Spiele!$A$2:$F$17,4,FALSE),VLOOKUP($A380,Spiele!$A$2:$F$17,3,FALSE)))</f>
        <v>SGF</v>
      </c>
      <c r="E380" s="18">
        <f>IF(Abschlüsse[[#This Row],[Ergeb]]="ET",0,COUNTIFS($A$2:$A380,$A380,$B$2:$B380,$B380,$L$2:$L380,"&lt;&gt;ET"))</f>
        <v>6</v>
      </c>
      <c r="F380" s="11">
        <v>48</v>
      </c>
      <c r="G380" s="12">
        <v>2</v>
      </c>
      <c r="H380" s="18">
        <f>COUNTIFS('Rote Karten'!$A$2:$A$4,$A380,'Rote Karten'!$D$2:$D$4,"&lt;&gt;"&amp;$B380,'Rote Karten'!$B$2:$B$4,"&lt;"&amp;$F380,'Rote Karten'!$C$2:$C$4,"&lt;="&amp;$G380)-COUNTIFS('Rote Karten'!$A$2:$A$4,$A380,'Rote Karten'!$D$2:$D$4,$B380,'Rote Karten'!$B$2:$B$4,"&lt;"&amp;$F380,'Rote Karten'!$C$2:$C$4,"&lt;="&amp;$G380)</f>
        <v>0</v>
      </c>
      <c r="I380" s="17" t="str">
        <f>IF(OR($L380="Tor",$L380="ET"),_xlfn.IFNA(IF(VLOOKUP($A380,Spiele!$A$2:$C$17,3,FALSE)=$B380,COUNTIFS($L$2:$L380,"Tor",$B$2:$B380,$B380,$A$2:$A380,$A380)+COUNTIFS($L$2:$L380,"ET",$B$2:$B380,$B380,$A$2:$A380,$A380)&amp;":"&amp;COUNTIFS($L$2:$L380,"Tor",$B$2:$B380,"&lt;&gt;"&amp;$B380,$A$2:$A380,$A380)+COUNTIFS($L$2:$L380,"ET",$B$2:$B380,"&lt;&gt;"&amp;$B380,$A$2:$A380,$A380),COUNTIFS($L$2:$L380,"Tor",$B$2:$B380,"&lt;&gt;"&amp;$B380,$A$2:$A380,$A380)+COUNTIFS($L$2:$L380,"ET",$B$2:$B380,"&lt;&gt;"&amp;$B380,$A$2:$A380,$A380)&amp;":"&amp;COUNTIFS($L$2:$L380,"Tor",$B$2:$B380,$B380,$A$2:$A380,$A380)+COUNTIFS($L$2:$L380,"ET",$B$2:$B380,$B380,$A$2:$A380,$A380)),""),"")</f>
        <v/>
      </c>
      <c r="J380" s="18">
        <f>_xlfn.IFNA(IF(VLOOKUP($A380,Spiele!$A$2:$D$17,3,FALSE)=$B380,(COUNTIFS($L$1:$L379,"Tor",$B$1:$B379,$B380,$A$1:$A379,$A380)+COUNTIFS($L$1:$L379,"ET",$B$1:$B379,$B380,$A$1:$A379,$A380))-(COUNTIFS($L$1:$L379,"Tor",$B$1:$B379,"&lt;&gt;"&amp;$B380,$A$1:$A379,$A380)+COUNTIFS($L$1:$L379,"ET",$B$1:$B379,"&lt;&gt;"&amp;$B380,$A$1:$A379,$A380)),(COUNTIFS($L$1:$L379,"Tor",$B$1:$B379,$B380,$A$1:$A379,$A380)+COUNTIFS($L$1:$L379,"ET",$B$1:$B379,$B380,$A$1:$A379,$A380))-(COUNTIFS($L$1:$L379,"Tor",$B$1:$B379,"&lt;&gt;"&amp;$B380,$A$1:$A379,$A380)+COUNTIFS($L$1:$L379,"ET",$B$1:$B379,"&lt;&gt;"&amp;$B380,$A$1:$A379,$A380))),"")</f>
        <v>-1</v>
      </c>
      <c r="K380" s="3">
        <v>10</v>
      </c>
      <c r="L380" s="17" t="s">
        <v>19</v>
      </c>
      <c r="M380" s="2" t="s">
        <v>175</v>
      </c>
      <c r="N380" s="2" t="s">
        <v>175</v>
      </c>
      <c r="O380" s="17">
        <v>8</v>
      </c>
      <c r="AA380" s="2" t="s">
        <v>154</v>
      </c>
      <c r="AB380" s="17" t="s">
        <v>160</v>
      </c>
      <c r="AC380" s="14" t="s">
        <v>161</v>
      </c>
      <c r="AD380" s="14" t="s">
        <v>156</v>
      </c>
      <c r="AE380" s="18">
        <v>16</v>
      </c>
      <c r="AF380" s="13">
        <v>1.5</v>
      </c>
      <c r="AG380" s="13">
        <v>8.5</v>
      </c>
      <c r="AH380" s="19">
        <f t="shared" si="20"/>
        <v>8.5</v>
      </c>
      <c r="AI380" s="19">
        <f t="shared" si="21"/>
        <v>45.518286958481966</v>
      </c>
      <c r="AJ380" s="2" t="s">
        <v>146</v>
      </c>
      <c r="AK380" s="13">
        <v>0</v>
      </c>
      <c r="AL380" s="13">
        <v>0.5</v>
      </c>
      <c r="AM380" s="19">
        <f>IF(Abschlüsse[[#This Row],[Ergeb]]="ET","",SQRT(($AF380-$AK380)^2+($AG380-$AL380)^2))</f>
        <v>8.1394102980498531</v>
      </c>
      <c r="AN380" s="3">
        <v>3</v>
      </c>
      <c r="AO380" s="13">
        <v>2.5</v>
      </c>
      <c r="AP380" s="13">
        <v>8.5</v>
      </c>
      <c r="AQ380" s="19">
        <f t="shared" si="24"/>
        <v>1</v>
      </c>
      <c r="AR380" s="3">
        <v>0</v>
      </c>
      <c r="AU380" s="19" t="str">
        <f t="shared" si="25"/>
        <v/>
      </c>
    </row>
    <row r="381" spans="1:47" ht="25.05" customHeight="1">
      <c r="A381" s="3">
        <v>14</v>
      </c>
      <c r="B381" s="2" t="s">
        <v>78</v>
      </c>
      <c r="C381" s="17" t="str">
        <f>IF($A381="","",IF(VLOOKUP($A381,Spiele!$A$2:$D$17,3,FALSE)=$B381,"H","G"))</f>
        <v>H</v>
      </c>
      <c r="D381" s="17" t="str">
        <f>IF($B381="","",IF(VLOOKUP($A381,Spiele!$A$2:$F$17,3,FALSE)=$B381,VLOOKUP($A381,Spiele!$A$2:$F$17,4,FALSE),VLOOKUP($A381,Spiele!$A$2:$F$17,3,FALSE)))</f>
        <v>FCN</v>
      </c>
      <c r="E381" s="18">
        <f>IF(Abschlüsse[[#This Row],[Ergeb]]="ET",0,COUNTIFS($A$2:$A381,$A381,$B$2:$B381,$B381,$L$2:$L381,"&lt;&gt;ET"))</f>
        <v>6</v>
      </c>
      <c r="F381" s="11">
        <v>52</v>
      </c>
      <c r="G381" s="12">
        <v>2</v>
      </c>
      <c r="H381" s="18">
        <f>COUNTIFS('Rote Karten'!$A$2:$A$4,$A381,'Rote Karten'!$D$2:$D$4,"&lt;&gt;"&amp;$B381,'Rote Karten'!$B$2:$B$4,"&lt;"&amp;$F381,'Rote Karten'!$C$2:$C$4,"&lt;="&amp;$G381)-COUNTIFS('Rote Karten'!$A$2:$A$4,$A381,'Rote Karten'!$D$2:$D$4,$B381,'Rote Karten'!$B$2:$B$4,"&lt;"&amp;$F381,'Rote Karten'!$C$2:$C$4,"&lt;="&amp;$G381)</f>
        <v>0</v>
      </c>
      <c r="I381" s="17" t="str">
        <f>IF(OR($L381="Tor",$L381="ET"),_xlfn.IFNA(IF(VLOOKUP($A381,Spiele!$A$2:$C$17,3,FALSE)=$B381,COUNTIFS($L$2:$L381,"Tor",$B$2:$B381,$B381,$A$2:$A381,$A381)+COUNTIFS($L$2:$L381,"ET",$B$2:$B381,$B381,$A$2:$A381,$A381)&amp;":"&amp;COUNTIFS($L$2:$L381,"Tor",$B$2:$B381,"&lt;&gt;"&amp;$B381,$A$2:$A381,$A381)+COUNTIFS($L$2:$L381,"ET",$B$2:$B381,"&lt;&gt;"&amp;$B381,$A$2:$A381,$A381),COUNTIFS($L$2:$L381,"Tor",$B$2:$B381,"&lt;&gt;"&amp;$B381,$A$2:$A381,$A381)+COUNTIFS($L$2:$L381,"ET",$B$2:$B381,"&lt;&gt;"&amp;$B381,$A$2:$A381,$A381)&amp;":"&amp;COUNTIFS($L$2:$L381,"Tor",$B$2:$B381,$B381,$A$2:$A381,$A381)+COUNTIFS($L$2:$L381,"ET",$B$2:$B381,$B381,$A$2:$A381,$A381)),""),"")</f>
        <v/>
      </c>
      <c r="J381" s="18">
        <f>_xlfn.IFNA(IF(VLOOKUP($A381,Spiele!$A$2:$D$17,3,FALSE)=$B381,(COUNTIFS($L$1:$L380,"Tor",$B$1:$B380,$B381,$A$1:$A380,$A381)+COUNTIFS($L$1:$L380,"ET",$B$1:$B380,$B381,$A$1:$A380,$A381))-(COUNTIFS($L$1:$L380,"Tor",$B$1:$B380,"&lt;&gt;"&amp;$B381,$A$1:$A380,$A381)+COUNTIFS($L$1:$L380,"ET",$B$1:$B380,"&lt;&gt;"&amp;$B381,$A$1:$A380,$A381)),(COUNTIFS($L$1:$L380,"Tor",$B$1:$B380,$B381,$A$1:$A380,$A381)+COUNTIFS($L$1:$L380,"ET",$B$1:$B380,$B381,$A$1:$A380,$A381))-(COUNTIFS($L$1:$L380,"Tor",$B$1:$B380,"&lt;&gt;"&amp;$B381,$A$1:$A380,$A381)+COUNTIFS($L$1:$L380,"ET",$B$1:$B380,"&lt;&gt;"&amp;$B381,$A$1:$A380,$A381))),"")</f>
        <v>1</v>
      </c>
      <c r="K381" s="3">
        <v>11</v>
      </c>
      <c r="L381" s="17" t="s">
        <v>19</v>
      </c>
      <c r="M381" s="2" t="s">
        <v>175</v>
      </c>
      <c r="N381" s="2" t="s">
        <v>175</v>
      </c>
      <c r="O381" s="17"/>
      <c r="AA381" s="2" t="s">
        <v>154</v>
      </c>
      <c r="AB381" s="17" t="s">
        <v>160</v>
      </c>
      <c r="AC381" s="14" t="s">
        <v>161</v>
      </c>
      <c r="AD381" s="14" t="s">
        <v>156</v>
      </c>
      <c r="AE381" s="18"/>
      <c r="AF381" s="13">
        <v>2.5</v>
      </c>
      <c r="AG381" s="13">
        <v>15</v>
      </c>
      <c r="AH381" s="19">
        <f t="shared" si="20"/>
        <v>15</v>
      </c>
      <c r="AI381" s="19">
        <f t="shared" si="21"/>
        <v>26.748394088035369</v>
      </c>
      <c r="AJ381" s="2" t="s">
        <v>146</v>
      </c>
      <c r="AK381" s="13">
        <v>0</v>
      </c>
      <c r="AL381" s="13">
        <v>2</v>
      </c>
      <c r="AM381" s="19">
        <f>IF(Abschlüsse[[#This Row],[Ergeb]]="ET","",SQRT(($AF381-$AK381)^2+($AG381-$AL381)^2))</f>
        <v>13.238202294873727</v>
      </c>
      <c r="AN381" s="3">
        <v>4</v>
      </c>
      <c r="AO381" s="13">
        <v>3</v>
      </c>
      <c r="AP381" s="13">
        <v>15.5</v>
      </c>
      <c r="AQ381" s="19">
        <f t="shared" si="24"/>
        <v>0.70710678118654757</v>
      </c>
      <c r="AR381" s="3">
        <v>0</v>
      </c>
      <c r="AU381" s="19" t="str">
        <f t="shared" si="25"/>
        <v/>
      </c>
    </row>
    <row r="382" spans="1:47" ht="25.05" customHeight="1">
      <c r="A382" s="3">
        <v>14</v>
      </c>
      <c r="B382" s="2" t="s">
        <v>78</v>
      </c>
      <c r="C382" s="17" t="str">
        <f>IF($A382="","",IF(VLOOKUP($A382,Spiele!$A$2:$D$17,3,FALSE)=$B382,"H","G"))</f>
        <v>H</v>
      </c>
      <c r="D382" s="17" t="str">
        <f>IF($B382="","",IF(VLOOKUP($A382,Spiele!$A$2:$F$17,3,FALSE)=$B382,VLOOKUP($A382,Spiele!$A$2:$F$17,4,FALSE),VLOOKUP($A382,Spiele!$A$2:$F$17,3,FALSE)))</f>
        <v>FCN</v>
      </c>
      <c r="E382" s="18">
        <f>IF(Abschlüsse[[#This Row],[Ergeb]]="ET",0,COUNTIFS($A$2:$A382,$A382,$B$2:$B382,$B382,$L$2:$L382,"&lt;&gt;ET"))</f>
        <v>7</v>
      </c>
      <c r="F382" s="11">
        <v>53</v>
      </c>
      <c r="G382" s="12">
        <v>2</v>
      </c>
      <c r="H382" s="18">
        <f>COUNTIFS('Rote Karten'!$A$2:$A$4,$A382,'Rote Karten'!$D$2:$D$4,"&lt;&gt;"&amp;$B382,'Rote Karten'!$B$2:$B$4,"&lt;"&amp;$F382,'Rote Karten'!$C$2:$C$4,"&lt;="&amp;$G382)-COUNTIFS('Rote Karten'!$A$2:$A$4,$A382,'Rote Karten'!$D$2:$D$4,$B382,'Rote Karten'!$B$2:$B$4,"&lt;"&amp;$F382,'Rote Karten'!$C$2:$C$4,"&lt;="&amp;$G382)</f>
        <v>0</v>
      </c>
      <c r="I382" s="17" t="str">
        <f>IF(OR($L382="Tor",$L382="ET"),_xlfn.IFNA(IF(VLOOKUP($A382,Spiele!$A$2:$C$17,3,FALSE)=$B382,COUNTIFS($L$2:$L382,"Tor",$B$2:$B382,$B382,$A$2:$A382,$A382)+COUNTIFS($L$2:$L382,"ET",$B$2:$B382,$B382,$A$2:$A382,$A382)&amp;":"&amp;COUNTIFS($L$2:$L382,"Tor",$B$2:$B382,"&lt;&gt;"&amp;$B382,$A$2:$A382,$A382)+COUNTIFS($L$2:$L382,"ET",$B$2:$B382,"&lt;&gt;"&amp;$B382,$A$2:$A382,$A382),COUNTIFS($L$2:$L382,"Tor",$B$2:$B382,"&lt;&gt;"&amp;$B382,$A$2:$A382,$A382)+COUNTIFS($L$2:$L382,"ET",$B$2:$B382,"&lt;&gt;"&amp;$B382,$A$2:$A382,$A382)&amp;":"&amp;COUNTIFS($L$2:$L382,"Tor",$B$2:$B382,$B382,$A$2:$A382,$A382)+COUNTIFS($L$2:$L382,"ET",$B$2:$B382,$B382,$A$2:$A382,$A382)),""),"")</f>
        <v/>
      </c>
      <c r="J382" s="18">
        <f>_xlfn.IFNA(IF(VLOOKUP($A382,Spiele!$A$2:$D$17,3,FALSE)=$B382,(COUNTIFS($L$1:$L381,"Tor",$B$1:$B381,$B382,$A$1:$A381,$A382)+COUNTIFS($L$1:$L381,"ET",$B$1:$B381,$B382,$A$1:$A381,$A382))-(COUNTIFS($L$1:$L381,"Tor",$B$1:$B381,"&lt;&gt;"&amp;$B382,$A$1:$A381,$A382)+COUNTIFS($L$1:$L381,"ET",$B$1:$B381,"&lt;&gt;"&amp;$B382,$A$1:$A381,$A382)),(COUNTIFS($L$1:$L381,"Tor",$B$1:$B381,$B382,$A$1:$A381,$A382)+COUNTIFS($L$1:$L381,"ET",$B$1:$B381,$B382,$A$1:$A381,$A382))-(COUNTIFS($L$1:$L381,"Tor",$B$1:$B381,"&lt;&gt;"&amp;$B382,$A$1:$A381,$A382)+COUNTIFS($L$1:$L381,"ET",$B$1:$B381,"&lt;&gt;"&amp;$B382,$A$1:$A381,$A382))),"")</f>
        <v>1</v>
      </c>
      <c r="K382" s="3">
        <v>12</v>
      </c>
      <c r="L382" s="17" t="s">
        <v>19</v>
      </c>
      <c r="M382" s="2" t="s">
        <v>163</v>
      </c>
      <c r="N382" s="2" t="s">
        <v>155</v>
      </c>
      <c r="O382" s="17"/>
      <c r="AA382" s="2" t="s">
        <v>151</v>
      </c>
      <c r="AB382" s="17" t="s">
        <v>143</v>
      </c>
      <c r="AC382" s="14" t="s">
        <v>150</v>
      </c>
      <c r="AD382" s="14" t="s">
        <v>156</v>
      </c>
      <c r="AE382" s="18"/>
      <c r="AF382" s="13">
        <v>8.5</v>
      </c>
      <c r="AG382" s="13">
        <v>27.5</v>
      </c>
      <c r="AH382" s="19">
        <f t="shared" si="20"/>
        <v>27.922671791932807</v>
      </c>
      <c r="AI382" s="19">
        <f t="shared" si="21"/>
        <v>13.87231364010124</v>
      </c>
      <c r="AJ382" s="2" t="s">
        <v>146</v>
      </c>
      <c r="AK382" s="13">
        <v>1</v>
      </c>
      <c r="AL382" s="13">
        <v>4</v>
      </c>
      <c r="AM382" s="19">
        <f>IF(Abschlüsse[[#This Row],[Ergeb]]="ET","",SQRT(($AF382-$AK382)^2+($AG382-$AL382)^2))</f>
        <v>24.66779276708802</v>
      </c>
      <c r="AN382" s="3">
        <v>1</v>
      </c>
      <c r="AO382" s="13">
        <v>6</v>
      </c>
      <c r="AP382" s="13">
        <v>28</v>
      </c>
      <c r="AQ382" s="19">
        <f t="shared" si="24"/>
        <v>2.5495097567963922</v>
      </c>
      <c r="AR382" s="3">
        <v>0</v>
      </c>
      <c r="AU382" s="19" t="str">
        <f t="shared" si="25"/>
        <v/>
      </c>
    </row>
    <row r="383" spans="1:47" ht="25.05" customHeight="1">
      <c r="A383" s="3">
        <v>14</v>
      </c>
      <c r="B383" s="2" t="s">
        <v>8</v>
      </c>
      <c r="C383" s="17" t="str">
        <f>IF($A383="","",IF(VLOOKUP($A383,Spiele!$A$2:$D$17,3,FALSE)=$B383,"H","G"))</f>
        <v>G</v>
      </c>
      <c r="D383" s="17" t="str">
        <f>IF($B383="","",IF(VLOOKUP($A383,Spiele!$A$2:$F$17,3,FALSE)=$B383,VLOOKUP($A383,Spiele!$A$2:$F$17,4,FALSE),VLOOKUP($A383,Spiele!$A$2:$F$17,3,FALSE)))</f>
        <v>SGF</v>
      </c>
      <c r="E383" s="18">
        <f>IF(Abschlüsse[[#This Row],[Ergeb]]="ET",0,COUNTIFS($A$2:$A383,$A383,$B$2:$B383,$B383,$L$2:$L383,"&lt;&gt;ET"))</f>
        <v>7</v>
      </c>
      <c r="F383" s="11">
        <v>54</v>
      </c>
      <c r="G383" s="12">
        <v>2</v>
      </c>
      <c r="H383" s="18">
        <f>COUNTIFS('Rote Karten'!$A$2:$A$4,$A383,'Rote Karten'!$D$2:$D$4,"&lt;&gt;"&amp;$B383,'Rote Karten'!$B$2:$B$4,"&lt;"&amp;$F383,'Rote Karten'!$C$2:$C$4,"&lt;="&amp;$G383)-COUNTIFS('Rote Karten'!$A$2:$A$4,$A383,'Rote Karten'!$D$2:$D$4,$B383,'Rote Karten'!$B$2:$B$4,"&lt;"&amp;$F383,'Rote Karten'!$C$2:$C$4,"&lt;="&amp;$G383)</f>
        <v>0</v>
      </c>
      <c r="I383" s="17" t="str">
        <f>IF(OR($L383="Tor",$L383="ET"),_xlfn.IFNA(IF(VLOOKUP($A383,Spiele!$A$2:$C$17,3,FALSE)=$B383,COUNTIFS($L$2:$L383,"Tor",$B$2:$B383,$B383,$A$2:$A383,$A383)+COUNTIFS($L$2:$L383,"ET",$B$2:$B383,$B383,$A$2:$A383,$A383)&amp;":"&amp;COUNTIFS($L$2:$L383,"Tor",$B$2:$B383,"&lt;&gt;"&amp;$B383,$A$2:$A383,$A383)+COUNTIFS($L$2:$L383,"ET",$B$2:$B383,"&lt;&gt;"&amp;$B383,$A$2:$A383,$A383),COUNTIFS($L$2:$L383,"Tor",$B$2:$B383,"&lt;&gt;"&amp;$B383,$A$2:$A383,$A383)+COUNTIFS($L$2:$L383,"ET",$B$2:$B383,"&lt;&gt;"&amp;$B383,$A$2:$A383,$A383)&amp;":"&amp;COUNTIFS($L$2:$L383,"Tor",$B$2:$B383,$B383,$A$2:$A383,$A383)+COUNTIFS($L$2:$L383,"ET",$B$2:$B383,$B383,$A$2:$A383,$A383)),""),"")</f>
        <v>2:2</v>
      </c>
      <c r="J383" s="18">
        <f>_xlfn.IFNA(IF(VLOOKUP($A383,Spiele!$A$2:$D$17,3,FALSE)=$B383,(COUNTIFS($L$1:$L382,"Tor",$B$1:$B382,$B383,$A$1:$A382,$A383)+COUNTIFS($L$1:$L382,"ET",$B$1:$B382,$B383,$A$1:$A382,$A383))-(COUNTIFS($L$1:$L382,"Tor",$B$1:$B382,"&lt;&gt;"&amp;$B383,$A$1:$A382,$A383)+COUNTIFS($L$1:$L382,"ET",$B$1:$B382,"&lt;&gt;"&amp;$B383,$A$1:$A382,$A383)),(COUNTIFS($L$1:$L382,"Tor",$B$1:$B382,$B383,$A$1:$A382,$A383)+COUNTIFS($L$1:$L382,"ET",$B$1:$B382,$B383,$A$1:$A382,$A383))-(COUNTIFS($L$1:$L382,"Tor",$B$1:$B382,"&lt;&gt;"&amp;$B383,$A$1:$A382,$A383)+COUNTIFS($L$1:$L382,"ET",$B$1:$B382,"&lt;&gt;"&amp;$B383,$A$1:$A382,$A383))),"")</f>
        <v>-1</v>
      </c>
      <c r="K383" s="3">
        <v>13</v>
      </c>
      <c r="L383" s="17" t="s">
        <v>0</v>
      </c>
      <c r="M383" s="2" t="s">
        <v>147</v>
      </c>
      <c r="N383" s="2" t="s">
        <v>158</v>
      </c>
      <c r="O383" s="17">
        <v>10</v>
      </c>
      <c r="P383" s="2">
        <v>8</v>
      </c>
      <c r="Q383" s="2">
        <v>4</v>
      </c>
      <c r="R383" s="2">
        <v>23</v>
      </c>
      <c r="S383" s="2">
        <v>6</v>
      </c>
      <c r="T383" s="2">
        <v>16</v>
      </c>
      <c r="U383" s="2">
        <v>20</v>
      </c>
      <c r="V383" s="2">
        <v>1</v>
      </c>
      <c r="AA383" s="2" t="s">
        <v>141</v>
      </c>
      <c r="AB383" s="17" t="s">
        <v>143</v>
      </c>
      <c r="AC383" s="14" t="s">
        <v>150</v>
      </c>
      <c r="AD383" s="14" t="s">
        <v>156</v>
      </c>
      <c r="AE383" s="18">
        <v>9</v>
      </c>
      <c r="AF383" s="13">
        <v>7</v>
      </c>
      <c r="AG383" s="13">
        <v>13</v>
      </c>
      <c r="AH383" s="19">
        <f t="shared" si="20"/>
        <v>13.422205481961599</v>
      </c>
      <c r="AI383" s="19">
        <f t="shared" si="21"/>
        <v>24.942791600081701</v>
      </c>
      <c r="AJ383" s="2" t="s">
        <v>146</v>
      </c>
      <c r="AK383" s="13">
        <v>2</v>
      </c>
      <c r="AL383" s="13">
        <v>2</v>
      </c>
      <c r="AM383" s="19">
        <f>IF(Abschlüsse[[#This Row],[Ergeb]]="ET","",SQRT(($AF383-$AK383)^2+($AG383-$AL383)^2))</f>
        <v>12.083045973594572</v>
      </c>
      <c r="AN383" s="3">
        <v>3</v>
      </c>
      <c r="AO383" s="13">
        <v>7</v>
      </c>
      <c r="AP383" s="13">
        <v>11</v>
      </c>
      <c r="AQ383" s="19">
        <f t="shared" si="24"/>
        <v>2</v>
      </c>
      <c r="AR383" s="3">
        <v>1</v>
      </c>
      <c r="AS383" s="13">
        <v>5</v>
      </c>
      <c r="AT383" s="13">
        <v>9.5</v>
      </c>
      <c r="AU383" s="19">
        <f t="shared" si="25"/>
        <v>4.0311288741492746</v>
      </c>
    </row>
    <row r="384" spans="1:47" ht="25.05" customHeight="1">
      <c r="A384" s="3">
        <v>14</v>
      </c>
      <c r="B384" s="2" t="s">
        <v>78</v>
      </c>
      <c r="C384" s="17" t="str">
        <f>IF($A384="","",IF(VLOOKUP($A384,Spiele!$A$2:$D$17,3,FALSE)=$B384,"H","G"))</f>
        <v>H</v>
      </c>
      <c r="D384" s="17" t="str">
        <f>IF($B384="","",IF(VLOOKUP($A384,Spiele!$A$2:$F$17,3,FALSE)=$B384,VLOOKUP($A384,Spiele!$A$2:$F$17,4,FALSE),VLOOKUP($A384,Spiele!$A$2:$F$17,3,FALSE)))</f>
        <v>FCN</v>
      </c>
      <c r="E384" s="18">
        <f>IF(Abschlüsse[[#This Row],[Ergeb]]="ET",0,COUNTIFS($A$2:$A384,$A384,$B$2:$B384,$B384,$L$2:$L384,"&lt;&gt;ET"))</f>
        <v>8</v>
      </c>
      <c r="F384" s="11">
        <v>59</v>
      </c>
      <c r="G384" s="12">
        <v>2</v>
      </c>
      <c r="H384" s="18">
        <f>COUNTIFS('Rote Karten'!$A$2:$A$4,$A384,'Rote Karten'!$D$2:$D$4,"&lt;&gt;"&amp;$B384,'Rote Karten'!$B$2:$B$4,"&lt;"&amp;$F384,'Rote Karten'!$C$2:$C$4,"&lt;="&amp;$G384)-COUNTIFS('Rote Karten'!$A$2:$A$4,$A384,'Rote Karten'!$D$2:$D$4,$B384,'Rote Karten'!$B$2:$B$4,"&lt;"&amp;$F384,'Rote Karten'!$C$2:$C$4,"&lt;="&amp;$G384)</f>
        <v>0</v>
      </c>
      <c r="I384" s="17" t="str">
        <f>IF(OR($L384="Tor",$L384="ET"),_xlfn.IFNA(IF(VLOOKUP($A384,Spiele!$A$2:$C$17,3,FALSE)=$B384,COUNTIFS($L$2:$L384,"Tor",$B$2:$B384,$B384,$A$2:$A384,$A384)+COUNTIFS($L$2:$L384,"ET",$B$2:$B384,$B384,$A$2:$A384,$A384)&amp;":"&amp;COUNTIFS($L$2:$L384,"Tor",$B$2:$B384,"&lt;&gt;"&amp;$B384,$A$2:$A384,$A384)+COUNTIFS($L$2:$L384,"ET",$B$2:$B384,"&lt;&gt;"&amp;$B384,$A$2:$A384,$A384),COUNTIFS($L$2:$L384,"Tor",$B$2:$B384,"&lt;&gt;"&amp;$B384,$A$2:$A384,$A384)+COUNTIFS($L$2:$L384,"ET",$B$2:$B384,"&lt;&gt;"&amp;$B384,$A$2:$A384,$A384)&amp;":"&amp;COUNTIFS($L$2:$L384,"Tor",$B$2:$B384,$B384,$A$2:$A384,$A384)+COUNTIFS($L$2:$L384,"ET",$B$2:$B384,$B384,$A$2:$A384,$A384)),""),"")</f>
        <v/>
      </c>
      <c r="J384" s="18">
        <f>_xlfn.IFNA(IF(VLOOKUP($A384,Spiele!$A$2:$D$17,3,FALSE)=$B384,(COUNTIFS($L$1:$L383,"Tor",$B$1:$B383,$B384,$A$1:$A383,$A384)+COUNTIFS($L$1:$L383,"ET",$B$1:$B383,$B384,$A$1:$A383,$A384))-(COUNTIFS($L$1:$L383,"Tor",$B$1:$B383,"&lt;&gt;"&amp;$B384,$A$1:$A383,$A384)+COUNTIFS($L$1:$L383,"ET",$B$1:$B383,"&lt;&gt;"&amp;$B384,$A$1:$A383,$A384)),(COUNTIFS($L$1:$L383,"Tor",$B$1:$B383,$B384,$A$1:$A383,$A384)+COUNTIFS($L$1:$L383,"ET",$B$1:$B383,$B384,$A$1:$A383,$A384))-(COUNTIFS($L$1:$L383,"Tor",$B$1:$B383,"&lt;&gt;"&amp;$B384,$A$1:$A383,$A384)+COUNTIFS($L$1:$L383,"ET",$B$1:$B383,"&lt;&gt;"&amp;$B384,$A$1:$A383,$A384))),"")</f>
        <v>0</v>
      </c>
      <c r="K384" s="3">
        <v>14</v>
      </c>
      <c r="L384" s="17" t="s">
        <v>19</v>
      </c>
      <c r="M384" s="2" t="s">
        <v>163</v>
      </c>
      <c r="N384" s="2" t="s">
        <v>3</v>
      </c>
      <c r="O384" s="17"/>
      <c r="AA384" s="2" t="s">
        <v>141</v>
      </c>
      <c r="AB384" s="17" t="s">
        <v>143</v>
      </c>
      <c r="AC384" s="14" t="s">
        <v>150</v>
      </c>
      <c r="AD384" s="14" t="s">
        <v>156</v>
      </c>
      <c r="AE384" s="18"/>
      <c r="AF384" s="13">
        <v>11</v>
      </c>
      <c r="AG384" s="13">
        <v>7.5</v>
      </c>
      <c r="AH384" s="19">
        <f t="shared" si="20"/>
        <v>10.494074518508052</v>
      </c>
      <c r="AI384" s="19">
        <f t="shared" si="21"/>
        <v>18.523608539598804</v>
      </c>
      <c r="AJ384" s="2" t="s">
        <v>146</v>
      </c>
      <c r="AK384" s="13">
        <v>3</v>
      </c>
      <c r="AL384" s="13">
        <v>0.5</v>
      </c>
      <c r="AM384" s="19">
        <f>IF(Abschlüsse[[#This Row],[Ergeb]]="ET","",SQRT(($AF384-$AK384)^2+($AG384-$AL384)^2))</f>
        <v>10.63014581273465</v>
      </c>
      <c r="AN384" s="3">
        <v>0</v>
      </c>
      <c r="AO384" s="13"/>
      <c r="AP384" s="13"/>
      <c r="AQ384" s="19" t="str">
        <f t="shared" si="24"/>
        <v/>
      </c>
      <c r="AR384" s="3">
        <v>1</v>
      </c>
      <c r="AS384" s="13">
        <v>7.5</v>
      </c>
      <c r="AT384" s="13">
        <v>6.5</v>
      </c>
      <c r="AU384" s="19">
        <f t="shared" si="25"/>
        <v>3.640054944640259</v>
      </c>
    </row>
    <row r="385" spans="1:47" ht="25.05" customHeight="1">
      <c r="A385" s="3">
        <v>14</v>
      </c>
      <c r="B385" s="2" t="s">
        <v>8</v>
      </c>
      <c r="C385" s="17" t="str">
        <f>IF($A385="","",IF(VLOOKUP($A385,Spiele!$A$2:$D$17,3,FALSE)=$B385,"H","G"))</f>
        <v>G</v>
      </c>
      <c r="D385" s="17" t="str">
        <f>IF($B385="","",IF(VLOOKUP($A385,Spiele!$A$2:$F$17,3,FALSE)=$B385,VLOOKUP($A385,Spiele!$A$2:$F$17,4,FALSE),VLOOKUP($A385,Spiele!$A$2:$F$17,3,FALSE)))</f>
        <v>SGF</v>
      </c>
      <c r="E385" s="18">
        <f>IF(Abschlüsse[[#This Row],[Ergeb]]="ET",0,COUNTIFS($A$2:$A385,$A385,$B$2:$B385,$B385,$L$2:$L385,"&lt;&gt;ET"))</f>
        <v>8</v>
      </c>
      <c r="F385" s="11">
        <v>77</v>
      </c>
      <c r="G385" s="12">
        <v>2</v>
      </c>
      <c r="H385" s="18">
        <f>COUNTIFS('Rote Karten'!$A$2:$A$4,$A385,'Rote Karten'!$D$2:$D$4,"&lt;&gt;"&amp;$B385,'Rote Karten'!$B$2:$B$4,"&lt;"&amp;$F385,'Rote Karten'!$C$2:$C$4,"&lt;="&amp;$G385)-COUNTIFS('Rote Karten'!$A$2:$A$4,$A385,'Rote Karten'!$D$2:$D$4,$B385,'Rote Karten'!$B$2:$B$4,"&lt;"&amp;$F385,'Rote Karten'!$C$2:$C$4,"&lt;="&amp;$G385)</f>
        <v>0</v>
      </c>
      <c r="I385" s="17" t="str">
        <f>IF(OR($L385="Tor",$L385="ET"),_xlfn.IFNA(IF(VLOOKUP($A385,Spiele!$A$2:$C$17,3,FALSE)=$B385,COUNTIFS($L$2:$L385,"Tor",$B$2:$B385,$B385,$A$2:$A385,$A385)+COUNTIFS($L$2:$L385,"ET",$B$2:$B385,$B385,$A$2:$A385,$A385)&amp;":"&amp;COUNTIFS($L$2:$L385,"Tor",$B$2:$B385,"&lt;&gt;"&amp;$B385,$A$2:$A385,$A385)+COUNTIFS($L$2:$L385,"ET",$B$2:$B385,"&lt;&gt;"&amp;$B385,$A$2:$A385,$A385),COUNTIFS($L$2:$L385,"Tor",$B$2:$B385,"&lt;&gt;"&amp;$B385,$A$2:$A385,$A385)+COUNTIFS($L$2:$L385,"ET",$B$2:$B385,"&lt;&gt;"&amp;$B385,$A$2:$A385,$A385)&amp;":"&amp;COUNTIFS($L$2:$L385,"Tor",$B$2:$B385,$B385,$A$2:$A385,$A385)+COUNTIFS($L$2:$L385,"ET",$B$2:$B385,$B385,$A$2:$A385,$A385)),""),"")</f>
        <v/>
      </c>
      <c r="J385" s="18">
        <f>_xlfn.IFNA(IF(VLOOKUP($A385,Spiele!$A$2:$D$17,3,FALSE)=$B385,(COUNTIFS($L$1:$L384,"Tor",$B$1:$B384,$B385,$A$1:$A384,$A385)+COUNTIFS($L$1:$L384,"ET",$B$1:$B384,$B385,$A$1:$A384,$A385))-(COUNTIFS($L$1:$L384,"Tor",$B$1:$B384,"&lt;&gt;"&amp;$B385,$A$1:$A384,$A385)+COUNTIFS($L$1:$L384,"ET",$B$1:$B384,"&lt;&gt;"&amp;$B385,$A$1:$A384,$A385)),(COUNTIFS($L$1:$L384,"Tor",$B$1:$B384,$B385,$A$1:$A384,$A385)+COUNTIFS($L$1:$L384,"ET",$B$1:$B384,$B385,$A$1:$A384,$A385))-(COUNTIFS($L$1:$L384,"Tor",$B$1:$B384,"&lt;&gt;"&amp;$B385,$A$1:$A384,$A385)+COUNTIFS($L$1:$L384,"ET",$B$1:$B384,"&lt;&gt;"&amp;$B385,$A$1:$A384,$A385))),"")</f>
        <v>0</v>
      </c>
      <c r="K385" s="3">
        <v>15</v>
      </c>
      <c r="L385" s="17" t="s">
        <v>18</v>
      </c>
      <c r="M385" s="2" t="s">
        <v>163</v>
      </c>
      <c r="N385" s="2" t="s">
        <v>3</v>
      </c>
      <c r="O385" s="17"/>
      <c r="AA385" s="2" t="s">
        <v>142</v>
      </c>
      <c r="AB385" s="17" t="s">
        <v>143</v>
      </c>
      <c r="AC385" s="14" t="s">
        <v>150</v>
      </c>
      <c r="AD385" s="14" t="s">
        <v>156</v>
      </c>
      <c r="AE385" s="18">
        <v>16</v>
      </c>
      <c r="AF385" s="13">
        <v>15</v>
      </c>
      <c r="AG385" s="13">
        <v>26.5</v>
      </c>
      <c r="AH385" s="19">
        <f t="shared" si="20"/>
        <v>28.824392448063843</v>
      </c>
      <c r="AI385" s="19">
        <f t="shared" si="21"/>
        <v>11.984057664669432</v>
      </c>
      <c r="AJ385" s="2" t="s">
        <v>146</v>
      </c>
      <c r="AK385" s="13">
        <v>2</v>
      </c>
      <c r="AL385" s="13">
        <v>2.5</v>
      </c>
      <c r="AM385" s="19">
        <f>IF(Abschlüsse[[#This Row],[Ergeb]]="ET","",SQRT(($AF385-$AK385)^2+($AG385-$AL385)^2))</f>
        <v>27.294688127912362</v>
      </c>
      <c r="AN385" s="3">
        <v>2</v>
      </c>
      <c r="AO385" s="13">
        <v>15.5</v>
      </c>
      <c r="AP385" s="13">
        <v>26.5</v>
      </c>
      <c r="AQ385" s="19">
        <f t="shared" si="24"/>
        <v>0.5</v>
      </c>
      <c r="AR385" s="3">
        <v>1</v>
      </c>
      <c r="AS385" s="13">
        <v>10.5</v>
      </c>
      <c r="AT385" s="13">
        <v>17.5</v>
      </c>
      <c r="AU385" s="19">
        <f t="shared" si="25"/>
        <v>10.062305898749054</v>
      </c>
    </row>
    <row r="386" spans="1:47" ht="25.05" customHeight="1">
      <c r="A386" s="3">
        <v>14</v>
      </c>
      <c r="B386" s="2" t="s">
        <v>78</v>
      </c>
      <c r="C386" s="17" t="str">
        <f>IF($A386="","",IF(VLOOKUP($A386,Spiele!$A$2:$D$17,3,FALSE)=$B386,"H","G"))</f>
        <v>H</v>
      </c>
      <c r="D386" s="17" t="str">
        <f>IF($B386="","",IF(VLOOKUP($A386,Spiele!$A$2:$F$17,3,FALSE)=$B386,VLOOKUP($A386,Spiele!$A$2:$F$17,4,FALSE),VLOOKUP($A386,Spiele!$A$2:$F$17,3,FALSE)))</f>
        <v>FCN</v>
      </c>
      <c r="E386" s="18">
        <f>IF(Abschlüsse[[#This Row],[Ergeb]]="ET",0,COUNTIFS($A$2:$A386,$A386,$B$2:$B386,$B386,$L$2:$L386,"&lt;&gt;ET"))</f>
        <v>9</v>
      </c>
      <c r="F386" s="11">
        <v>79</v>
      </c>
      <c r="G386" s="12">
        <v>2</v>
      </c>
      <c r="H386" s="18">
        <f>COUNTIFS('Rote Karten'!$A$2:$A$4,$A386,'Rote Karten'!$D$2:$D$4,"&lt;&gt;"&amp;$B386,'Rote Karten'!$B$2:$B$4,"&lt;"&amp;$F386,'Rote Karten'!$C$2:$C$4,"&lt;="&amp;$G386)-COUNTIFS('Rote Karten'!$A$2:$A$4,$A386,'Rote Karten'!$D$2:$D$4,$B386,'Rote Karten'!$B$2:$B$4,"&lt;"&amp;$F386,'Rote Karten'!$C$2:$C$4,"&lt;="&amp;$G386)</f>
        <v>0</v>
      </c>
      <c r="I386" s="17" t="str">
        <f>IF(OR($L386="Tor",$L386="ET"),_xlfn.IFNA(IF(VLOOKUP($A386,Spiele!$A$2:$C$17,3,FALSE)=$B386,COUNTIFS($L$2:$L386,"Tor",$B$2:$B386,$B386,$A$2:$A386,$A386)+COUNTIFS($L$2:$L386,"ET",$B$2:$B386,$B386,$A$2:$A386,$A386)&amp;":"&amp;COUNTIFS($L$2:$L386,"Tor",$B$2:$B386,"&lt;&gt;"&amp;$B386,$A$2:$A386,$A386)+COUNTIFS($L$2:$L386,"ET",$B$2:$B386,"&lt;&gt;"&amp;$B386,$A$2:$A386,$A386),COUNTIFS($L$2:$L386,"Tor",$B$2:$B386,"&lt;&gt;"&amp;$B386,$A$2:$A386,$A386)+COUNTIFS($L$2:$L386,"ET",$B$2:$B386,"&lt;&gt;"&amp;$B386,$A$2:$A386,$A386)&amp;":"&amp;COUNTIFS($L$2:$L386,"Tor",$B$2:$B386,$B386,$A$2:$A386,$A386)+COUNTIFS($L$2:$L386,"ET",$B$2:$B386,$B386,$A$2:$A386,$A386)),""),"")</f>
        <v/>
      </c>
      <c r="J386" s="18">
        <f>_xlfn.IFNA(IF(VLOOKUP($A386,Spiele!$A$2:$D$17,3,FALSE)=$B386,(COUNTIFS($L$1:$L385,"Tor",$B$1:$B385,$B386,$A$1:$A385,$A386)+COUNTIFS($L$1:$L385,"ET",$B$1:$B385,$B386,$A$1:$A385,$A386))-(COUNTIFS($L$1:$L385,"Tor",$B$1:$B385,"&lt;&gt;"&amp;$B386,$A$1:$A385,$A386)+COUNTIFS($L$1:$L385,"ET",$B$1:$B385,"&lt;&gt;"&amp;$B386,$A$1:$A385,$A386)),(COUNTIFS($L$1:$L385,"Tor",$B$1:$B385,$B386,$A$1:$A385,$A386)+COUNTIFS($L$1:$L385,"ET",$B$1:$B385,$B386,$A$1:$A385,$A386))-(COUNTIFS($L$1:$L385,"Tor",$B$1:$B385,"&lt;&gt;"&amp;$B386,$A$1:$A385,$A386)+COUNTIFS($L$1:$L385,"ET",$B$1:$B385,"&lt;&gt;"&amp;$B386,$A$1:$A385,$A386))),"")</f>
        <v>0</v>
      </c>
      <c r="K386" s="3">
        <v>16</v>
      </c>
      <c r="L386" s="17" t="s">
        <v>19</v>
      </c>
      <c r="M386" s="2" t="s">
        <v>163</v>
      </c>
      <c r="N386" s="2" t="s">
        <v>153</v>
      </c>
      <c r="O386" s="17"/>
      <c r="AA386" s="2" t="s">
        <v>141</v>
      </c>
      <c r="AB386" s="17" t="s">
        <v>160</v>
      </c>
      <c r="AC386" s="14" t="s">
        <v>161</v>
      </c>
      <c r="AD386" s="14" t="s">
        <v>145</v>
      </c>
      <c r="AE386" s="18"/>
      <c r="AF386" s="13">
        <v>-5.5</v>
      </c>
      <c r="AG386" s="13">
        <v>5.5</v>
      </c>
      <c r="AH386" s="19">
        <f t="shared" ref="AH386:AH433" si="26">IF($L386="ET","",IF($AF386&gt;3.66,SQRT($AG386^2+($AF386-(7.32/2))^2),IF($AF386&lt;-3.66,SQRT($AG386^2+($AF386+(7.32/2))^2),$AG386)))</f>
        <v>5.7996206772512284</v>
      </c>
      <c r="AI386" s="19">
        <f t="shared" ref="AI386:AI433" si="27">IF($L386="ET","",IF(DEGREES(ATAN((7.32*$AG386)/($AG386^2+$AF386^2-(7.32/2)^2)))&lt;=0,180+DEGREES(ATAN((7.32*$AG386)/($AG386^2+$AF386^2-(7.32/2)^2))),DEGREES(ATAN((7.32*$AG386)/($AG386^2+$AF386^2-(7.32/2)^2)))))</f>
        <v>40.520419395633198</v>
      </c>
      <c r="AJ386" s="2" t="s">
        <v>146</v>
      </c>
      <c r="AK386" s="13">
        <v>-2</v>
      </c>
      <c r="AL386" s="13">
        <v>0.5</v>
      </c>
      <c r="AM386" s="19">
        <f>IF(Abschlüsse[[#This Row],[Ergeb]]="ET","",SQRT(($AF386-$AK386)^2+($AG386-$AL386)^2))</f>
        <v>6.103277807866851</v>
      </c>
      <c r="AN386" s="3">
        <v>1</v>
      </c>
      <c r="AO386" s="13">
        <v>-6.5</v>
      </c>
      <c r="AP386" s="13">
        <v>8.5</v>
      </c>
      <c r="AQ386" s="19">
        <f t="shared" si="24"/>
        <v>3.1622776601683795</v>
      </c>
      <c r="AR386" s="3">
        <v>0</v>
      </c>
      <c r="AU386" s="19" t="str">
        <f t="shared" si="25"/>
        <v/>
      </c>
    </row>
    <row r="387" spans="1:47" ht="25.05" customHeight="1">
      <c r="A387" s="3">
        <v>14</v>
      </c>
      <c r="B387" s="2" t="s">
        <v>8</v>
      </c>
      <c r="C387" s="17" t="str">
        <f>IF($A387="","",IF(VLOOKUP($A387,Spiele!$A$2:$D$17,3,FALSE)=$B387,"H","G"))</f>
        <v>G</v>
      </c>
      <c r="D387" s="17" t="str">
        <f>IF($B387="","",IF(VLOOKUP($A387,Spiele!$A$2:$F$17,3,FALSE)=$B387,VLOOKUP($A387,Spiele!$A$2:$F$17,4,FALSE),VLOOKUP($A387,Spiele!$A$2:$F$17,3,FALSE)))</f>
        <v>SGF</v>
      </c>
      <c r="E387" s="18">
        <f>IF(Abschlüsse[[#This Row],[Ergeb]]="ET",0,COUNTIFS($A$2:$A387,$A387,$B$2:$B387,$B387,$L$2:$L387,"&lt;&gt;ET"))</f>
        <v>9</v>
      </c>
      <c r="F387" s="11">
        <v>82</v>
      </c>
      <c r="G387" s="12">
        <v>2</v>
      </c>
      <c r="H387" s="18">
        <f>COUNTIFS('Rote Karten'!$A$2:$A$4,$A387,'Rote Karten'!$D$2:$D$4,"&lt;&gt;"&amp;$B387,'Rote Karten'!$B$2:$B$4,"&lt;"&amp;$F387,'Rote Karten'!$C$2:$C$4,"&lt;="&amp;$G387)-COUNTIFS('Rote Karten'!$A$2:$A$4,$A387,'Rote Karten'!$D$2:$D$4,$B387,'Rote Karten'!$B$2:$B$4,"&lt;"&amp;$F387,'Rote Karten'!$C$2:$C$4,"&lt;="&amp;$G387)</f>
        <v>0</v>
      </c>
      <c r="I387" s="17" t="str">
        <f>IF(OR($L387="Tor",$L387="ET"),_xlfn.IFNA(IF(VLOOKUP($A387,Spiele!$A$2:$C$17,3,FALSE)=$B387,COUNTIFS($L$2:$L387,"Tor",$B$2:$B387,$B387,$A$2:$A387,$A387)+COUNTIFS($L$2:$L387,"ET",$B$2:$B387,$B387,$A$2:$A387,$A387)&amp;":"&amp;COUNTIFS($L$2:$L387,"Tor",$B$2:$B387,"&lt;&gt;"&amp;$B387,$A$2:$A387,$A387)+COUNTIFS($L$2:$L387,"ET",$B$2:$B387,"&lt;&gt;"&amp;$B387,$A$2:$A387,$A387),COUNTIFS($L$2:$L387,"Tor",$B$2:$B387,"&lt;&gt;"&amp;$B387,$A$2:$A387,$A387)+COUNTIFS($L$2:$L387,"ET",$B$2:$B387,"&lt;&gt;"&amp;$B387,$A$2:$A387,$A387)&amp;":"&amp;COUNTIFS($L$2:$L387,"Tor",$B$2:$B387,$B387,$A$2:$A387,$A387)+COUNTIFS($L$2:$L387,"ET",$B$2:$B387,$B387,$A$2:$A387,$A387)),""),"")</f>
        <v/>
      </c>
      <c r="J387" s="18">
        <f>_xlfn.IFNA(IF(VLOOKUP($A387,Spiele!$A$2:$D$17,3,FALSE)=$B387,(COUNTIFS($L$1:$L386,"Tor",$B$1:$B386,$B387,$A$1:$A386,$A387)+COUNTIFS($L$1:$L386,"ET",$B$1:$B386,$B387,$A$1:$A386,$A387))-(COUNTIFS($L$1:$L386,"Tor",$B$1:$B386,"&lt;&gt;"&amp;$B387,$A$1:$A386,$A387)+COUNTIFS($L$1:$L386,"ET",$B$1:$B386,"&lt;&gt;"&amp;$B387,$A$1:$A386,$A387)),(COUNTIFS($L$1:$L386,"Tor",$B$1:$B386,$B387,$A$1:$A386,$A387)+COUNTIFS($L$1:$L386,"ET",$B$1:$B386,$B387,$A$1:$A386,$A387))-(COUNTIFS($L$1:$L386,"Tor",$B$1:$B386,"&lt;&gt;"&amp;$B387,$A$1:$A386,$A387)+COUNTIFS($L$1:$L386,"ET",$B$1:$B386,"&lt;&gt;"&amp;$B387,$A$1:$A386,$A387))),"")</f>
        <v>0</v>
      </c>
      <c r="K387" s="3">
        <v>17</v>
      </c>
      <c r="L387" s="17" t="s">
        <v>20</v>
      </c>
      <c r="M387" s="2" t="s">
        <v>163</v>
      </c>
      <c r="N387" s="2" t="s">
        <v>164</v>
      </c>
      <c r="O387" s="17"/>
      <c r="AA387" s="2" t="s">
        <v>151</v>
      </c>
      <c r="AB387" s="17" t="s">
        <v>143</v>
      </c>
      <c r="AC387" s="14" t="s">
        <v>150</v>
      </c>
      <c r="AD387" s="14" t="s">
        <v>156</v>
      </c>
      <c r="AE387" s="18">
        <v>9</v>
      </c>
      <c r="AF387" s="13">
        <v>-7</v>
      </c>
      <c r="AG387" s="13">
        <v>17</v>
      </c>
      <c r="AH387" s="19">
        <f t="shared" si="26"/>
        <v>17.324999278499263</v>
      </c>
      <c r="AI387" s="19">
        <f t="shared" si="27"/>
        <v>20.974772794744432</v>
      </c>
      <c r="AJ387" s="2" t="s">
        <v>146</v>
      </c>
      <c r="AK387" s="13">
        <v>-0.5</v>
      </c>
      <c r="AL387" s="13">
        <v>2</v>
      </c>
      <c r="AM387" s="19">
        <f>IF(Abschlüsse[[#This Row],[Ergeb]]="ET","",SQRT(($AF387-$AK387)^2+($AG387-$AL387)^2))</f>
        <v>16.347782724271816</v>
      </c>
      <c r="AN387" s="3">
        <v>2</v>
      </c>
      <c r="AO387" s="13">
        <v>-7.5</v>
      </c>
      <c r="AP387" s="13">
        <v>16.5</v>
      </c>
      <c r="AQ387" s="19">
        <f t="shared" si="24"/>
        <v>0.70710678118654757</v>
      </c>
      <c r="AR387" s="3">
        <v>1</v>
      </c>
      <c r="AS387" s="13">
        <v>-5</v>
      </c>
      <c r="AT387" s="13">
        <v>13.5</v>
      </c>
      <c r="AU387" s="19">
        <f t="shared" si="25"/>
        <v>4.0311288741492746</v>
      </c>
    </row>
    <row r="388" spans="1:47" ht="25.05" customHeight="1">
      <c r="A388" s="3">
        <v>14</v>
      </c>
      <c r="B388" s="2" t="s">
        <v>8</v>
      </c>
      <c r="C388" s="17" t="str">
        <f>IF($A388="","",IF(VLOOKUP($A388,Spiele!$A$2:$D$17,3,FALSE)=$B388,"H","G"))</f>
        <v>G</v>
      </c>
      <c r="D388" s="17" t="str">
        <f>IF($B388="","",IF(VLOOKUP($A388,Spiele!$A$2:$F$17,3,FALSE)=$B388,VLOOKUP($A388,Spiele!$A$2:$F$17,4,FALSE),VLOOKUP($A388,Spiele!$A$2:$F$17,3,FALSE)))</f>
        <v>SGF</v>
      </c>
      <c r="E388" s="18">
        <f>IF(Abschlüsse[[#This Row],[Ergeb]]="ET",0,COUNTIFS($A$2:$A388,$A388,$B$2:$B388,$B388,$L$2:$L388,"&lt;&gt;ET"))</f>
        <v>10</v>
      </c>
      <c r="F388" s="11">
        <v>83</v>
      </c>
      <c r="G388" s="12">
        <v>2</v>
      </c>
      <c r="H388" s="18">
        <f>COUNTIFS('Rote Karten'!$A$2:$A$4,$A388,'Rote Karten'!$D$2:$D$4,"&lt;&gt;"&amp;$B388,'Rote Karten'!$B$2:$B$4,"&lt;"&amp;$F388,'Rote Karten'!$C$2:$C$4,"&lt;="&amp;$G388)-COUNTIFS('Rote Karten'!$A$2:$A$4,$A388,'Rote Karten'!$D$2:$D$4,$B388,'Rote Karten'!$B$2:$B$4,"&lt;"&amp;$F388,'Rote Karten'!$C$2:$C$4,"&lt;="&amp;$G388)</f>
        <v>0</v>
      </c>
      <c r="I388" s="17" t="str">
        <f>IF(OR($L388="Tor",$L388="ET"),_xlfn.IFNA(IF(VLOOKUP($A388,Spiele!$A$2:$C$17,3,FALSE)=$B388,COUNTIFS($L$2:$L388,"Tor",$B$2:$B388,$B388,$A$2:$A388,$A388)+COUNTIFS($L$2:$L388,"ET",$B$2:$B388,$B388,$A$2:$A388,$A388)&amp;":"&amp;COUNTIFS($L$2:$L388,"Tor",$B$2:$B388,"&lt;&gt;"&amp;$B388,$A$2:$A388,$A388)+COUNTIFS($L$2:$L388,"ET",$B$2:$B388,"&lt;&gt;"&amp;$B388,$A$2:$A388,$A388),COUNTIFS($L$2:$L388,"Tor",$B$2:$B388,"&lt;&gt;"&amp;$B388,$A$2:$A388,$A388)+COUNTIFS($L$2:$L388,"ET",$B$2:$B388,"&lt;&gt;"&amp;$B388,$A$2:$A388,$A388)&amp;":"&amp;COUNTIFS($L$2:$L388,"Tor",$B$2:$B388,$B388,$A$2:$A388,$A388)+COUNTIFS($L$2:$L388,"ET",$B$2:$B388,$B388,$A$2:$A388,$A388)),""),"")</f>
        <v/>
      </c>
      <c r="J388" s="18">
        <f>_xlfn.IFNA(IF(VLOOKUP($A388,Spiele!$A$2:$D$17,3,FALSE)=$B388,(COUNTIFS($L$1:$L387,"Tor",$B$1:$B387,$B388,$A$1:$A387,$A388)+COUNTIFS($L$1:$L387,"ET",$B$1:$B387,$B388,$A$1:$A387,$A388))-(COUNTIFS($L$1:$L387,"Tor",$B$1:$B387,"&lt;&gt;"&amp;$B388,$A$1:$A387,$A388)+COUNTIFS($L$1:$L387,"ET",$B$1:$B387,"&lt;&gt;"&amp;$B388,$A$1:$A387,$A388)),(COUNTIFS($L$1:$L387,"Tor",$B$1:$B387,$B388,$A$1:$A387,$A388)+COUNTIFS($L$1:$L387,"ET",$B$1:$B387,$B388,$A$1:$A387,$A388))-(COUNTIFS($L$1:$L387,"Tor",$B$1:$B387,"&lt;&gt;"&amp;$B388,$A$1:$A387,$A388)+COUNTIFS($L$1:$L387,"ET",$B$1:$B387,"&lt;&gt;"&amp;$B388,$A$1:$A387,$A388))),"")</f>
        <v>0</v>
      </c>
      <c r="K388" s="3">
        <v>18</v>
      </c>
      <c r="L388" s="17" t="s">
        <v>46</v>
      </c>
      <c r="M388" s="2" t="s">
        <v>173</v>
      </c>
      <c r="N388" s="2" t="s">
        <v>176</v>
      </c>
      <c r="O388" s="17">
        <v>16</v>
      </c>
      <c r="P388" s="2">
        <v>27</v>
      </c>
      <c r="AA388" s="2" t="s">
        <v>151</v>
      </c>
      <c r="AB388" s="17" t="s">
        <v>149</v>
      </c>
      <c r="AC388" s="14" t="s">
        <v>150</v>
      </c>
      <c r="AD388" s="14" t="s">
        <v>156</v>
      </c>
      <c r="AE388" s="18">
        <v>13</v>
      </c>
      <c r="AF388" s="13">
        <v>3</v>
      </c>
      <c r="AG388" s="13">
        <v>6</v>
      </c>
      <c r="AH388" s="19">
        <f t="shared" si="26"/>
        <v>6</v>
      </c>
      <c r="AI388" s="19">
        <f t="shared" si="27"/>
        <v>54.261580633190938</v>
      </c>
      <c r="AJ388" s="2" t="s">
        <v>169</v>
      </c>
      <c r="AK388" s="13">
        <v>-2.5</v>
      </c>
      <c r="AL388" s="13">
        <v>2.5</v>
      </c>
      <c r="AM388" s="19">
        <f>IF(Abschlüsse[[#This Row],[Ergeb]]="ET","",SQRT(($AF388-$AK388)^2+($AG388-$AL388)^2))</f>
        <v>6.5192024052026492</v>
      </c>
      <c r="AN388" s="3">
        <v>2</v>
      </c>
      <c r="AO388" s="13">
        <v>4</v>
      </c>
      <c r="AP388" s="13">
        <v>5</v>
      </c>
      <c r="AQ388" s="19">
        <f t="shared" si="24"/>
        <v>1.4142135623730951</v>
      </c>
      <c r="AR388" s="3">
        <v>2</v>
      </c>
      <c r="AS388" s="13">
        <v>1.5</v>
      </c>
      <c r="AT388" s="13">
        <v>0.5</v>
      </c>
      <c r="AU388" s="19">
        <f t="shared" si="25"/>
        <v>5.7008771254956896</v>
      </c>
    </row>
    <row r="389" spans="1:47" ht="25.05" customHeight="1">
      <c r="A389" s="3">
        <v>14</v>
      </c>
      <c r="B389" s="2" t="s">
        <v>8</v>
      </c>
      <c r="C389" s="17" t="str">
        <f>IF($A389="","",IF(VLOOKUP($A389,Spiele!$A$2:$D$17,3,FALSE)=$B389,"H","G"))</f>
        <v>G</v>
      </c>
      <c r="D389" s="17" t="str">
        <f>IF($B389="","",IF(VLOOKUP($A389,Spiele!$A$2:$F$17,3,FALSE)=$B389,VLOOKUP($A389,Spiele!$A$2:$F$17,4,FALSE),VLOOKUP($A389,Spiele!$A$2:$F$17,3,FALSE)))</f>
        <v>SGF</v>
      </c>
      <c r="E389" s="18">
        <f>IF(Abschlüsse[[#This Row],[Ergeb]]="ET",0,COUNTIFS($A$2:$A389,$A389,$B$2:$B389,$B389,$L$2:$L389,"&lt;&gt;ET"))</f>
        <v>11</v>
      </c>
      <c r="F389" s="11">
        <v>83</v>
      </c>
      <c r="G389" s="12">
        <v>2</v>
      </c>
      <c r="H389" s="18">
        <f>COUNTIFS('Rote Karten'!$A$2:$A$4,$A389,'Rote Karten'!$D$2:$D$4,"&lt;&gt;"&amp;$B389,'Rote Karten'!$B$2:$B$4,"&lt;"&amp;$F389,'Rote Karten'!$C$2:$C$4,"&lt;="&amp;$G389)-COUNTIFS('Rote Karten'!$A$2:$A$4,$A389,'Rote Karten'!$D$2:$D$4,$B389,'Rote Karten'!$B$2:$B$4,"&lt;"&amp;$F389,'Rote Karten'!$C$2:$C$4,"&lt;="&amp;$G389)</f>
        <v>0</v>
      </c>
      <c r="I389" s="17" t="str">
        <f>IF(OR($L389="Tor",$L389="ET"),_xlfn.IFNA(IF(VLOOKUP($A389,Spiele!$A$2:$C$17,3,FALSE)=$B389,COUNTIFS($L$2:$L389,"Tor",$B$2:$B389,$B389,$A$2:$A389,$A389)+COUNTIFS($L$2:$L389,"ET",$B$2:$B389,$B389,$A$2:$A389,$A389)&amp;":"&amp;COUNTIFS($L$2:$L389,"Tor",$B$2:$B389,"&lt;&gt;"&amp;$B389,$A$2:$A389,$A389)+COUNTIFS($L$2:$L389,"ET",$B$2:$B389,"&lt;&gt;"&amp;$B389,$A$2:$A389,$A389),COUNTIFS($L$2:$L389,"Tor",$B$2:$B389,"&lt;&gt;"&amp;$B389,$A$2:$A389,$A389)+COUNTIFS($L$2:$L389,"ET",$B$2:$B389,"&lt;&gt;"&amp;$B389,$A$2:$A389,$A389)&amp;":"&amp;COUNTIFS($L$2:$L389,"Tor",$B$2:$B389,$B389,$A$2:$A389,$A389)+COUNTIFS($L$2:$L389,"ET",$B$2:$B389,$B389,$A$2:$A389,$A389)),""),"")</f>
        <v/>
      </c>
      <c r="J389" s="18">
        <f>_xlfn.IFNA(IF(VLOOKUP($A389,Spiele!$A$2:$D$17,3,FALSE)=$B389,(COUNTIFS($L$1:$L388,"Tor",$B$1:$B388,$B389,$A$1:$A388,$A389)+COUNTIFS($L$1:$L388,"ET",$B$1:$B388,$B389,$A$1:$A388,$A389))-(COUNTIFS($L$1:$L388,"Tor",$B$1:$B388,"&lt;&gt;"&amp;$B389,$A$1:$A388,$A389)+COUNTIFS($L$1:$L388,"ET",$B$1:$B388,"&lt;&gt;"&amp;$B389,$A$1:$A388,$A389)),(COUNTIFS($L$1:$L388,"Tor",$B$1:$B388,$B389,$A$1:$A388,$A389)+COUNTIFS($L$1:$L388,"ET",$B$1:$B388,$B389,$A$1:$A388,$A389))-(COUNTIFS($L$1:$L388,"Tor",$B$1:$B388,"&lt;&gt;"&amp;$B389,$A$1:$A388,$A389)+COUNTIFS($L$1:$L388,"ET",$B$1:$B388,"&lt;&gt;"&amp;$B389,$A$1:$A388,$A389))),"")</f>
        <v>0</v>
      </c>
      <c r="K389" s="3">
        <v>18</v>
      </c>
      <c r="L389" s="17" t="s">
        <v>19</v>
      </c>
      <c r="M389" s="2" t="s">
        <v>168</v>
      </c>
      <c r="N389" s="2" t="s">
        <v>158</v>
      </c>
      <c r="O389" s="17">
        <v>10</v>
      </c>
      <c r="AA389" s="2" t="s">
        <v>142</v>
      </c>
      <c r="AB389" s="17" t="s">
        <v>143</v>
      </c>
      <c r="AC389" s="14" t="s">
        <v>150</v>
      </c>
      <c r="AD389" s="14" t="s">
        <v>145</v>
      </c>
      <c r="AE389" s="18">
        <v>5</v>
      </c>
      <c r="AF389" s="13">
        <v>9</v>
      </c>
      <c r="AG389" s="13">
        <v>22.5</v>
      </c>
      <c r="AH389" s="19">
        <f t="shared" si="26"/>
        <v>23.124999459459453</v>
      </c>
      <c r="AI389" s="19">
        <f t="shared" si="27"/>
        <v>16.01382840209164</v>
      </c>
      <c r="AJ389" s="2" t="s">
        <v>146</v>
      </c>
      <c r="AK389" s="13">
        <v>2</v>
      </c>
      <c r="AL389" s="13">
        <v>1.5</v>
      </c>
      <c r="AM389" s="19">
        <f>IF(Abschlüsse[[#This Row],[Ergeb]]="ET","",SQRT(($AF389-$AK389)^2+($AG389-$AL389)^2))</f>
        <v>22.135943621178654</v>
      </c>
      <c r="AN389" s="3">
        <v>0</v>
      </c>
      <c r="AO389" s="13"/>
      <c r="AP389" s="13"/>
      <c r="AQ389" s="19" t="str">
        <f t="shared" si="24"/>
        <v/>
      </c>
      <c r="AR389" s="3">
        <v>4</v>
      </c>
      <c r="AS389" s="13">
        <v>7.5</v>
      </c>
      <c r="AT389" s="13">
        <v>19.5</v>
      </c>
      <c r="AU389" s="19">
        <f t="shared" si="25"/>
        <v>3.3541019662496847</v>
      </c>
    </row>
    <row r="390" spans="1:47" ht="25.05" customHeight="1">
      <c r="A390" s="3">
        <v>14</v>
      </c>
      <c r="B390" s="2" t="s">
        <v>8</v>
      </c>
      <c r="C390" s="17" t="str">
        <f>IF($A390="","",IF(VLOOKUP($A390,Spiele!$A$2:$D$17,3,FALSE)=$B390,"H","G"))</f>
        <v>G</v>
      </c>
      <c r="D390" s="17" t="str">
        <f>IF($B390="","",IF(VLOOKUP($A390,Spiele!$A$2:$F$17,3,FALSE)=$B390,VLOOKUP($A390,Spiele!$A$2:$F$17,4,FALSE),VLOOKUP($A390,Spiele!$A$2:$F$17,3,FALSE)))</f>
        <v>SGF</v>
      </c>
      <c r="E390" s="18">
        <f>IF(Abschlüsse[[#This Row],[Ergeb]]="ET",0,COUNTIFS($A$2:$A390,$A390,$B$2:$B390,$B390,$L$2:$L390,"&lt;&gt;ET"))</f>
        <v>12</v>
      </c>
      <c r="F390" s="11">
        <v>83</v>
      </c>
      <c r="G390" s="12">
        <v>2</v>
      </c>
      <c r="H390" s="18">
        <f>COUNTIFS('Rote Karten'!$A$2:$A$4,$A390,'Rote Karten'!$D$2:$D$4,"&lt;&gt;"&amp;$B390,'Rote Karten'!$B$2:$B$4,"&lt;"&amp;$F390,'Rote Karten'!$C$2:$C$4,"&lt;="&amp;$G390)-COUNTIFS('Rote Karten'!$A$2:$A$4,$A390,'Rote Karten'!$D$2:$D$4,$B390,'Rote Karten'!$B$2:$B$4,"&lt;"&amp;$F390,'Rote Karten'!$C$2:$C$4,"&lt;="&amp;$G390)</f>
        <v>0</v>
      </c>
      <c r="I390" s="17" t="str">
        <f>IF(OR($L390="Tor",$L390="ET"),_xlfn.IFNA(IF(VLOOKUP($A390,Spiele!$A$2:$C$17,3,FALSE)=$B390,COUNTIFS($L$2:$L390,"Tor",$B$2:$B390,$B390,$A$2:$A390,$A390)+COUNTIFS($L$2:$L390,"ET",$B$2:$B390,$B390,$A$2:$A390,$A390)&amp;":"&amp;COUNTIFS($L$2:$L390,"Tor",$B$2:$B390,"&lt;&gt;"&amp;$B390,$A$2:$A390,$A390)+COUNTIFS($L$2:$L390,"ET",$B$2:$B390,"&lt;&gt;"&amp;$B390,$A$2:$A390,$A390),COUNTIFS($L$2:$L390,"Tor",$B$2:$B390,"&lt;&gt;"&amp;$B390,$A$2:$A390,$A390)+COUNTIFS($L$2:$L390,"ET",$B$2:$B390,"&lt;&gt;"&amp;$B390,$A$2:$A390,$A390)&amp;":"&amp;COUNTIFS($L$2:$L390,"Tor",$B$2:$B390,$B390,$A$2:$A390,$A390)+COUNTIFS($L$2:$L390,"ET",$B$2:$B390,$B390,$A$2:$A390,$A390)),""),"")</f>
        <v>2:3</v>
      </c>
      <c r="J390" s="18">
        <f>_xlfn.IFNA(IF(VLOOKUP($A390,Spiele!$A$2:$D$17,3,FALSE)=$B390,(COUNTIFS($L$1:$L389,"Tor",$B$1:$B389,$B390,$A$1:$A389,$A390)+COUNTIFS($L$1:$L389,"ET",$B$1:$B389,$B390,$A$1:$A389,$A390))-(COUNTIFS($L$1:$L389,"Tor",$B$1:$B389,"&lt;&gt;"&amp;$B390,$A$1:$A389,$A390)+COUNTIFS($L$1:$L389,"ET",$B$1:$B389,"&lt;&gt;"&amp;$B390,$A$1:$A389,$A390)),(COUNTIFS($L$1:$L389,"Tor",$B$1:$B389,$B390,$A$1:$A389,$A390)+COUNTIFS($L$1:$L389,"ET",$B$1:$B389,$B390,$A$1:$A389,$A390))-(COUNTIFS($L$1:$L389,"Tor",$B$1:$B389,"&lt;&gt;"&amp;$B390,$A$1:$A389,$A390)+COUNTIFS($L$1:$L389,"ET",$B$1:$B389,"&lt;&gt;"&amp;$B390,$A$1:$A389,$A390))),"")</f>
        <v>0</v>
      </c>
      <c r="K390" s="3">
        <v>19</v>
      </c>
      <c r="L390" s="17" t="s">
        <v>0</v>
      </c>
      <c r="M390" s="2" t="s">
        <v>173</v>
      </c>
      <c r="N390" s="2" t="s">
        <v>173</v>
      </c>
      <c r="O390" s="17">
        <v>20</v>
      </c>
      <c r="AA390" s="2" t="s">
        <v>154</v>
      </c>
      <c r="AB390" s="17" t="s">
        <v>160</v>
      </c>
      <c r="AC390" s="14" t="s">
        <v>161</v>
      </c>
      <c r="AD390" s="14" t="s">
        <v>145</v>
      </c>
      <c r="AE390" s="18">
        <v>16</v>
      </c>
      <c r="AF390" s="13">
        <v>-3</v>
      </c>
      <c r="AG390" s="13">
        <v>2.5</v>
      </c>
      <c r="AH390" s="19">
        <f t="shared" si="26"/>
        <v>2.5</v>
      </c>
      <c r="AI390" s="19">
        <f t="shared" si="27"/>
        <v>84.213778897561284</v>
      </c>
      <c r="AJ390" s="2" t="s">
        <v>146</v>
      </c>
      <c r="AK390" s="13">
        <v>-2.5</v>
      </c>
      <c r="AL390" s="13">
        <v>0.5</v>
      </c>
      <c r="AM390" s="19">
        <f>IF(Abschlüsse[[#This Row],[Ergeb]]="ET","",SQRT(($AF390-$AK390)^2+($AG390-$AL390)^2))</f>
        <v>2.0615528128088303</v>
      </c>
      <c r="AN390" s="3">
        <v>2</v>
      </c>
      <c r="AO390" s="13">
        <v>-3.5</v>
      </c>
      <c r="AP390" s="13">
        <v>2</v>
      </c>
      <c r="AQ390" s="19">
        <f t="shared" si="24"/>
        <v>0.70710678118654757</v>
      </c>
      <c r="AR390" s="3">
        <v>0</v>
      </c>
      <c r="AU390" s="19" t="str">
        <f t="shared" si="25"/>
        <v/>
      </c>
    </row>
    <row r="391" spans="1:47" ht="25.05" customHeight="1">
      <c r="A391" s="3">
        <v>15</v>
      </c>
      <c r="B391" s="2" t="s">
        <v>56</v>
      </c>
      <c r="C391" s="17" t="str">
        <f>IF($A391="","",IF(VLOOKUP($A391,Spiele!$A$2:$D$17,3,FALSE)=$B391,"H","G"))</f>
        <v>G</v>
      </c>
      <c r="D391" s="17" t="str">
        <f>IF($B391="","",IF(VLOOKUP($A391,Spiele!$A$2:$F$17,3,FALSE)=$B391,VLOOKUP($A391,Spiele!$A$2:$F$17,4,FALSE),VLOOKUP($A391,Spiele!$A$2:$F$17,3,FALSE)))</f>
        <v>FCN</v>
      </c>
      <c r="E391" s="18">
        <f>IF(Abschlüsse[[#This Row],[Ergeb]]="ET",0,COUNTIFS($A$2:$A391,$A391,$B$2:$B391,$B391,$L$2:$L391,"&lt;&gt;ET"))</f>
        <v>1</v>
      </c>
      <c r="F391" s="11">
        <v>7</v>
      </c>
      <c r="G391" s="12">
        <v>1</v>
      </c>
      <c r="H391" s="18">
        <f>COUNTIFS('Rote Karten'!$A$2:$A$4,$A391,'Rote Karten'!$D$2:$D$4,"&lt;&gt;"&amp;$B391,'Rote Karten'!$B$2:$B$4,"&lt;"&amp;$F391,'Rote Karten'!$C$2:$C$4,"&lt;="&amp;$G391)-COUNTIFS('Rote Karten'!$A$2:$A$4,$A391,'Rote Karten'!$D$2:$D$4,$B391,'Rote Karten'!$B$2:$B$4,"&lt;"&amp;$F391,'Rote Karten'!$C$2:$C$4,"&lt;="&amp;$G391)</f>
        <v>0</v>
      </c>
      <c r="I391" s="17" t="str">
        <f>IF(OR($L391="Tor",$L391="ET"),_xlfn.IFNA(IF(VLOOKUP($A391,Spiele!$A$2:$C$17,3,FALSE)=$B391,COUNTIFS($L$2:$L391,"Tor",$B$2:$B391,$B391,$A$2:$A391,$A391)+COUNTIFS($L$2:$L391,"ET",$B$2:$B391,$B391,$A$2:$A391,$A391)&amp;":"&amp;COUNTIFS($L$2:$L391,"Tor",$B$2:$B391,"&lt;&gt;"&amp;$B391,$A$2:$A391,$A391)+COUNTIFS($L$2:$L391,"ET",$B$2:$B391,"&lt;&gt;"&amp;$B391,$A$2:$A391,$A391),COUNTIFS($L$2:$L391,"Tor",$B$2:$B391,"&lt;&gt;"&amp;$B391,$A$2:$A391,$A391)+COUNTIFS($L$2:$L391,"ET",$B$2:$B391,"&lt;&gt;"&amp;$B391,$A$2:$A391,$A391)&amp;":"&amp;COUNTIFS($L$2:$L391,"Tor",$B$2:$B391,$B391,$A$2:$A391,$A391)+COUNTIFS($L$2:$L391,"ET",$B$2:$B391,$B391,$A$2:$A391,$A391)),""),"")</f>
        <v>0:1</v>
      </c>
      <c r="J391" s="18">
        <f>_xlfn.IFNA(IF(VLOOKUP($A391,Spiele!$A$2:$D$17,3,FALSE)=$B391,(COUNTIFS($L$1:$L390,"Tor",$B$1:$B390,$B391,$A$1:$A390,$A391)+COUNTIFS($L$1:$L390,"ET",$B$1:$B390,$B391,$A$1:$A390,$A391))-(COUNTIFS($L$1:$L390,"Tor",$B$1:$B390,"&lt;&gt;"&amp;$B391,$A$1:$A390,$A391)+COUNTIFS($L$1:$L390,"ET",$B$1:$B390,"&lt;&gt;"&amp;$B391,$A$1:$A390,$A391)),(COUNTIFS($L$1:$L390,"Tor",$B$1:$B390,$B391,$A$1:$A390,$A391)+COUNTIFS($L$1:$L390,"ET",$B$1:$B390,$B391,$A$1:$A390,$A391))-(COUNTIFS($L$1:$L390,"Tor",$B$1:$B390,"&lt;&gt;"&amp;$B391,$A$1:$A390,$A391)+COUNTIFS($L$1:$L390,"ET",$B$1:$B390,"&lt;&gt;"&amp;$B391,$A$1:$A390,$A391))),"")</f>
        <v>0</v>
      </c>
      <c r="K391" s="3">
        <v>1</v>
      </c>
      <c r="L391" s="17" t="s">
        <v>0</v>
      </c>
      <c r="M391" s="2" t="s">
        <v>177</v>
      </c>
      <c r="O391" s="17"/>
      <c r="AA391" s="2" t="s">
        <v>142</v>
      </c>
      <c r="AB391" s="17" t="s">
        <v>143</v>
      </c>
      <c r="AC391" s="14" t="s">
        <v>150</v>
      </c>
      <c r="AD391" s="14" t="s">
        <v>145</v>
      </c>
      <c r="AE391" s="18"/>
      <c r="AF391" s="13">
        <v>0</v>
      </c>
      <c r="AG391" s="13">
        <v>11</v>
      </c>
      <c r="AH391" s="19">
        <f t="shared" si="26"/>
        <v>11</v>
      </c>
      <c r="AI391" s="19">
        <f t="shared" si="27"/>
        <v>36.807381798785883</v>
      </c>
      <c r="AJ391" s="2" t="s">
        <v>146</v>
      </c>
      <c r="AK391" s="13">
        <v>0</v>
      </c>
      <c r="AL391" s="13">
        <v>0</v>
      </c>
      <c r="AM391" s="19">
        <f>IF(Abschlüsse[[#This Row],[Ergeb]]="ET","",SQRT(($AF391-$AK391)^2+($AG391-$AL391)^2))</f>
        <v>11</v>
      </c>
      <c r="AN391" s="3">
        <v>0</v>
      </c>
      <c r="AO391" s="13"/>
      <c r="AP391" s="13"/>
      <c r="AQ391" s="19" t="str">
        <f t="shared" si="24"/>
        <v/>
      </c>
      <c r="AR391" s="3">
        <v>0</v>
      </c>
      <c r="AU391" s="19" t="str">
        <f t="shared" si="25"/>
        <v/>
      </c>
    </row>
    <row r="392" spans="1:47" ht="25.05" customHeight="1">
      <c r="A392" s="3">
        <v>15</v>
      </c>
      <c r="B392" s="2" t="s">
        <v>8</v>
      </c>
      <c r="C392" s="17" t="str">
        <f>IF($A392="","",IF(VLOOKUP($A392,Spiele!$A$2:$D$17,3,FALSE)=$B392,"H","G"))</f>
        <v>H</v>
      </c>
      <c r="D392" s="17" t="str">
        <f>IF($B392="","",IF(VLOOKUP($A392,Spiele!$A$2:$F$17,3,FALSE)=$B392,VLOOKUP($A392,Spiele!$A$2:$F$17,4,FALSE),VLOOKUP($A392,Spiele!$A$2:$F$17,3,FALSE)))</f>
        <v>FCD</v>
      </c>
      <c r="E392" s="18">
        <f>IF(Abschlüsse[[#This Row],[Ergeb]]="ET",0,COUNTIFS($A$2:$A392,$A392,$B$2:$B392,$B392,$L$2:$L392,"&lt;&gt;ET"))</f>
        <v>1</v>
      </c>
      <c r="F392" s="11">
        <v>9</v>
      </c>
      <c r="G392" s="12">
        <v>1</v>
      </c>
      <c r="H392" s="18">
        <f>COUNTIFS('Rote Karten'!$A$2:$A$4,$A392,'Rote Karten'!$D$2:$D$4,"&lt;&gt;"&amp;$B392,'Rote Karten'!$B$2:$B$4,"&lt;"&amp;$F392,'Rote Karten'!$C$2:$C$4,"&lt;="&amp;$G392)-COUNTIFS('Rote Karten'!$A$2:$A$4,$A392,'Rote Karten'!$D$2:$D$4,$B392,'Rote Karten'!$B$2:$B$4,"&lt;"&amp;$F392,'Rote Karten'!$C$2:$C$4,"&lt;="&amp;$G392)</f>
        <v>0</v>
      </c>
      <c r="I392" s="17" t="str">
        <f>IF(OR($L392="Tor",$L392="ET"),_xlfn.IFNA(IF(VLOOKUP($A392,Spiele!$A$2:$C$17,3,FALSE)=$B392,COUNTIFS($L$2:$L392,"Tor",$B$2:$B392,$B392,$A$2:$A392,$A392)+COUNTIFS($L$2:$L392,"ET",$B$2:$B392,$B392,$A$2:$A392,$A392)&amp;":"&amp;COUNTIFS($L$2:$L392,"Tor",$B$2:$B392,"&lt;&gt;"&amp;$B392,$A$2:$A392,$A392)+COUNTIFS($L$2:$L392,"ET",$B$2:$B392,"&lt;&gt;"&amp;$B392,$A$2:$A392,$A392),COUNTIFS($L$2:$L392,"Tor",$B$2:$B392,"&lt;&gt;"&amp;$B392,$A$2:$A392,$A392)+COUNTIFS($L$2:$L392,"ET",$B$2:$B392,"&lt;&gt;"&amp;$B392,$A$2:$A392,$A392)&amp;":"&amp;COUNTIFS($L$2:$L392,"Tor",$B$2:$B392,$B392,$A$2:$A392,$A392)+COUNTIFS($L$2:$L392,"ET",$B$2:$B392,$B392,$A$2:$A392,$A392)),""),"")</f>
        <v>1:1</v>
      </c>
      <c r="J392" s="18">
        <f>_xlfn.IFNA(IF(VLOOKUP($A392,Spiele!$A$2:$D$17,3,FALSE)=$B392,(COUNTIFS($L$1:$L391,"Tor",$B$1:$B391,$B392,$A$1:$A391,$A392)+COUNTIFS($L$1:$L391,"ET",$B$1:$B391,$B392,$A$1:$A391,$A392))-(COUNTIFS($L$1:$L391,"Tor",$B$1:$B391,"&lt;&gt;"&amp;$B392,$A$1:$A391,$A392)+COUNTIFS($L$1:$L391,"ET",$B$1:$B391,"&lt;&gt;"&amp;$B392,$A$1:$A391,$A392)),(COUNTIFS($L$1:$L391,"Tor",$B$1:$B391,$B392,$A$1:$A391,$A392)+COUNTIFS($L$1:$L391,"ET",$B$1:$B391,$B392,$A$1:$A391,$A392))-(COUNTIFS($L$1:$L391,"Tor",$B$1:$B391,"&lt;&gt;"&amp;$B392,$A$1:$A391,$A392)+COUNTIFS($L$1:$L391,"ET",$B$1:$B391,"&lt;&gt;"&amp;$B392,$A$1:$A391,$A392))),"")</f>
        <v>-1</v>
      </c>
      <c r="K392" s="3">
        <v>2</v>
      </c>
      <c r="L392" s="17" t="s">
        <v>0</v>
      </c>
      <c r="M392" s="2" t="s">
        <v>147</v>
      </c>
      <c r="N392" s="2" t="s">
        <v>172</v>
      </c>
      <c r="O392" s="17">
        <v>8</v>
      </c>
      <c r="P392" s="2">
        <v>27</v>
      </c>
      <c r="Q392" s="2">
        <v>6</v>
      </c>
      <c r="R392" s="2">
        <v>8</v>
      </c>
      <c r="S392" s="2">
        <v>23</v>
      </c>
      <c r="T392" s="2">
        <v>21</v>
      </c>
      <c r="U392" s="2">
        <v>26</v>
      </c>
      <c r="V392" s="2">
        <v>4</v>
      </c>
      <c r="W392" s="2">
        <v>20</v>
      </c>
      <c r="AA392" s="2" t="s">
        <v>142</v>
      </c>
      <c r="AB392" s="17" t="s">
        <v>143</v>
      </c>
      <c r="AC392" s="14" t="s">
        <v>150</v>
      </c>
      <c r="AD392" s="14" t="s">
        <v>145</v>
      </c>
      <c r="AE392" s="18">
        <v>4</v>
      </c>
      <c r="AF392" s="13">
        <v>-2</v>
      </c>
      <c r="AG392" s="13">
        <v>5.5</v>
      </c>
      <c r="AH392" s="19">
        <f t="shared" si="26"/>
        <v>5.5</v>
      </c>
      <c r="AI392" s="19">
        <f t="shared" si="27"/>
        <v>62.616157545555794</v>
      </c>
      <c r="AJ392" s="2" t="s">
        <v>166</v>
      </c>
      <c r="AM392" s="19">
        <f>IF(Abschlüsse[[#This Row],[Ergeb]]="ET","",SQRT(($AF392-$AK392)^2+($AG392-$AL392)^2))</f>
        <v>5.8523499553598128</v>
      </c>
      <c r="AN392" s="3">
        <v>1</v>
      </c>
      <c r="AO392" s="13">
        <v>0</v>
      </c>
      <c r="AP392" s="13">
        <v>6</v>
      </c>
      <c r="AQ392" s="19">
        <f t="shared" si="24"/>
        <v>2.0615528128088303</v>
      </c>
      <c r="AR392" s="3">
        <v>0</v>
      </c>
      <c r="AU392" s="19" t="str">
        <f t="shared" si="25"/>
        <v/>
      </c>
    </row>
    <row r="393" spans="1:47" ht="25.05" customHeight="1">
      <c r="A393" s="3">
        <v>15</v>
      </c>
      <c r="B393" s="2" t="s">
        <v>8</v>
      </c>
      <c r="C393" s="17" t="str">
        <f>IF($A393="","",IF(VLOOKUP($A393,Spiele!$A$2:$D$17,3,FALSE)=$B393,"H","G"))</f>
        <v>H</v>
      </c>
      <c r="D393" s="17" t="str">
        <f>IF($B393="","",IF(VLOOKUP($A393,Spiele!$A$2:$F$17,3,FALSE)=$B393,VLOOKUP($A393,Spiele!$A$2:$F$17,4,FALSE),VLOOKUP($A393,Spiele!$A$2:$F$17,3,FALSE)))</f>
        <v>FCD</v>
      </c>
      <c r="E393" s="18">
        <f>IF(Abschlüsse[[#This Row],[Ergeb]]="ET",0,COUNTIFS($A$2:$A393,$A393,$B$2:$B393,$B393,$L$2:$L393,"&lt;&gt;ET"))</f>
        <v>2</v>
      </c>
      <c r="F393" s="11">
        <v>12</v>
      </c>
      <c r="G393" s="12">
        <v>1</v>
      </c>
      <c r="H393" s="18">
        <f>COUNTIFS('Rote Karten'!$A$2:$A$4,$A393,'Rote Karten'!$D$2:$D$4,"&lt;&gt;"&amp;$B393,'Rote Karten'!$B$2:$B$4,"&lt;"&amp;$F393,'Rote Karten'!$C$2:$C$4,"&lt;="&amp;$G393)-COUNTIFS('Rote Karten'!$A$2:$A$4,$A393,'Rote Karten'!$D$2:$D$4,$B393,'Rote Karten'!$B$2:$B$4,"&lt;"&amp;$F393,'Rote Karten'!$C$2:$C$4,"&lt;="&amp;$G393)</f>
        <v>0</v>
      </c>
      <c r="I393" s="17" t="str">
        <f>IF(OR($L393="Tor",$L393="ET"),_xlfn.IFNA(IF(VLOOKUP($A393,Spiele!$A$2:$C$17,3,FALSE)=$B393,COUNTIFS($L$2:$L393,"Tor",$B$2:$B393,$B393,$A$2:$A393,$A393)+COUNTIFS($L$2:$L393,"ET",$B$2:$B393,$B393,$A$2:$A393,$A393)&amp;":"&amp;COUNTIFS($L$2:$L393,"Tor",$B$2:$B393,"&lt;&gt;"&amp;$B393,$A$2:$A393,$A393)+COUNTIFS($L$2:$L393,"ET",$B$2:$B393,"&lt;&gt;"&amp;$B393,$A$2:$A393,$A393),COUNTIFS($L$2:$L393,"Tor",$B$2:$B393,"&lt;&gt;"&amp;$B393,$A$2:$A393,$A393)+COUNTIFS($L$2:$L393,"ET",$B$2:$B393,"&lt;&gt;"&amp;$B393,$A$2:$A393,$A393)&amp;":"&amp;COUNTIFS($L$2:$L393,"Tor",$B$2:$B393,$B393,$A$2:$A393,$A393)+COUNTIFS($L$2:$L393,"ET",$B$2:$B393,$B393,$A$2:$A393,$A393)),""),"")</f>
        <v/>
      </c>
      <c r="J393" s="18">
        <f>_xlfn.IFNA(IF(VLOOKUP($A393,Spiele!$A$2:$D$17,3,FALSE)=$B393,(COUNTIFS($L$1:$L392,"Tor",$B$1:$B392,$B393,$A$1:$A392,$A393)+COUNTIFS($L$1:$L392,"ET",$B$1:$B392,$B393,$A$1:$A392,$A393))-(COUNTIFS($L$1:$L392,"Tor",$B$1:$B392,"&lt;&gt;"&amp;$B393,$A$1:$A392,$A393)+COUNTIFS($L$1:$L392,"ET",$B$1:$B392,"&lt;&gt;"&amp;$B393,$A$1:$A392,$A393)),(COUNTIFS($L$1:$L392,"Tor",$B$1:$B392,$B393,$A$1:$A392,$A393)+COUNTIFS($L$1:$L392,"ET",$B$1:$B392,$B393,$A$1:$A392,$A393))-(COUNTIFS($L$1:$L392,"Tor",$B$1:$B392,"&lt;&gt;"&amp;$B393,$A$1:$A392,$A393)+COUNTIFS($L$1:$L392,"ET",$B$1:$B392,"&lt;&gt;"&amp;$B393,$A$1:$A392,$A393))),"")</f>
        <v>0</v>
      </c>
      <c r="K393" s="3">
        <v>3</v>
      </c>
      <c r="L393" s="17" t="s">
        <v>19</v>
      </c>
      <c r="M393" s="2" t="s">
        <v>163</v>
      </c>
      <c r="N393" s="2" t="s">
        <v>148</v>
      </c>
      <c r="O393" s="17">
        <v>27</v>
      </c>
      <c r="P393" s="2">
        <v>4</v>
      </c>
      <c r="Q393" s="2">
        <v>21</v>
      </c>
      <c r="AA393" s="2" t="s">
        <v>151</v>
      </c>
      <c r="AB393" s="17" t="s">
        <v>143</v>
      </c>
      <c r="AC393" s="14" t="s">
        <v>150</v>
      </c>
      <c r="AD393" s="14" t="s">
        <v>145</v>
      </c>
      <c r="AE393" s="18">
        <v>8</v>
      </c>
      <c r="AF393" s="13">
        <v>11.5</v>
      </c>
      <c r="AG393" s="13">
        <v>8.5</v>
      </c>
      <c r="AH393" s="19">
        <f>IF($L393="ET","",IF($AF393&gt;3.66,SQRT($AG393^2+($AF393-(7.32/2))^2),IF($AF393&lt;-3.66,SQRT($AG393^2+($AF393+(7.32/2))^2),$AG393)))</f>
        <v>11.563546168887813</v>
      </c>
      <c r="AI393" s="19">
        <f t="shared" si="27"/>
        <v>18.034275480476477</v>
      </c>
      <c r="AJ393" s="2" t="s">
        <v>146</v>
      </c>
      <c r="AK393" s="13">
        <v>8.5</v>
      </c>
      <c r="AL393" s="13">
        <v>6</v>
      </c>
      <c r="AM393" s="19">
        <f>IF(Abschlüsse[[#This Row],[Ergeb]]="ET","",SQRT(($AF393-$AK393)^2+($AG393-$AL393)^2))</f>
        <v>3.905124837953327</v>
      </c>
      <c r="AN393" s="3">
        <v>1</v>
      </c>
      <c r="AO393" s="13">
        <v>10.5</v>
      </c>
      <c r="AP393" s="13">
        <v>10</v>
      </c>
      <c r="AQ393" s="19">
        <f t="shared" si="24"/>
        <v>1.8027756377319946</v>
      </c>
      <c r="AR393" s="3">
        <v>0</v>
      </c>
      <c r="AU393" s="19" t="str">
        <f t="shared" si="25"/>
        <v/>
      </c>
    </row>
    <row r="394" spans="1:47" ht="25.05" customHeight="1">
      <c r="A394" s="3">
        <v>15</v>
      </c>
      <c r="B394" s="2" t="s">
        <v>56</v>
      </c>
      <c r="C394" s="17" t="str">
        <f>IF($A394="","",IF(VLOOKUP($A394,Spiele!$A$2:$D$17,3,FALSE)=$B394,"H","G"))</f>
        <v>G</v>
      </c>
      <c r="D394" s="17" t="str">
        <f>IF($B394="","",IF(VLOOKUP($A394,Spiele!$A$2:$F$17,3,FALSE)=$B394,VLOOKUP($A394,Spiele!$A$2:$F$17,4,FALSE),VLOOKUP($A394,Spiele!$A$2:$F$17,3,FALSE)))</f>
        <v>FCN</v>
      </c>
      <c r="E394" s="18">
        <f>IF(Abschlüsse[[#This Row],[Ergeb]]="ET",0,COUNTIFS($A$2:$A394,$A394,$B$2:$B394,$B394,$L$2:$L394,"&lt;&gt;ET"))</f>
        <v>2</v>
      </c>
      <c r="F394" s="11">
        <v>13</v>
      </c>
      <c r="G394" s="12">
        <v>1</v>
      </c>
      <c r="H394" s="18">
        <f>COUNTIFS('Rote Karten'!$A$2:$A$4,$A394,'Rote Karten'!$D$2:$D$4,"&lt;&gt;"&amp;$B394,'Rote Karten'!$B$2:$B$4,"&lt;"&amp;$F394,'Rote Karten'!$C$2:$C$4,"&lt;="&amp;$G394)-COUNTIFS('Rote Karten'!$A$2:$A$4,$A394,'Rote Karten'!$D$2:$D$4,$B394,'Rote Karten'!$B$2:$B$4,"&lt;"&amp;$F394,'Rote Karten'!$C$2:$C$4,"&lt;="&amp;$G394)</f>
        <v>0</v>
      </c>
      <c r="I394" s="17" t="str">
        <f>IF(OR($L394="Tor",$L394="ET"),_xlfn.IFNA(IF(VLOOKUP($A394,Spiele!$A$2:$C$17,3,FALSE)=$B394,COUNTIFS($L$2:$L394,"Tor",$B$2:$B394,$B394,$A$2:$A394,$A394)+COUNTIFS($L$2:$L394,"ET",$B$2:$B394,$B394,$A$2:$A394,$A394)&amp;":"&amp;COUNTIFS($L$2:$L394,"Tor",$B$2:$B394,"&lt;&gt;"&amp;$B394,$A$2:$A394,$A394)+COUNTIFS($L$2:$L394,"ET",$B$2:$B394,"&lt;&gt;"&amp;$B394,$A$2:$A394,$A394),COUNTIFS($L$2:$L394,"Tor",$B$2:$B394,"&lt;&gt;"&amp;$B394,$A$2:$A394,$A394)+COUNTIFS($L$2:$L394,"ET",$B$2:$B394,"&lt;&gt;"&amp;$B394,$A$2:$A394,$A394)&amp;":"&amp;COUNTIFS($L$2:$L394,"Tor",$B$2:$B394,$B394,$A$2:$A394,$A394)+COUNTIFS($L$2:$L394,"ET",$B$2:$B394,$B394,$A$2:$A394,$A394)),""),"")</f>
        <v/>
      </c>
      <c r="J394" s="18">
        <f>_xlfn.IFNA(IF(VLOOKUP($A394,Spiele!$A$2:$D$17,3,FALSE)=$B394,(COUNTIFS($L$1:$L393,"Tor",$B$1:$B393,$B394,$A$1:$A393,$A394)+COUNTIFS($L$1:$L393,"ET",$B$1:$B393,$B394,$A$1:$A393,$A394))-(COUNTIFS($L$1:$L393,"Tor",$B$1:$B393,"&lt;&gt;"&amp;$B394,$A$1:$A393,$A394)+COUNTIFS($L$1:$L393,"ET",$B$1:$B393,"&lt;&gt;"&amp;$B394,$A$1:$A393,$A394)),(COUNTIFS($L$1:$L393,"Tor",$B$1:$B393,$B394,$A$1:$A393,$A394)+COUNTIFS($L$1:$L393,"ET",$B$1:$B393,$B394,$A$1:$A393,$A394))-(COUNTIFS($L$1:$L393,"Tor",$B$1:$B393,"&lt;&gt;"&amp;$B394,$A$1:$A393,$A394)+COUNTIFS($L$1:$L393,"ET",$B$1:$B393,"&lt;&gt;"&amp;$B394,$A$1:$A393,$A394))),"")</f>
        <v>0</v>
      </c>
      <c r="K394" s="3">
        <v>4</v>
      </c>
      <c r="L394" s="17" t="s">
        <v>18</v>
      </c>
      <c r="M394" s="2" t="s">
        <v>163</v>
      </c>
      <c r="N394" s="2" t="s">
        <v>158</v>
      </c>
      <c r="O394" s="17"/>
      <c r="AA394" s="2" t="s">
        <v>151</v>
      </c>
      <c r="AB394" s="17" t="s">
        <v>149</v>
      </c>
      <c r="AC394" s="14" t="s">
        <v>150</v>
      </c>
      <c r="AD394" s="14" t="s">
        <v>156</v>
      </c>
      <c r="AE394" s="18"/>
      <c r="AF394" s="13">
        <v>-0.5</v>
      </c>
      <c r="AG394" s="13">
        <v>13</v>
      </c>
      <c r="AH394" s="19">
        <f t="shared" si="26"/>
        <v>13</v>
      </c>
      <c r="AI394" s="19">
        <f t="shared" si="27"/>
        <v>31.406981304513735</v>
      </c>
      <c r="AJ394" s="2" t="s">
        <v>146</v>
      </c>
      <c r="AK394" s="13">
        <v>1.5</v>
      </c>
      <c r="AL394" s="13">
        <v>1.5</v>
      </c>
      <c r="AM394" s="19">
        <f>IF(Abschlüsse[[#This Row],[Ergeb]]="ET","",SQRT(($AF394-$AK394)^2+($AG394-$AL394)^2))</f>
        <v>11.672617529928752</v>
      </c>
      <c r="AN394" s="3">
        <v>0</v>
      </c>
      <c r="AO394" s="13"/>
      <c r="AP394" s="13"/>
      <c r="AQ394" s="19" t="str">
        <f t="shared" si="24"/>
        <v/>
      </c>
      <c r="AR394" s="3">
        <v>2</v>
      </c>
      <c r="AS394" s="13">
        <v>-1</v>
      </c>
      <c r="AT394" s="13">
        <v>7</v>
      </c>
      <c r="AU394" s="19">
        <f t="shared" si="25"/>
        <v>6.0207972893961479</v>
      </c>
    </row>
    <row r="395" spans="1:47" ht="25.05" customHeight="1">
      <c r="A395" s="3">
        <v>15</v>
      </c>
      <c r="B395" s="2" t="s">
        <v>56</v>
      </c>
      <c r="C395" s="17" t="str">
        <f>IF($A395="","",IF(VLOOKUP($A395,Spiele!$A$2:$D$17,3,FALSE)=$B395,"H","G"))</f>
        <v>G</v>
      </c>
      <c r="D395" s="17" t="str">
        <f>IF($B395="","",IF(VLOOKUP($A395,Spiele!$A$2:$F$17,3,FALSE)=$B395,VLOOKUP($A395,Spiele!$A$2:$F$17,4,FALSE),VLOOKUP($A395,Spiele!$A$2:$F$17,3,FALSE)))</f>
        <v>FCN</v>
      </c>
      <c r="E395" s="18">
        <f>IF(Abschlüsse[[#This Row],[Ergeb]]="ET",0,COUNTIFS($A$2:$A395,$A395,$B$2:$B395,$B395,$L$2:$L395,"&lt;&gt;ET"))</f>
        <v>3</v>
      </c>
      <c r="F395" s="11">
        <v>20</v>
      </c>
      <c r="G395" s="12">
        <v>1</v>
      </c>
      <c r="H395" s="18">
        <f>COUNTIFS('Rote Karten'!$A$2:$A$4,$A395,'Rote Karten'!$D$2:$D$4,"&lt;&gt;"&amp;$B395,'Rote Karten'!$B$2:$B$4,"&lt;"&amp;$F395,'Rote Karten'!$C$2:$C$4,"&lt;="&amp;$G395)-COUNTIFS('Rote Karten'!$A$2:$A$4,$A395,'Rote Karten'!$D$2:$D$4,$B395,'Rote Karten'!$B$2:$B$4,"&lt;"&amp;$F395,'Rote Karten'!$C$2:$C$4,"&lt;="&amp;$G395)</f>
        <v>0</v>
      </c>
      <c r="I395" s="17" t="str">
        <f>IF(OR($L395="Tor",$L395="ET"),_xlfn.IFNA(IF(VLOOKUP($A395,Spiele!$A$2:$C$17,3,FALSE)=$B395,COUNTIFS($L$2:$L395,"Tor",$B$2:$B395,$B395,$A$2:$A395,$A395)+COUNTIFS($L$2:$L395,"ET",$B$2:$B395,$B395,$A$2:$A395,$A395)&amp;":"&amp;COUNTIFS($L$2:$L395,"Tor",$B$2:$B395,"&lt;&gt;"&amp;$B395,$A$2:$A395,$A395)+COUNTIFS($L$2:$L395,"ET",$B$2:$B395,"&lt;&gt;"&amp;$B395,$A$2:$A395,$A395),COUNTIFS($L$2:$L395,"Tor",$B$2:$B395,"&lt;&gt;"&amp;$B395,$A$2:$A395,$A395)+COUNTIFS($L$2:$L395,"ET",$B$2:$B395,"&lt;&gt;"&amp;$B395,$A$2:$A395,$A395)&amp;":"&amp;COUNTIFS($L$2:$L395,"Tor",$B$2:$B395,$B395,$A$2:$A395,$A395)+COUNTIFS($L$2:$L395,"ET",$B$2:$B395,$B395,$A$2:$A395,$A395)),""),"")</f>
        <v/>
      </c>
      <c r="J395" s="18">
        <f>_xlfn.IFNA(IF(VLOOKUP($A395,Spiele!$A$2:$D$17,3,FALSE)=$B395,(COUNTIFS($L$1:$L394,"Tor",$B$1:$B394,$B395,$A$1:$A394,$A395)+COUNTIFS($L$1:$L394,"ET",$B$1:$B394,$B395,$A$1:$A394,$A395))-(COUNTIFS($L$1:$L394,"Tor",$B$1:$B394,"&lt;&gt;"&amp;$B395,$A$1:$A394,$A395)+COUNTIFS($L$1:$L394,"ET",$B$1:$B394,"&lt;&gt;"&amp;$B395,$A$1:$A394,$A395)),(COUNTIFS($L$1:$L394,"Tor",$B$1:$B394,$B395,$A$1:$A394,$A395)+COUNTIFS($L$1:$L394,"ET",$B$1:$B394,$B395,$A$1:$A394,$A395))-(COUNTIFS($L$1:$L394,"Tor",$B$1:$B394,"&lt;&gt;"&amp;$B395,$A$1:$A394,$A395)+COUNTIFS($L$1:$L394,"ET",$B$1:$B394,"&lt;&gt;"&amp;$B395,$A$1:$A394,$A395))),"")</f>
        <v>0</v>
      </c>
      <c r="K395" s="3">
        <v>5</v>
      </c>
      <c r="L395" s="17" t="s">
        <v>20</v>
      </c>
      <c r="M395" s="2" t="s">
        <v>163</v>
      </c>
      <c r="N395" s="2" t="s">
        <v>164</v>
      </c>
      <c r="O395" s="17"/>
      <c r="AA395" s="2" t="s">
        <v>151</v>
      </c>
      <c r="AB395" s="17" t="s">
        <v>149</v>
      </c>
      <c r="AC395" s="14" t="s">
        <v>150</v>
      </c>
      <c r="AD395" s="14" t="s">
        <v>156</v>
      </c>
      <c r="AE395" s="18"/>
      <c r="AF395" s="13">
        <v>-11.5</v>
      </c>
      <c r="AG395" s="13">
        <v>11</v>
      </c>
      <c r="AH395" s="19">
        <f t="shared" si="26"/>
        <v>13.507982824981678</v>
      </c>
      <c r="AI395" s="19">
        <f t="shared" si="27"/>
        <v>18.557090537063143</v>
      </c>
      <c r="AJ395" s="2" t="s">
        <v>146</v>
      </c>
      <c r="AK395" s="13">
        <v>-3.5</v>
      </c>
      <c r="AL395" s="13">
        <v>1</v>
      </c>
      <c r="AM395" s="19">
        <f>IF(Abschlüsse[[#This Row],[Ergeb]]="ET","",SQRT(($AF395-$AK395)^2+($AG395-$AL395)^2))</f>
        <v>12.806248474865697</v>
      </c>
      <c r="AN395" s="3">
        <v>1</v>
      </c>
      <c r="AO395" s="13">
        <v>-10.5</v>
      </c>
      <c r="AP395" s="13">
        <v>11</v>
      </c>
      <c r="AQ395" s="19">
        <f t="shared" si="24"/>
        <v>1</v>
      </c>
      <c r="AR395" s="3">
        <v>1</v>
      </c>
      <c r="AS395" s="13">
        <v>-10.5</v>
      </c>
      <c r="AT395" s="13">
        <v>10</v>
      </c>
      <c r="AU395" s="19">
        <f t="shared" si="25"/>
        <v>1.4142135623730951</v>
      </c>
    </row>
    <row r="396" spans="1:47" ht="25.05" customHeight="1">
      <c r="A396" s="3">
        <v>15</v>
      </c>
      <c r="B396" s="2" t="s">
        <v>56</v>
      </c>
      <c r="C396" s="17" t="str">
        <f>IF($A396="","",IF(VLOOKUP($A396,Spiele!$A$2:$D$17,3,FALSE)=$B396,"H","G"))</f>
        <v>G</v>
      </c>
      <c r="D396" s="17" t="str">
        <f>IF($B396="","",IF(VLOOKUP($A396,Spiele!$A$2:$F$17,3,FALSE)=$B396,VLOOKUP($A396,Spiele!$A$2:$F$17,4,FALSE),VLOOKUP($A396,Spiele!$A$2:$F$17,3,FALSE)))</f>
        <v>FCN</v>
      </c>
      <c r="E396" s="18">
        <f>IF(Abschlüsse[[#This Row],[Ergeb]]="ET",0,COUNTIFS($A$2:$A396,$A396,$B$2:$B396,$B396,$L$2:$L396,"&lt;&gt;ET"))</f>
        <v>4</v>
      </c>
      <c r="F396" s="11">
        <v>20</v>
      </c>
      <c r="G396" s="12">
        <v>1</v>
      </c>
      <c r="H396" s="18">
        <f>COUNTIFS('Rote Karten'!$A$2:$A$4,$A396,'Rote Karten'!$D$2:$D$4,"&lt;&gt;"&amp;$B396,'Rote Karten'!$B$2:$B$4,"&lt;"&amp;$F396,'Rote Karten'!$C$2:$C$4,"&lt;="&amp;$G396)-COUNTIFS('Rote Karten'!$A$2:$A$4,$A396,'Rote Karten'!$D$2:$D$4,$B396,'Rote Karten'!$B$2:$B$4,"&lt;"&amp;$F396,'Rote Karten'!$C$2:$C$4,"&lt;="&amp;$G396)</f>
        <v>0</v>
      </c>
      <c r="I396" s="17" t="str">
        <f>IF(OR($L396="Tor",$L396="ET"),_xlfn.IFNA(IF(VLOOKUP($A396,Spiele!$A$2:$C$17,3,FALSE)=$B396,COUNTIFS($L$2:$L396,"Tor",$B$2:$B396,$B396,$A$2:$A396,$A396)+COUNTIFS($L$2:$L396,"ET",$B$2:$B396,$B396,$A$2:$A396,$A396)&amp;":"&amp;COUNTIFS($L$2:$L396,"Tor",$B$2:$B396,"&lt;&gt;"&amp;$B396,$A$2:$A396,$A396)+COUNTIFS($L$2:$L396,"ET",$B$2:$B396,"&lt;&gt;"&amp;$B396,$A$2:$A396,$A396),COUNTIFS($L$2:$L396,"Tor",$B$2:$B396,"&lt;&gt;"&amp;$B396,$A$2:$A396,$A396)+COUNTIFS($L$2:$L396,"ET",$B$2:$B396,"&lt;&gt;"&amp;$B396,$A$2:$A396,$A396)&amp;":"&amp;COUNTIFS($L$2:$L396,"Tor",$B$2:$B396,$B396,$A$2:$A396,$A396)+COUNTIFS($L$2:$L396,"ET",$B$2:$B396,$B396,$A$2:$A396,$A396)),""),"")</f>
        <v/>
      </c>
      <c r="J396" s="18">
        <f>_xlfn.IFNA(IF(VLOOKUP($A396,Spiele!$A$2:$D$17,3,FALSE)=$B396,(COUNTIFS($L$1:$L395,"Tor",$B$1:$B395,$B396,$A$1:$A395,$A396)+COUNTIFS($L$1:$L395,"ET",$B$1:$B395,$B396,$A$1:$A395,$A396))-(COUNTIFS($L$1:$L395,"Tor",$B$1:$B395,"&lt;&gt;"&amp;$B396,$A$1:$A395,$A396)+COUNTIFS($L$1:$L395,"ET",$B$1:$B395,"&lt;&gt;"&amp;$B396,$A$1:$A395,$A396)),(COUNTIFS($L$1:$L395,"Tor",$B$1:$B395,$B396,$A$1:$A395,$A396)+COUNTIFS($L$1:$L395,"ET",$B$1:$B395,$B396,$A$1:$A395,$A396))-(COUNTIFS($L$1:$L395,"Tor",$B$1:$B395,"&lt;&gt;"&amp;$B396,$A$1:$A395,$A396)+COUNTIFS($L$1:$L395,"ET",$B$1:$B395,"&lt;&gt;"&amp;$B396,$A$1:$A395,$A396))),"")</f>
        <v>0</v>
      </c>
      <c r="K396" s="3">
        <v>6</v>
      </c>
      <c r="L396" s="17" t="s">
        <v>19</v>
      </c>
      <c r="M396" s="2" t="s">
        <v>157</v>
      </c>
      <c r="N396" s="2" t="s">
        <v>158</v>
      </c>
      <c r="O396" s="17"/>
      <c r="AA396" s="2" t="s">
        <v>142</v>
      </c>
      <c r="AB396" s="17" t="s">
        <v>143</v>
      </c>
      <c r="AC396" s="14" t="s">
        <v>150</v>
      </c>
      <c r="AD396" s="14" t="s">
        <v>145</v>
      </c>
      <c r="AE396" s="18"/>
      <c r="AF396" s="13">
        <v>2</v>
      </c>
      <c r="AG396" s="13">
        <v>22</v>
      </c>
      <c r="AH396" s="19">
        <f t="shared" si="26"/>
        <v>22</v>
      </c>
      <c r="AI396" s="19">
        <f t="shared" si="27"/>
        <v>18.742802726830092</v>
      </c>
      <c r="AJ396" s="2" t="s">
        <v>146</v>
      </c>
      <c r="AK396" s="13">
        <v>0</v>
      </c>
      <c r="AL396" s="13">
        <v>1</v>
      </c>
      <c r="AM396" s="19">
        <f>IF(Abschlüsse[[#This Row],[Ergeb]]="ET","",SQRT(($AF396-$AK396)^2+($AG396-$AL396)^2))</f>
        <v>21.095023109728988</v>
      </c>
      <c r="AN396" s="3">
        <v>1</v>
      </c>
      <c r="AO396" s="13">
        <v>0</v>
      </c>
      <c r="AP396" s="13">
        <v>19</v>
      </c>
      <c r="AQ396" s="19">
        <f t="shared" si="24"/>
        <v>3.6055512754639891</v>
      </c>
      <c r="AR396" s="3">
        <v>1</v>
      </c>
      <c r="AS396" s="13">
        <v>2.5</v>
      </c>
      <c r="AT396" s="13">
        <v>10</v>
      </c>
      <c r="AU396" s="19">
        <f t="shared" si="25"/>
        <v>12.010412149464313</v>
      </c>
    </row>
    <row r="397" spans="1:47" ht="25.05" customHeight="1">
      <c r="A397" s="3">
        <v>15</v>
      </c>
      <c r="B397" s="2" t="s">
        <v>56</v>
      </c>
      <c r="C397" s="17" t="str">
        <f>IF($A397="","",IF(VLOOKUP($A397,Spiele!$A$2:$D$17,3,FALSE)=$B397,"H","G"))</f>
        <v>G</v>
      </c>
      <c r="D397" s="17" t="str">
        <f>IF($B397="","",IF(VLOOKUP($A397,Spiele!$A$2:$F$17,3,FALSE)=$B397,VLOOKUP($A397,Spiele!$A$2:$F$17,4,FALSE),VLOOKUP($A397,Spiele!$A$2:$F$17,3,FALSE)))</f>
        <v>FCN</v>
      </c>
      <c r="E397" s="18">
        <f>IF(Abschlüsse[[#This Row],[Ergeb]]="ET",0,COUNTIFS($A$2:$A397,$A397,$B$2:$B397,$B397,$L$2:$L397,"&lt;&gt;ET"))</f>
        <v>5</v>
      </c>
      <c r="F397" s="11">
        <v>23</v>
      </c>
      <c r="G397" s="12">
        <v>1</v>
      </c>
      <c r="H397" s="18">
        <f>COUNTIFS('Rote Karten'!$A$2:$A$4,$A397,'Rote Karten'!$D$2:$D$4,"&lt;&gt;"&amp;$B397,'Rote Karten'!$B$2:$B$4,"&lt;"&amp;$F397,'Rote Karten'!$C$2:$C$4,"&lt;="&amp;$G397)-COUNTIFS('Rote Karten'!$A$2:$A$4,$A397,'Rote Karten'!$D$2:$D$4,$B397,'Rote Karten'!$B$2:$B$4,"&lt;"&amp;$F397,'Rote Karten'!$C$2:$C$4,"&lt;="&amp;$G397)</f>
        <v>0</v>
      </c>
      <c r="I397" s="17" t="str">
        <f>IF(OR($L397="Tor",$L397="ET"),_xlfn.IFNA(IF(VLOOKUP($A397,Spiele!$A$2:$C$17,3,FALSE)=$B397,COUNTIFS($L$2:$L397,"Tor",$B$2:$B397,$B397,$A$2:$A397,$A397)+COUNTIFS($L$2:$L397,"ET",$B$2:$B397,$B397,$A$2:$A397,$A397)&amp;":"&amp;COUNTIFS($L$2:$L397,"Tor",$B$2:$B397,"&lt;&gt;"&amp;$B397,$A$2:$A397,$A397)+COUNTIFS($L$2:$L397,"ET",$B$2:$B397,"&lt;&gt;"&amp;$B397,$A$2:$A397,$A397),COUNTIFS($L$2:$L397,"Tor",$B$2:$B397,"&lt;&gt;"&amp;$B397,$A$2:$A397,$A397)+COUNTIFS($L$2:$L397,"ET",$B$2:$B397,"&lt;&gt;"&amp;$B397,$A$2:$A397,$A397)&amp;":"&amp;COUNTIFS($L$2:$L397,"Tor",$B$2:$B397,$B397,$A$2:$A397,$A397)+COUNTIFS($L$2:$L397,"ET",$B$2:$B397,$B397,$A$2:$A397,$A397)),""),"")</f>
        <v/>
      </c>
      <c r="J397" s="18">
        <f>_xlfn.IFNA(IF(VLOOKUP($A397,Spiele!$A$2:$D$17,3,FALSE)=$B397,(COUNTIFS($L$1:$L396,"Tor",$B$1:$B396,$B397,$A$1:$A396,$A397)+COUNTIFS($L$1:$L396,"ET",$B$1:$B396,$B397,$A$1:$A396,$A397))-(COUNTIFS($L$1:$L396,"Tor",$B$1:$B396,"&lt;&gt;"&amp;$B397,$A$1:$A396,$A397)+COUNTIFS($L$1:$L396,"ET",$B$1:$B396,"&lt;&gt;"&amp;$B397,$A$1:$A396,$A397)),(COUNTIFS($L$1:$L396,"Tor",$B$1:$B396,$B397,$A$1:$A396,$A397)+COUNTIFS($L$1:$L396,"ET",$B$1:$B396,$B397,$A$1:$A396,$A397))-(COUNTIFS($L$1:$L396,"Tor",$B$1:$B396,"&lt;&gt;"&amp;$B397,$A$1:$A396,$A397)+COUNTIFS($L$1:$L396,"ET",$B$1:$B396,"&lt;&gt;"&amp;$B397,$A$1:$A396,$A397))),"")</f>
        <v>0</v>
      </c>
      <c r="K397" s="3">
        <v>7</v>
      </c>
      <c r="L397" s="17" t="s">
        <v>19</v>
      </c>
      <c r="M397" s="2" t="s">
        <v>163</v>
      </c>
      <c r="N397" s="2" t="s">
        <v>153</v>
      </c>
      <c r="O397" s="17"/>
      <c r="AA397" s="2" t="s">
        <v>154</v>
      </c>
      <c r="AB397" s="17" t="s">
        <v>143</v>
      </c>
      <c r="AC397" s="14" t="s">
        <v>144</v>
      </c>
      <c r="AD397" s="14" t="s">
        <v>162</v>
      </c>
      <c r="AE397" s="18"/>
      <c r="AF397" s="13">
        <v>-6.5</v>
      </c>
      <c r="AG397" s="13">
        <v>9</v>
      </c>
      <c r="AH397" s="19">
        <f t="shared" si="26"/>
        <v>9.4374572846715452</v>
      </c>
      <c r="AI397" s="19">
        <f t="shared" si="27"/>
        <v>30.951237425314321</v>
      </c>
      <c r="AJ397" s="2" t="s">
        <v>146</v>
      </c>
      <c r="AK397" s="13">
        <v>-3</v>
      </c>
      <c r="AL397" s="13">
        <v>1</v>
      </c>
      <c r="AM397" s="19">
        <f>IF(Abschlüsse[[#This Row],[Ergeb]]="ET","",SQRT(($AF397-$AK397)^2+($AG397-$AL397)^2))</f>
        <v>8.7321245982864895</v>
      </c>
      <c r="AN397" s="3">
        <v>0</v>
      </c>
      <c r="AO397" s="13"/>
      <c r="AP397" s="13"/>
      <c r="AQ397" s="19" t="str">
        <f t="shared" si="24"/>
        <v/>
      </c>
      <c r="AR397" s="3">
        <v>0</v>
      </c>
      <c r="AU397" s="19" t="str">
        <f t="shared" si="25"/>
        <v/>
      </c>
    </row>
    <row r="398" spans="1:47" ht="25.05" customHeight="1">
      <c r="A398" s="3">
        <v>15</v>
      </c>
      <c r="B398" s="2" t="s">
        <v>8</v>
      </c>
      <c r="C398" s="17" t="str">
        <f>IF($A398="","",IF(VLOOKUP($A398,Spiele!$A$2:$D$17,3,FALSE)=$B398,"H","G"))</f>
        <v>H</v>
      </c>
      <c r="D398" s="17" t="str">
        <f>IF($B398="","",IF(VLOOKUP($A398,Spiele!$A$2:$F$17,3,FALSE)=$B398,VLOOKUP($A398,Spiele!$A$2:$F$17,4,FALSE),VLOOKUP($A398,Spiele!$A$2:$F$17,3,FALSE)))</f>
        <v>FCD</v>
      </c>
      <c r="E398" s="18">
        <f>IF(Abschlüsse[[#This Row],[Ergeb]]="ET",0,COUNTIFS($A$2:$A398,$A398,$B$2:$B398,$B398,$L$2:$L398,"&lt;&gt;ET"))</f>
        <v>3</v>
      </c>
      <c r="F398" s="11">
        <v>34</v>
      </c>
      <c r="G398" s="12">
        <v>1</v>
      </c>
      <c r="H398" s="18">
        <f>COUNTIFS('Rote Karten'!$A$2:$A$4,$A398,'Rote Karten'!$D$2:$D$4,"&lt;&gt;"&amp;$B398,'Rote Karten'!$B$2:$B$4,"&lt;"&amp;$F398,'Rote Karten'!$C$2:$C$4,"&lt;="&amp;$G398)-COUNTIFS('Rote Karten'!$A$2:$A$4,$A398,'Rote Karten'!$D$2:$D$4,$B398,'Rote Karten'!$B$2:$B$4,"&lt;"&amp;$F398,'Rote Karten'!$C$2:$C$4,"&lt;="&amp;$G398)</f>
        <v>0</v>
      </c>
      <c r="I398" s="17" t="str">
        <f>IF(OR($L398="Tor",$L398="ET"),_xlfn.IFNA(IF(VLOOKUP($A398,Spiele!$A$2:$C$17,3,FALSE)=$B398,COUNTIFS($L$2:$L398,"Tor",$B$2:$B398,$B398,$A$2:$A398,$A398)+COUNTIFS($L$2:$L398,"ET",$B$2:$B398,$B398,$A$2:$A398,$A398)&amp;":"&amp;COUNTIFS($L$2:$L398,"Tor",$B$2:$B398,"&lt;&gt;"&amp;$B398,$A$2:$A398,$A398)+COUNTIFS($L$2:$L398,"ET",$B$2:$B398,"&lt;&gt;"&amp;$B398,$A$2:$A398,$A398),COUNTIFS($L$2:$L398,"Tor",$B$2:$B398,"&lt;&gt;"&amp;$B398,$A$2:$A398,$A398)+COUNTIFS($L$2:$L398,"ET",$B$2:$B398,"&lt;&gt;"&amp;$B398,$A$2:$A398,$A398)&amp;":"&amp;COUNTIFS($L$2:$L398,"Tor",$B$2:$B398,$B398,$A$2:$A398,$A398)+COUNTIFS($L$2:$L398,"ET",$B$2:$B398,$B398,$A$2:$A398,$A398)),""),"")</f>
        <v/>
      </c>
      <c r="J398" s="18">
        <f>_xlfn.IFNA(IF(VLOOKUP($A398,Spiele!$A$2:$D$17,3,FALSE)=$B398,(COUNTIFS($L$1:$L397,"Tor",$B$1:$B397,$B398,$A$1:$A397,$A398)+COUNTIFS($L$1:$L397,"ET",$B$1:$B397,$B398,$A$1:$A397,$A398))-(COUNTIFS($L$1:$L397,"Tor",$B$1:$B397,"&lt;&gt;"&amp;$B398,$A$1:$A397,$A398)+COUNTIFS($L$1:$L397,"ET",$B$1:$B397,"&lt;&gt;"&amp;$B398,$A$1:$A397,$A398)),(COUNTIFS($L$1:$L397,"Tor",$B$1:$B397,$B398,$A$1:$A397,$A398)+COUNTIFS($L$1:$L397,"ET",$B$1:$B397,$B398,$A$1:$A397,$A398))-(COUNTIFS($L$1:$L397,"Tor",$B$1:$B397,"&lt;&gt;"&amp;$B398,$A$1:$A397,$A398)+COUNTIFS($L$1:$L397,"ET",$B$1:$B397,"&lt;&gt;"&amp;$B398,$A$1:$A397,$A398))),"")</f>
        <v>0</v>
      </c>
      <c r="K398" s="3">
        <v>8</v>
      </c>
      <c r="L398" s="17" t="s">
        <v>46</v>
      </c>
      <c r="M398" s="2" t="s">
        <v>163</v>
      </c>
      <c r="N398" s="2" t="s">
        <v>152</v>
      </c>
      <c r="O398" s="17">
        <v>27</v>
      </c>
      <c r="P398" s="2">
        <v>6</v>
      </c>
      <c r="AA398" s="2" t="s">
        <v>151</v>
      </c>
      <c r="AB398" s="17" t="s">
        <v>143</v>
      </c>
      <c r="AC398" s="14" t="s">
        <v>150</v>
      </c>
      <c r="AD398" s="14" t="s">
        <v>145</v>
      </c>
      <c r="AE398" s="18">
        <v>8</v>
      </c>
      <c r="AF398" s="13">
        <v>10</v>
      </c>
      <c r="AG398" s="13">
        <v>7</v>
      </c>
      <c r="AH398" s="19">
        <f t="shared" si="26"/>
        <v>9.4443422216690127</v>
      </c>
      <c r="AI398" s="19">
        <f t="shared" si="27"/>
        <v>20.699766027866769</v>
      </c>
      <c r="AJ398" s="2" t="s">
        <v>146</v>
      </c>
      <c r="AK398" s="13">
        <v>8.5</v>
      </c>
      <c r="AL398" s="13">
        <v>6</v>
      </c>
      <c r="AM398" s="19">
        <f>IF(Abschlüsse[[#This Row],[Ergeb]]="ET","",SQRT(($AF398-$AK398)^2+($AG398-$AL398)^2))</f>
        <v>1.8027756377319946</v>
      </c>
      <c r="AN398" s="3">
        <v>0</v>
      </c>
      <c r="AO398" s="13"/>
      <c r="AP398" s="13"/>
      <c r="AQ398" s="19" t="str">
        <f t="shared" si="24"/>
        <v/>
      </c>
      <c r="AR398" s="3">
        <v>0</v>
      </c>
      <c r="AU398" s="19" t="str">
        <f t="shared" si="25"/>
        <v/>
      </c>
    </row>
    <row r="399" spans="1:47" ht="25.05" customHeight="1">
      <c r="A399" s="3">
        <v>15</v>
      </c>
      <c r="B399" s="2" t="s">
        <v>8</v>
      </c>
      <c r="C399" s="17" t="str">
        <f>IF($A399="","",IF(VLOOKUP($A399,Spiele!$A$2:$D$17,3,FALSE)=$B399,"H","G"))</f>
        <v>H</v>
      </c>
      <c r="D399" s="17" t="str">
        <f>IF($B399="","",IF(VLOOKUP($A399,Spiele!$A$2:$F$17,3,FALSE)=$B399,VLOOKUP($A399,Spiele!$A$2:$F$17,4,FALSE),VLOOKUP($A399,Spiele!$A$2:$F$17,3,FALSE)))</f>
        <v>FCD</v>
      </c>
      <c r="E399" s="18">
        <f>IF(Abschlüsse[[#This Row],[Ergeb]]="ET",0,COUNTIFS($A$2:$A399,$A399,$B$2:$B399,$B399,$L$2:$L399,"&lt;&gt;ET"))</f>
        <v>4</v>
      </c>
      <c r="F399" s="11">
        <v>36</v>
      </c>
      <c r="G399" s="12">
        <v>1</v>
      </c>
      <c r="H399" s="18">
        <f>COUNTIFS('Rote Karten'!$A$2:$A$4,$A399,'Rote Karten'!$D$2:$D$4,"&lt;&gt;"&amp;$B399,'Rote Karten'!$B$2:$B$4,"&lt;"&amp;$F399,'Rote Karten'!$C$2:$C$4,"&lt;="&amp;$G399)-COUNTIFS('Rote Karten'!$A$2:$A$4,$A399,'Rote Karten'!$D$2:$D$4,$B399,'Rote Karten'!$B$2:$B$4,"&lt;"&amp;$F399,'Rote Karten'!$C$2:$C$4,"&lt;="&amp;$G399)</f>
        <v>0</v>
      </c>
      <c r="I399" s="17" t="str">
        <f>IF(OR($L399="Tor",$L399="ET"),_xlfn.IFNA(IF(VLOOKUP($A399,Spiele!$A$2:$C$17,3,FALSE)=$B399,COUNTIFS($L$2:$L399,"Tor",$B$2:$B399,$B399,$A$2:$A399,$A399)+COUNTIFS($L$2:$L399,"ET",$B$2:$B399,$B399,$A$2:$A399,$A399)&amp;":"&amp;COUNTIFS($L$2:$L399,"Tor",$B$2:$B399,"&lt;&gt;"&amp;$B399,$A$2:$A399,$A399)+COUNTIFS($L$2:$L399,"ET",$B$2:$B399,"&lt;&gt;"&amp;$B399,$A$2:$A399,$A399),COUNTIFS($L$2:$L399,"Tor",$B$2:$B399,"&lt;&gt;"&amp;$B399,$A$2:$A399,$A399)+COUNTIFS($L$2:$L399,"ET",$B$2:$B399,"&lt;&gt;"&amp;$B399,$A$2:$A399,$A399)&amp;":"&amp;COUNTIFS($L$2:$L399,"Tor",$B$2:$B399,$B399,$A$2:$A399,$A399)+COUNTIFS($L$2:$L399,"ET",$B$2:$B399,$B399,$A$2:$A399,$A399)),""),"")</f>
        <v/>
      </c>
      <c r="J399" s="18">
        <f>_xlfn.IFNA(IF(VLOOKUP($A399,Spiele!$A$2:$D$17,3,FALSE)=$B399,(COUNTIFS($L$1:$L398,"Tor",$B$1:$B398,$B399,$A$1:$A398,$A399)+COUNTIFS($L$1:$L398,"ET",$B$1:$B398,$B399,$A$1:$A398,$A399))-(COUNTIFS($L$1:$L398,"Tor",$B$1:$B398,"&lt;&gt;"&amp;$B399,$A$1:$A398,$A399)+COUNTIFS($L$1:$L398,"ET",$B$1:$B398,"&lt;&gt;"&amp;$B399,$A$1:$A398,$A399)),(COUNTIFS($L$1:$L398,"Tor",$B$1:$B398,$B399,$A$1:$A398,$A399)+COUNTIFS($L$1:$L398,"ET",$B$1:$B398,$B399,$A$1:$A398,$A399))-(COUNTIFS($L$1:$L398,"Tor",$B$1:$B398,"&lt;&gt;"&amp;$B399,$A$1:$A398,$A399)+COUNTIFS($L$1:$L398,"ET",$B$1:$B398,"&lt;&gt;"&amp;$B399,$A$1:$A398,$A399))),"")</f>
        <v>0</v>
      </c>
      <c r="K399" s="3">
        <v>9</v>
      </c>
      <c r="L399" s="17" t="s">
        <v>20</v>
      </c>
      <c r="M399" s="2" t="s">
        <v>163</v>
      </c>
      <c r="N399" s="2" t="s">
        <v>164</v>
      </c>
      <c r="O399" s="17">
        <v>6</v>
      </c>
      <c r="P399" s="2">
        <v>20</v>
      </c>
      <c r="Q399" s="2">
        <v>4</v>
      </c>
      <c r="AA399" s="2" t="s">
        <v>151</v>
      </c>
      <c r="AB399" s="17" t="s">
        <v>143</v>
      </c>
      <c r="AC399" s="14" t="s">
        <v>150</v>
      </c>
      <c r="AD399" s="14" t="s">
        <v>145</v>
      </c>
      <c r="AE399" s="18">
        <v>27</v>
      </c>
      <c r="AF399" s="13">
        <v>-16.5</v>
      </c>
      <c r="AG399" s="13">
        <v>15.5</v>
      </c>
      <c r="AH399" s="19">
        <f t="shared" si="26"/>
        <v>20.127483697670705</v>
      </c>
      <c r="AI399" s="19">
        <f t="shared" si="27"/>
        <v>12.807233165429892</v>
      </c>
      <c r="AJ399" s="2" t="s">
        <v>146</v>
      </c>
      <c r="AK399" s="13">
        <v>-3</v>
      </c>
      <c r="AL399" s="13">
        <v>3</v>
      </c>
      <c r="AM399" s="19">
        <f>IF(Abschlüsse[[#This Row],[Ergeb]]="ET","",SQRT(($AF399-$AK399)^2+($AG399-$AL399)^2))</f>
        <v>18.398369492974098</v>
      </c>
      <c r="AN399" s="3">
        <v>1</v>
      </c>
      <c r="AO399" s="13">
        <v>-18</v>
      </c>
      <c r="AP399" s="13">
        <v>12.5</v>
      </c>
      <c r="AQ399" s="19">
        <f t="shared" si="24"/>
        <v>3.3541019662496847</v>
      </c>
      <c r="AR399" s="3">
        <v>1</v>
      </c>
      <c r="AS399" s="13">
        <v>-12.5</v>
      </c>
      <c r="AT399" s="13">
        <v>13.5</v>
      </c>
      <c r="AU399" s="19">
        <f t="shared" si="25"/>
        <v>4.4721359549995796</v>
      </c>
    </row>
    <row r="400" spans="1:47" ht="25.05" customHeight="1">
      <c r="A400" s="3">
        <v>15</v>
      </c>
      <c r="B400" s="2" t="s">
        <v>56</v>
      </c>
      <c r="C400" s="17" t="str">
        <f>IF($A400="","",IF(VLOOKUP($A400,Spiele!$A$2:$D$17,3,FALSE)=$B400,"H","G"))</f>
        <v>G</v>
      </c>
      <c r="D400" s="17" t="str">
        <f>IF($B400="","",IF(VLOOKUP($A400,Spiele!$A$2:$F$17,3,FALSE)=$B400,VLOOKUP($A400,Spiele!$A$2:$F$17,4,FALSE),VLOOKUP($A400,Spiele!$A$2:$F$17,3,FALSE)))</f>
        <v>FCN</v>
      </c>
      <c r="E400" s="18">
        <f>IF(Abschlüsse[[#This Row],[Ergeb]]="ET",0,COUNTIFS($A$2:$A400,$A400,$B$2:$B400,$B400,$L$2:$L400,"&lt;&gt;ET"))</f>
        <v>6</v>
      </c>
      <c r="F400" s="11">
        <v>45</v>
      </c>
      <c r="G400" s="12">
        <v>1</v>
      </c>
      <c r="H400" s="18">
        <f>COUNTIFS('Rote Karten'!$A$2:$A$4,$A400,'Rote Karten'!$D$2:$D$4,"&lt;&gt;"&amp;$B400,'Rote Karten'!$B$2:$B$4,"&lt;"&amp;$F400,'Rote Karten'!$C$2:$C$4,"&lt;="&amp;$G400)-COUNTIFS('Rote Karten'!$A$2:$A$4,$A400,'Rote Karten'!$D$2:$D$4,$B400,'Rote Karten'!$B$2:$B$4,"&lt;"&amp;$F400,'Rote Karten'!$C$2:$C$4,"&lt;="&amp;$G400)</f>
        <v>0</v>
      </c>
      <c r="I400" s="17" t="str">
        <f>IF(OR($L400="Tor",$L400="ET"),_xlfn.IFNA(IF(VLOOKUP($A400,Spiele!$A$2:$C$17,3,FALSE)=$B400,COUNTIFS($L$2:$L400,"Tor",$B$2:$B400,$B400,$A$2:$A400,$A400)+COUNTIFS($L$2:$L400,"ET",$B$2:$B400,$B400,$A$2:$A400,$A400)&amp;":"&amp;COUNTIFS($L$2:$L400,"Tor",$B$2:$B400,"&lt;&gt;"&amp;$B400,$A$2:$A400,$A400)+COUNTIFS($L$2:$L400,"ET",$B$2:$B400,"&lt;&gt;"&amp;$B400,$A$2:$A400,$A400),COUNTIFS($L$2:$L400,"Tor",$B$2:$B400,"&lt;&gt;"&amp;$B400,$A$2:$A400,$A400)+COUNTIFS($L$2:$L400,"ET",$B$2:$B400,"&lt;&gt;"&amp;$B400,$A$2:$A400,$A400)&amp;":"&amp;COUNTIFS($L$2:$L400,"Tor",$B$2:$B400,$B400,$A$2:$A400,$A400)+COUNTIFS($L$2:$L400,"ET",$B$2:$B400,$B400,$A$2:$A400,$A400)),""),"")</f>
        <v/>
      </c>
      <c r="J400" s="18">
        <f>_xlfn.IFNA(IF(VLOOKUP($A400,Spiele!$A$2:$D$17,3,FALSE)=$B400,(COUNTIFS($L$1:$L399,"Tor",$B$1:$B399,$B400,$A$1:$A399,$A400)+COUNTIFS($L$1:$L399,"ET",$B$1:$B399,$B400,$A$1:$A399,$A400))-(COUNTIFS($L$1:$L399,"Tor",$B$1:$B399,"&lt;&gt;"&amp;$B400,$A$1:$A399,$A400)+COUNTIFS($L$1:$L399,"ET",$B$1:$B399,"&lt;&gt;"&amp;$B400,$A$1:$A399,$A400)),(COUNTIFS($L$1:$L399,"Tor",$B$1:$B399,$B400,$A$1:$A399,$A400)+COUNTIFS($L$1:$L399,"ET",$B$1:$B399,$B400,$A$1:$A399,$A400))-(COUNTIFS($L$1:$L399,"Tor",$B$1:$B399,"&lt;&gt;"&amp;$B400,$A$1:$A399,$A400)+COUNTIFS($L$1:$L399,"ET",$B$1:$B399,"&lt;&gt;"&amp;$B400,$A$1:$A399,$A400))),"")</f>
        <v>0</v>
      </c>
      <c r="K400" s="3">
        <v>10</v>
      </c>
      <c r="L400" s="17" t="s">
        <v>18</v>
      </c>
      <c r="M400" s="2" t="s">
        <v>175</v>
      </c>
      <c r="N400" s="2" t="s">
        <v>175</v>
      </c>
      <c r="O400" s="17"/>
      <c r="AA400" s="2" t="s">
        <v>154</v>
      </c>
      <c r="AB400" s="17" t="s">
        <v>160</v>
      </c>
      <c r="AC400" s="14" t="s">
        <v>161</v>
      </c>
      <c r="AD400" s="14" t="s">
        <v>156</v>
      </c>
      <c r="AE400" s="18"/>
      <c r="AF400" s="13">
        <v>-10.5</v>
      </c>
      <c r="AG400" s="13">
        <v>14.5</v>
      </c>
      <c r="AH400" s="19">
        <f t="shared" si="26"/>
        <v>16.032329836926383</v>
      </c>
      <c r="AI400" s="19">
        <f t="shared" si="27"/>
        <v>19.065936114576076</v>
      </c>
      <c r="AJ400" s="2" t="s">
        <v>146</v>
      </c>
      <c r="AK400" s="13">
        <v>-2</v>
      </c>
      <c r="AL400" s="13">
        <v>1.5</v>
      </c>
      <c r="AM400" s="19">
        <f>IF(Abschlüsse[[#This Row],[Ergeb]]="ET","",SQRT(($AF400-$AK400)^2+($AG400-$AL400)^2))</f>
        <v>15.532224567009067</v>
      </c>
      <c r="AN400" s="3">
        <v>2</v>
      </c>
      <c r="AO400" s="13">
        <v>-10</v>
      </c>
      <c r="AP400" s="13">
        <v>15.5</v>
      </c>
      <c r="AQ400" s="19">
        <f t="shared" si="24"/>
        <v>1.1180339887498949</v>
      </c>
      <c r="AR400" s="3">
        <v>0</v>
      </c>
      <c r="AU400" s="19" t="str">
        <f t="shared" si="25"/>
        <v/>
      </c>
    </row>
    <row r="401" spans="1:47" ht="25.05" customHeight="1">
      <c r="A401" s="3">
        <v>15</v>
      </c>
      <c r="B401" s="2" t="s">
        <v>56</v>
      </c>
      <c r="C401" s="17" t="str">
        <f>IF($A401="","",IF(VLOOKUP($A401,Spiele!$A$2:$D$17,3,FALSE)=$B401,"H","G"))</f>
        <v>G</v>
      </c>
      <c r="D401" s="17" t="str">
        <f>IF($B401="","",IF(VLOOKUP($A401,Spiele!$A$2:$F$17,3,FALSE)=$B401,VLOOKUP($A401,Spiele!$A$2:$F$17,4,FALSE),VLOOKUP($A401,Spiele!$A$2:$F$17,3,FALSE)))</f>
        <v>FCN</v>
      </c>
      <c r="E401" s="18">
        <f>IF(Abschlüsse[[#This Row],[Ergeb]]="ET",0,COUNTIFS($A$2:$A401,$A401,$B$2:$B401,$B401,$L$2:$L401,"&lt;&gt;ET"))</f>
        <v>7</v>
      </c>
      <c r="F401" s="11">
        <v>51</v>
      </c>
      <c r="G401" s="12">
        <v>2</v>
      </c>
      <c r="H401" s="18">
        <f>COUNTIFS('Rote Karten'!$A$2:$A$4,$A401,'Rote Karten'!$D$2:$D$4,"&lt;&gt;"&amp;$B401,'Rote Karten'!$B$2:$B$4,"&lt;"&amp;$F401,'Rote Karten'!$C$2:$C$4,"&lt;="&amp;$G401)-COUNTIFS('Rote Karten'!$A$2:$A$4,$A401,'Rote Karten'!$D$2:$D$4,$B401,'Rote Karten'!$B$2:$B$4,"&lt;"&amp;$F401,'Rote Karten'!$C$2:$C$4,"&lt;="&amp;$G401)</f>
        <v>0</v>
      </c>
      <c r="I401" s="17" t="str">
        <f>IF(OR($L401="Tor",$L401="ET"),_xlfn.IFNA(IF(VLOOKUP($A401,Spiele!$A$2:$C$17,3,FALSE)=$B401,COUNTIFS($L$2:$L401,"Tor",$B$2:$B401,$B401,$A$2:$A401,$A401)+COUNTIFS($L$2:$L401,"ET",$B$2:$B401,$B401,$A$2:$A401,$A401)&amp;":"&amp;COUNTIFS($L$2:$L401,"Tor",$B$2:$B401,"&lt;&gt;"&amp;$B401,$A$2:$A401,$A401)+COUNTIFS($L$2:$L401,"ET",$B$2:$B401,"&lt;&gt;"&amp;$B401,$A$2:$A401,$A401),COUNTIFS($L$2:$L401,"Tor",$B$2:$B401,"&lt;&gt;"&amp;$B401,$A$2:$A401,$A401)+COUNTIFS($L$2:$L401,"ET",$B$2:$B401,"&lt;&gt;"&amp;$B401,$A$2:$A401,$A401)&amp;":"&amp;COUNTIFS($L$2:$L401,"Tor",$B$2:$B401,$B401,$A$2:$A401,$A401)+COUNTIFS($L$2:$L401,"ET",$B$2:$B401,$B401,$A$2:$A401,$A401)),""),"")</f>
        <v>1:2</v>
      </c>
      <c r="J401" s="18">
        <f>_xlfn.IFNA(IF(VLOOKUP($A401,Spiele!$A$2:$D$17,3,FALSE)=$B401,(COUNTIFS($L$1:$L400,"Tor",$B$1:$B400,$B401,$A$1:$A400,$A401)+COUNTIFS($L$1:$L400,"ET",$B$1:$B400,$B401,$A$1:$A400,$A401))-(COUNTIFS($L$1:$L400,"Tor",$B$1:$B400,"&lt;&gt;"&amp;$B401,$A$1:$A400,$A401)+COUNTIFS($L$1:$L400,"ET",$B$1:$B400,"&lt;&gt;"&amp;$B401,$A$1:$A400,$A401)),(COUNTIFS($L$1:$L400,"Tor",$B$1:$B400,$B401,$A$1:$A400,$A401)+COUNTIFS($L$1:$L400,"ET",$B$1:$B400,$B401,$A$1:$A400,$A401))-(COUNTIFS($L$1:$L400,"Tor",$B$1:$B400,"&lt;&gt;"&amp;$B401,$A$1:$A400,$A401)+COUNTIFS($L$1:$L400,"ET",$B$1:$B400,"&lt;&gt;"&amp;$B401,$A$1:$A400,$A401))),"")</f>
        <v>0</v>
      </c>
      <c r="K401" s="3">
        <v>11</v>
      </c>
      <c r="L401" s="17" t="s">
        <v>0</v>
      </c>
      <c r="M401" s="2" t="s">
        <v>157</v>
      </c>
      <c r="N401" s="2" t="s">
        <v>152</v>
      </c>
      <c r="O401" s="17"/>
      <c r="AA401" s="2" t="s">
        <v>142</v>
      </c>
      <c r="AB401" s="17" t="s">
        <v>143</v>
      </c>
      <c r="AC401" s="14" t="s">
        <v>150</v>
      </c>
      <c r="AD401" s="14" t="s">
        <v>145</v>
      </c>
      <c r="AE401" s="18"/>
      <c r="AF401" s="13">
        <v>-0.5</v>
      </c>
      <c r="AG401" s="13">
        <v>12.5</v>
      </c>
      <c r="AH401" s="19">
        <f t="shared" si="26"/>
        <v>12.5</v>
      </c>
      <c r="AI401" s="19">
        <f t="shared" si="27"/>
        <v>32.594577388569007</v>
      </c>
      <c r="AJ401" s="2" t="s">
        <v>146</v>
      </c>
      <c r="AK401" s="13">
        <v>0</v>
      </c>
      <c r="AL401" s="13">
        <v>6</v>
      </c>
      <c r="AM401" s="19">
        <f>IF(Abschlüsse[[#This Row],[Ergeb]]="ET","",SQRT(($AF401-$AK401)^2+($AG401-$AL401)^2))</f>
        <v>6.5192024052026492</v>
      </c>
      <c r="AN401" s="3">
        <v>1</v>
      </c>
      <c r="AO401" s="13">
        <v>-1.5</v>
      </c>
      <c r="AP401" s="13">
        <v>13</v>
      </c>
      <c r="AQ401" s="19">
        <f t="shared" si="24"/>
        <v>1.1180339887498949</v>
      </c>
      <c r="AR401" s="3">
        <v>0</v>
      </c>
      <c r="AU401" s="19" t="str">
        <f t="shared" si="25"/>
        <v/>
      </c>
    </row>
    <row r="402" spans="1:47" ht="25.05" customHeight="1">
      <c r="A402" s="3">
        <v>15</v>
      </c>
      <c r="B402" s="2" t="s">
        <v>8</v>
      </c>
      <c r="C402" s="17" t="str">
        <f>IF($A402="","",IF(VLOOKUP($A402,Spiele!$A$2:$D$17,3,FALSE)=$B402,"H","G"))</f>
        <v>H</v>
      </c>
      <c r="D402" s="17" t="str">
        <f>IF($B402="","",IF(VLOOKUP($A402,Spiele!$A$2:$F$17,3,FALSE)=$B402,VLOOKUP($A402,Spiele!$A$2:$F$17,4,FALSE),VLOOKUP($A402,Spiele!$A$2:$F$17,3,FALSE)))</f>
        <v>FCD</v>
      </c>
      <c r="E402" s="18">
        <f>IF(Abschlüsse[[#This Row],[Ergeb]]="ET",0,COUNTIFS($A$2:$A402,$A402,$B$2:$B402,$B402,$L$2:$L402,"&lt;&gt;ET"))</f>
        <v>5</v>
      </c>
      <c r="F402" s="11">
        <v>53</v>
      </c>
      <c r="G402" s="12">
        <v>2</v>
      </c>
      <c r="H402" s="18">
        <f>COUNTIFS('Rote Karten'!$A$2:$A$4,$A402,'Rote Karten'!$D$2:$D$4,"&lt;&gt;"&amp;$B402,'Rote Karten'!$B$2:$B$4,"&lt;"&amp;$F402,'Rote Karten'!$C$2:$C$4,"&lt;="&amp;$G402)-COUNTIFS('Rote Karten'!$A$2:$A$4,$A402,'Rote Karten'!$D$2:$D$4,$B402,'Rote Karten'!$B$2:$B$4,"&lt;"&amp;$F402,'Rote Karten'!$C$2:$C$4,"&lt;="&amp;$G402)</f>
        <v>0</v>
      </c>
      <c r="I402" s="17" t="str">
        <f>IF(OR($L402="Tor",$L402="ET"),_xlfn.IFNA(IF(VLOOKUP($A402,Spiele!$A$2:$C$17,3,FALSE)=$B402,COUNTIFS($L$2:$L402,"Tor",$B$2:$B402,$B402,$A$2:$A402,$A402)+COUNTIFS($L$2:$L402,"ET",$B$2:$B402,$B402,$A$2:$A402,$A402)&amp;":"&amp;COUNTIFS($L$2:$L402,"Tor",$B$2:$B402,"&lt;&gt;"&amp;$B402,$A$2:$A402,$A402)+COUNTIFS($L$2:$L402,"ET",$B$2:$B402,"&lt;&gt;"&amp;$B402,$A$2:$A402,$A402),COUNTIFS($L$2:$L402,"Tor",$B$2:$B402,"&lt;&gt;"&amp;$B402,$A$2:$A402,$A402)+COUNTIFS($L$2:$L402,"ET",$B$2:$B402,"&lt;&gt;"&amp;$B402,$A$2:$A402,$A402)&amp;":"&amp;COUNTIFS($L$2:$L402,"Tor",$B$2:$B402,$B402,$A$2:$A402,$A402)+COUNTIFS($L$2:$L402,"ET",$B$2:$B402,$B402,$A$2:$A402,$A402)),""),"")</f>
        <v/>
      </c>
      <c r="J402" s="18">
        <f>_xlfn.IFNA(IF(VLOOKUP($A402,Spiele!$A$2:$D$17,3,FALSE)=$B402,(COUNTIFS($L$1:$L401,"Tor",$B$1:$B401,$B402,$A$1:$A401,$A402)+COUNTIFS($L$1:$L401,"ET",$B$1:$B401,$B402,$A$1:$A401,$A402))-(COUNTIFS($L$1:$L401,"Tor",$B$1:$B401,"&lt;&gt;"&amp;$B402,$A$1:$A401,$A402)+COUNTIFS($L$1:$L401,"ET",$B$1:$B401,"&lt;&gt;"&amp;$B402,$A$1:$A401,$A402)),(COUNTIFS($L$1:$L401,"Tor",$B$1:$B401,$B402,$A$1:$A401,$A402)+COUNTIFS($L$1:$L401,"ET",$B$1:$B401,$B402,$A$1:$A401,$A402))-(COUNTIFS($L$1:$L401,"Tor",$B$1:$B401,"&lt;&gt;"&amp;$B402,$A$1:$A401,$A402)+COUNTIFS($L$1:$L401,"ET",$B$1:$B401,"&lt;&gt;"&amp;$B402,$A$1:$A401,$A402))),"")</f>
        <v>-1</v>
      </c>
      <c r="K402" s="3">
        <v>12</v>
      </c>
      <c r="L402" s="17" t="s">
        <v>19</v>
      </c>
      <c r="M402" s="2" t="s">
        <v>147</v>
      </c>
      <c r="N402" s="2" t="s">
        <v>153</v>
      </c>
      <c r="O402" s="17">
        <v>13</v>
      </c>
      <c r="P402" s="2">
        <v>20</v>
      </c>
      <c r="Q402" s="2">
        <v>26</v>
      </c>
      <c r="R402" s="2">
        <v>16</v>
      </c>
      <c r="AA402" s="2" t="s">
        <v>154</v>
      </c>
      <c r="AB402" s="17" t="s">
        <v>190</v>
      </c>
      <c r="AC402" s="14" t="s">
        <v>161</v>
      </c>
      <c r="AD402" s="14" t="s">
        <v>162</v>
      </c>
      <c r="AE402" s="18">
        <v>7</v>
      </c>
      <c r="AF402" s="13">
        <v>-7</v>
      </c>
      <c r="AG402" s="13">
        <v>6</v>
      </c>
      <c r="AH402" s="19">
        <f t="shared" si="26"/>
        <v>6.866993519728994</v>
      </c>
      <c r="AI402" s="19">
        <f t="shared" si="27"/>
        <v>31.523709134485621</v>
      </c>
      <c r="AJ402" s="2" t="s">
        <v>146</v>
      </c>
      <c r="AK402" s="13">
        <v>-3.5</v>
      </c>
      <c r="AL402" s="13">
        <v>3</v>
      </c>
      <c r="AM402" s="19">
        <f>IF(Abschlüsse[[#This Row],[Ergeb]]="ET","",SQRT(($AF402-$AK402)^2+($AG402-$AL402)^2))</f>
        <v>4.6097722286464435</v>
      </c>
      <c r="AN402" s="3">
        <v>2</v>
      </c>
      <c r="AO402" s="13">
        <v>-7</v>
      </c>
      <c r="AP402" s="13">
        <v>6.5</v>
      </c>
      <c r="AQ402" s="19">
        <f t="shared" si="24"/>
        <v>0.5</v>
      </c>
      <c r="AR402" s="3">
        <v>0</v>
      </c>
      <c r="AU402" s="19" t="str">
        <f t="shared" si="25"/>
        <v/>
      </c>
    </row>
    <row r="403" spans="1:47" ht="25.05" customHeight="1">
      <c r="A403" s="3">
        <v>15</v>
      </c>
      <c r="B403" s="2" t="s">
        <v>8</v>
      </c>
      <c r="C403" s="17" t="str">
        <f>IF($A403="","",IF(VLOOKUP($A403,Spiele!$A$2:$D$17,3,FALSE)=$B403,"H","G"))</f>
        <v>H</v>
      </c>
      <c r="D403" s="17" t="str">
        <f>IF($B403="","",IF(VLOOKUP($A403,Spiele!$A$2:$F$17,3,FALSE)=$B403,VLOOKUP($A403,Spiele!$A$2:$F$17,4,FALSE),VLOOKUP($A403,Spiele!$A$2:$F$17,3,FALSE)))</f>
        <v>FCD</v>
      </c>
      <c r="E403" s="18">
        <f>IF(Abschlüsse[[#This Row],[Ergeb]]="ET",0,COUNTIFS($A$2:$A403,$A403,$B$2:$B403,$B403,$L$2:$L403,"&lt;&gt;ET"))</f>
        <v>6</v>
      </c>
      <c r="F403" s="11">
        <v>56</v>
      </c>
      <c r="G403" s="12">
        <v>2</v>
      </c>
      <c r="H403" s="18">
        <f>COUNTIFS('Rote Karten'!$A$2:$A$4,$A403,'Rote Karten'!$D$2:$D$4,"&lt;&gt;"&amp;$B403,'Rote Karten'!$B$2:$B$4,"&lt;"&amp;$F403,'Rote Karten'!$C$2:$C$4,"&lt;="&amp;$G403)-COUNTIFS('Rote Karten'!$A$2:$A$4,$A403,'Rote Karten'!$D$2:$D$4,$B403,'Rote Karten'!$B$2:$B$4,"&lt;"&amp;$F403,'Rote Karten'!$C$2:$C$4,"&lt;="&amp;$G403)</f>
        <v>0</v>
      </c>
      <c r="I403" s="17" t="str">
        <f>IF(OR($L403="Tor",$L403="ET"),_xlfn.IFNA(IF(VLOOKUP($A403,Spiele!$A$2:$C$17,3,FALSE)=$B403,COUNTIFS($L$2:$L403,"Tor",$B$2:$B403,$B403,$A$2:$A403,$A403)+COUNTIFS($L$2:$L403,"ET",$B$2:$B403,$B403,$A$2:$A403,$A403)&amp;":"&amp;COUNTIFS($L$2:$L403,"Tor",$B$2:$B403,"&lt;&gt;"&amp;$B403,$A$2:$A403,$A403)+COUNTIFS($L$2:$L403,"ET",$B$2:$B403,"&lt;&gt;"&amp;$B403,$A$2:$A403,$A403),COUNTIFS($L$2:$L403,"Tor",$B$2:$B403,"&lt;&gt;"&amp;$B403,$A$2:$A403,$A403)+COUNTIFS($L$2:$L403,"ET",$B$2:$B403,"&lt;&gt;"&amp;$B403,$A$2:$A403,$A403)&amp;":"&amp;COUNTIFS($L$2:$L403,"Tor",$B$2:$B403,$B403,$A$2:$A403,$A403)+COUNTIFS($L$2:$L403,"ET",$B$2:$B403,$B403,$A$2:$A403,$A403)),""),"")</f>
        <v/>
      </c>
      <c r="J403" s="18">
        <f>_xlfn.IFNA(IF(VLOOKUP($A403,Spiele!$A$2:$D$17,3,FALSE)=$B403,(COUNTIFS($L$1:$L402,"Tor",$B$1:$B402,$B403,$A$1:$A402,$A403)+COUNTIFS($L$1:$L402,"ET",$B$1:$B402,$B403,$A$1:$A402,$A403))-(COUNTIFS($L$1:$L402,"Tor",$B$1:$B402,"&lt;&gt;"&amp;$B403,$A$1:$A402,$A403)+COUNTIFS($L$1:$L402,"ET",$B$1:$B402,"&lt;&gt;"&amp;$B403,$A$1:$A402,$A403)),(COUNTIFS($L$1:$L402,"Tor",$B$1:$B402,$B403,$A$1:$A402,$A403)+COUNTIFS($L$1:$L402,"ET",$B$1:$B402,$B403,$A$1:$A402,$A403))-(COUNTIFS($L$1:$L402,"Tor",$B$1:$B402,"&lt;&gt;"&amp;$B403,$A$1:$A402,$A403)+COUNTIFS($L$1:$L402,"ET",$B$1:$B402,"&lt;&gt;"&amp;$B403,$A$1:$A402,$A403))),"")</f>
        <v>-1</v>
      </c>
      <c r="K403" s="3">
        <v>13</v>
      </c>
      <c r="L403" s="18" t="s">
        <v>20</v>
      </c>
      <c r="M403" s="3" t="s">
        <v>173</v>
      </c>
      <c r="N403" s="2" t="s">
        <v>173</v>
      </c>
      <c r="O403" s="17">
        <v>20</v>
      </c>
      <c r="AA403" s="22" t="s">
        <v>154</v>
      </c>
      <c r="AB403" s="18" t="s">
        <v>160</v>
      </c>
      <c r="AC403" s="14" t="s">
        <v>161</v>
      </c>
      <c r="AD403" s="14" t="s">
        <v>156</v>
      </c>
      <c r="AE403" s="18">
        <v>4</v>
      </c>
      <c r="AF403" s="13">
        <v>3</v>
      </c>
      <c r="AG403" s="13">
        <v>4.5</v>
      </c>
      <c r="AH403" s="19">
        <f>IF($L403="ET","",IF($AF403&gt;3.66,SQRT($AG403^2+($AF403-(7.32/2))^2),IF($AF403&lt;-3.66,SQRT($AG403^2+($AF403+(7.32/2))^2),$AG403)))</f>
        <v>4.5</v>
      </c>
      <c r="AI403" s="19">
        <f>IF($L403="ET","",IF(DEGREES(ATAN((7.32*$AG403)/($AG403^2+$AF403^2-(7.32/2)^2)))&lt;=0,180+DEGREES(ATAN((7.32*$AG403)/($AG403^2+$AF403^2-(7.32/2)^2))),DEGREES(ATAN((7.32*$AG403)/($AG403^2+$AF403^2-(7.32/2)^2)))))</f>
        <v>64.297954227431433</v>
      </c>
      <c r="AJ403" s="3" t="s">
        <v>169</v>
      </c>
      <c r="AK403" s="13">
        <v>0.5</v>
      </c>
      <c r="AL403" s="13">
        <v>2.5</v>
      </c>
      <c r="AM403" s="19">
        <f>IF(Abschlüsse[[#This Row],[Ergeb]]="ET","",SQRT(($AF403-$AK403)^2+($AG403-$AL403)^2))</f>
        <v>3.2015621187164243</v>
      </c>
      <c r="AN403" s="3">
        <v>2</v>
      </c>
      <c r="AO403" s="13">
        <v>3</v>
      </c>
      <c r="AP403" s="13">
        <v>3</v>
      </c>
      <c r="AQ403" s="19">
        <f>IF(AN403=0,"",SQRT(($AF403-$AO403)^2+($AG403-$AP403)^2))</f>
        <v>1.5</v>
      </c>
      <c r="AR403" s="3">
        <v>2</v>
      </c>
      <c r="AS403" s="13">
        <v>0</v>
      </c>
      <c r="AT403" s="13">
        <v>2</v>
      </c>
      <c r="AU403" s="19">
        <f>IF(AR403=0,"",SQRT(($AF403-$AS403)^2+($AG403-$AT403)^2))</f>
        <v>3.905124837953327</v>
      </c>
    </row>
    <row r="404" spans="1:47" ht="25.05" customHeight="1">
      <c r="A404" s="3">
        <v>15</v>
      </c>
      <c r="B404" s="2" t="s">
        <v>8</v>
      </c>
      <c r="C404" s="17" t="str">
        <f>IF($A404="","",IF(VLOOKUP($A404,Spiele!$A$2:$D$17,3,FALSE)=$B404,"H","G"))</f>
        <v>H</v>
      </c>
      <c r="D404" s="17" t="str">
        <f>IF($B404="","",IF(VLOOKUP($A404,Spiele!$A$2:$F$17,3,FALSE)=$B404,VLOOKUP($A404,Spiele!$A$2:$F$17,4,FALSE),VLOOKUP($A404,Spiele!$A$2:$F$17,3,FALSE)))</f>
        <v>FCD</v>
      </c>
      <c r="E404" s="18">
        <f>IF(Abschlüsse[[#This Row],[Ergeb]]="ET",0,COUNTIFS($A$2:$A404,$A404,$B$2:$B404,$B404,$L$2:$L404,"&lt;&gt;ET"))</f>
        <v>7</v>
      </c>
      <c r="F404" s="11">
        <v>56</v>
      </c>
      <c r="G404" s="12">
        <v>2</v>
      </c>
      <c r="H404" s="18">
        <f>COUNTIFS('Rote Karten'!$A$2:$A$4,$A404,'Rote Karten'!$D$2:$D$4,"&lt;&gt;"&amp;$B404,'Rote Karten'!$B$2:$B$4,"&lt;"&amp;$F404,'Rote Karten'!$C$2:$C$4,"&lt;="&amp;$G404)-COUNTIFS('Rote Karten'!$A$2:$A$4,$A404,'Rote Karten'!$D$2:$D$4,$B404,'Rote Karten'!$B$2:$B$4,"&lt;"&amp;$F404,'Rote Karten'!$C$2:$C$4,"&lt;="&amp;$G404)</f>
        <v>0</v>
      </c>
      <c r="I404" s="17" t="str">
        <f>IF(OR($L404="Tor",$L404="ET"),_xlfn.IFNA(IF(VLOOKUP($A404,Spiele!$A$2:$C$17,3,FALSE)=$B404,COUNTIFS($L$2:$L404,"Tor",$B$2:$B404,$B404,$A$2:$A404,$A404)+COUNTIFS($L$2:$L404,"ET",$B$2:$B404,$B404,$A$2:$A404,$A404)&amp;":"&amp;COUNTIFS($L$2:$L404,"Tor",$B$2:$B404,"&lt;&gt;"&amp;$B404,$A$2:$A404,$A404)+COUNTIFS($L$2:$L404,"ET",$B$2:$B404,"&lt;&gt;"&amp;$B404,$A$2:$A404,$A404),COUNTIFS($L$2:$L404,"Tor",$B$2:$B404,"&lt;&gt;"&amp;$B404,$A$2:$A404,$A404)+COUNTIFS($L$2:$L404,"ET",$B$2:$B404,"&lt;&gt;"&amp;$B404,$A$2:$A404,$A404)&amp;":"&amp;COUNTIFS($L$2:$L404,"Tor",$B$2:$B404,$B404,$A$2:$A404,$A404)+COUNTIFS($L$2:$L404,"ET",$B$2:$B404,$B404,$A$2:$A404,$A404)),""),"")</f>
        <v/>
      </c>
      <c r="J404" s="18">
        <f>_xlfn.IFNA(IF(VLOOKUP($A404,Spiele!$A$2:$D$17,3,FALSE)=$B404,(COUNTIFS($L$1:$L403,"Tor",$B$1:$B403,$B404,$A$1:$A403,$A404)+COUNTIFS($L$1:$L403,"ET",$B$1:$B403,$B404,$A$1:$A403,$A404))-(COUNTIFS($L$1:$L403,"Tor",$B$1:$B403,"&lt;&gt;"&amp;$B404,$A$1:$A403,$A404)+COUNTIFS($L$1:$L403,"ET",$B$1:$B403,"&lt;&gt;"&amp;$B404,$A$1:$A403,$A404)),(COUNTIFS($L$1:$L403,"Tor",$B$1:$B403,$B404,$A$1:$A403,$A404)+COUNTIFS($L$1:$L403,"ET",$B$1:$B403,$B404,$A$1:$A403,$A404))-(COUNTIFS($L$1:$L403,"Tor",$B$1:$B403,"&lt;&gt;"&amp;$B404,$A$1:$A403,$A404)+COUNTIFS($L$1:$L403,"ET",$B$1:$B403,"&lt;&gt;"&amp;$B404,$A$1:$A403,$A404))),"")</f>
        <v>-1</v>
      </c>
      <c r="K404" s="3">
        <v>13</v>
      </c>
      <c r="L404" s="17" t="s">
        <v>46</v>
      </c>
      <c r="M404" s="2" t="s">
        <v>168</v>
      </c>
      <c r="N404" s="2" t="s">
        <v>3</v>
      </c>
      <c r="O404" s="17"/>
      <c r="AA404" s="2" t="s">
        <v>142</v>
      </c>
      <c r="AB404" s="17" t="s">
        <v>149</v>
      </c>
      <c r="AC404" s="14" t="s">
        <v>150</v>
      </c>
      <c r="AD404" s="14" t="s">
        <v>145</v>
      </c>
      <c r="AE404" s="18">
        <v>7</v>
      </c>
      <c r="AF404" s="13">
        <v>0</v>
      </c>
      <c r="AG404" s="13">
        <v>6</v>
      </c>
      <c r="AH404" s="19">
        <f t="shared" si="26"/>
        <v>6</v>
      </c>
      <c r="AI404" s="19">
        <f t="shared" si="27"/>
        <v>62.766382112718063</v>
      </c>
      <c r="AJ404" s="2" t="s">
        <v>146</v>
      </c>
      <c r="AK404" s="13">
        <v>-1.5</v>
      </c>
      <c r="AL404" s="13">
        <v>2</v>
      </c>
      <c r="AM404" s="19">
        <f>IF(Abschlüsse[[#This Row],[Ergeb]]="ET","",SQRT(($AF404-$AK404)^2+($AG404-$AL404)^2))</f>
        <v>4.2720018726587652</v>
      </c>
      <c r="AN404" s="3">
        <v>1</v>
      </c>
      <c r="AO404" s="13">
        <v>-2</v>
      </c>
      <c r="AP404" s="13">
        <v>5</v>
      </c>
      <c r="AQ404" s="19">
        <f t="shared" si="24"/>
        <v>2.2360679774997898</v>
      </c>
      <c r="AR404" s="3">
        <v>3</v>
      </c>
      <c r="AS404" s="13">
        <v>0</v>
      </c>
      <c r="AT404" s="13">
        <v>3.5</v>
      </c>
      <c r="AU404" s="19">
        <f t="shared" si="25"/>
        <v>2.5</v>
      </c>
    </row>
    <row r="405" spans="1:47" ht="25.05" customHeight="1">
      <c r="A405" s="3">
        <v>15</v>
      </c>
      <c r="B405" s="2" t="s">
        <v>8</v>
      </c>
      <c r="C405" s="17" t="str">
        <f>IF($A405="","",IF(VLOOKUP($A405,Spiele!$A$2:$D$17,3,FALSE)=$B405,"H","G"))</f>
        <v>H</v>
      </c>
      <c r="D405" s="17" t="str">
        <f>IF($B405="","",IF(VLOOKUP($A405,Spiele!$A$2:$F$17,3,FALSE)=$B405,VLOOKUP($A405,Spiele!$A$2:$F$17,4,FALSE),VLOOKUP($A405,Spiele!$A$2:$F$17,3,FALSE)))</f>
        <v>FCD</v>
      </c>
      <c r="E405" s="18">
        <f>IF(Abschlüsse[[#This Row],[Ergeb]]="ET",0,COUNTIFS($A$2:$A405,$A405,$B$2:$B405,$B405,$L$2:$L405,"&lt;&gt;ET"))</f>
        <v>8</v>
      </c>
      <c r="F405" s="11">
        <v>62</v>
      </c>
      <c r="G405" s="12">
        <v>2</v>
      </c>
      <c r="H405" s="18">
        <f>COUNTIFS('Rote Karten'!$A$2:$A$4,$A405,'Rote Karten'!$D$2:$D$4,"&lt;&gt;"&amp;$B405,'Rote Karten'!$B$2:$B$4,"&lt;"&amp;$F405,'Rote Karten'!$C$2:$C$4,"&lt;="&amp;$G405)-COUNTIFS('Rote Karten'!$A$2:$A$4,$A405,'Rote Karten'!$D$2:$D$4,$B405,'Rote Karten'!$B$2:$B$4,"&lt;"&amp;$F405,'Rote Karten'!$C$2:$C$4,"&lt;="&amp;$G405)</f>
        <v>0</v>
      </c>
      <c r="I405" s="17" t="str">
        <f>IF(OR($L405="Tor",$L405="ET"),_xlfn.IFNA(IF(VLOOKUP($A405,Spiele!$A$2:$C$17,3,FALSE)=$B405,COUNTIFS($L$2:$L405,"Tor",$B$2:$B405,$B405,$A$2:$A405,$A405)+COUNTIFS($L$2:$L405,"ET",$B$2:$B405,$B405,$A$2:$A405,$A405)&amp;":"&amp;COUNTIFS($L$2:$L405,"Tor",$B$2:$B405,"&lt;&gt;"&amp;$B405,$A$2:$A405,$A405)+COUNTIFS($L$2:$L405,"ET",$B$2:$B405,"&lt;&gt;"&amp;$B405,$A$2:$A405,$A405),COUNTIFS($L$2:$L405,"Tor",$B$2:$B405,"&lt;&gt;"&amp;$B405,$A$2:$A405,$A405)+COUNTIFS($L$2:$L405,"ET",$B$2:$B405,"&lt;&gt;"&amp;$B405,$A$2:$A405,$A405)&amp;":"&amp;COUNTIFS($L$2:$L405,"Tor",$B$2:$B405,$B405,$A$2:$A405,$A405)+COUNTIFS($L$2:$L405,"ET",$B$2:$B405,$B405,$A$2:$A405,$A405)),""),"")</f>
        <v/>
      </c>
      <c r="J405" s="18">
        <f>_xlfn.IFNA(IF(VLOOKUP($A405,Spiele!$A$2:$D$17,3,FALSE)=$B405,(COUNTIFS($L$1:$L404,"Tor",$B$1:$B404,$B405,$A$1:$A404,$A405)+COUNTIFS($L$1:$L404,"ET",$B$1:$B404,$B405,$A$1:$A404,$A405))-(COUNTIFS($L$1:$L404,"Tor",$B$1:$B404,"&lt;&gt;"&amp;$B405,$A$1:$A404,$A405)+COUNTIFS($L$1:$L404,"ET",$B$1:$B404,"&lt;&gt;"&amp;$B405,$A$1:$A404,$A405)),(COUNTIFS($L$1:$L404,"Tor",$B$1:$B404,$B405,$A$1:$A404,$A405)+COUNTIFS($L$1:$L404,"ET",$B$1:$B404,$B405,$A$1:$A404,$A405))-(COUNTIFS($L$1:$L404,"Tor",$B$1:$B404,"&lt;&gt;"&amp;$B405,$A$1:$A404,$A405)+COUNTIFS($L$1:$L404,"ET",$B$1:$B404,"&lt;&gt;"&amp;$B405,$A$1:$A404,$A405))),"")</f>
        <v>-1</v>
      </c>
      <c r="K405" s="3">
        <v>14</v>
      </c>
      <c r="L405" s="17" t="s">
        <v>19</v>
      </c>
      <c r="M405" s="2" t="s">
        <v>173</v>
      </c>
      <c r="N405" s="2" t="s">
        <v>173</v>
      </c>
      <c r="O405" s="17">
        <v>20</v>
      </c>
      <c r="AA405" s="2" t="s">
        <v>154</v>
      </c>
      <c r="AB405" s="17" t="s">
        <v>160</v>
      </c>
      <c r="AC405" s="14" t="s">
        <v>161</v>
      </c>
      <c r="AD405" s="14" t="s">
        <v>156</v>
      </c>
      <c r="AE405" s="18">
        <v>4</v>
      </c>
      <c r="AF405" s="13">
        <v>3</v>
      </c>
      <c r="AG405" s="13">
        <v>4.5</v>
      </c>
      <c r="AH405" s="19">
        <f t="shared" si="26"/>
        <v>4.5</v>
      </c>
      <c r="AI405" s="19">
        <f t="shared" si="27"/>
        <v>64.297954227431433</v>
      </c>
      <c r="AJ405" s="2" t="s">
        <v>146</v>
      </c>
      <c r="AK405" s="13">
        <v>0.5</v>
      </c>
      <c r="AL405" s="13">
        <v>2.5</v>
      </c>
      <c r="AM405" s="19">
        <f>IF(Abschlüsse[[#This Row],[Ergeb]]="ET","",SQRT(($AF405-$AK405)^2+($AG405-$AL405)^2))</f>
        <v>3.2015621187164243</v>
      </c>
      <c r="AN405" s="3">
        <v>2</v>
      </c>
      <c r="AO405" s="13">
        <v>1</v>
      </c>
      <c r="AP405" s="13">
        <v>3</v>
      </c>
      <c r="AQ405" s="19">
        <f t="shared" si="24"/>
        <v>2.5</v>
      </c>
      <c r="AR405" s="3">
        <v>2</v>
      </c>
      <c r="AS405" s="13">
        <v>3.5</v>
      </c>
      <c r="AT405" s="13">
        <v>1</v>
      </c>
      <c r="AU405" s="19">
        <f t="shared" si="25"/>
        <v>3.5355339059327378</v>
      </c>
    </row>
    <row r="406" spans="1:47" ht="25.05" customHeight="1">
      <c r="A406" s="3">
        <v>15</v>
      </c>
      <c r="B406" s="2" t="s">
        <v>8</v>
      </c>
      <c r="C406" s="17" t="str">
        <f>IF($A406="","",IF(VLOOKUP($A406,Spiele!$A$2:$D$17,3,FALSE)=$B406,"H","G"))</f>
        <v>H</v>
      </c>
      <c r="D406" s="17" t="str">
        <f>IF($B406="","",IF(VLOOKUP($A406,Spiele!$A$2:$F$17,3,FALSE)=$B406,VLOOKUP($A406,Spiele!$A$2:$F$17,4,FALSE),VLOOKUP($A406,Spiele!$A$2:$F$17,3,FALSE)))</f>
        <v>FCD</v>
      </c>
      <c r="E406" s="18">
        <f>IF(Abschlüsse[[#This Row],[Ergeb]]="ET",0,COUNTIFS($A$2:$A406,$A406,$B$2:$B406,$B406,$L$2:$L406,"&lt;&gt;ET"))</f>
        <v>9</v>
      </c>
      <c r="F406" s="11">
        <v>66</v>
      </c>
      <c r="G406" s="12">
        <v>2</v>
      </c>
      <c r="H406" s="18">
        <f>COUNTIFS('Rote Karten'!$A$2:$A$4,$A406,'Rote Karten'!$D$2:$D$4,"&lt;&gt;"&amp;$B406,'Rote Karten'!$B$2:$B$4,"&lt;"&amp;$F406,'Rote Karten'!$C$2:$C$4,"&lt;="&amp;$G406)-COUNTIFS('Rote Karten'!$A$2:$A$4,$A406,'Rote Karten'!$D$2:$D$4,$B406,'Rote Karten'!$B$2:$B$4,"&lt;"&amp;$F406,'Rote Karten'!$C$2:$C$4,"&lt;="&amp;$G406)</f>
        <v>0</v>
      </c>
      <c r="I406" s="17" t="str">
        <f>IF(OR($L406="Tor",$L406="ET"),_xlfn.IFNA(IF(VLOOKUP($A406,Spiele!$A$2:$C$17,3,FALSE)=$B406,COUNTIFS($L$2:$L406,"Tor",$B$2:$B406,$B406,$A$2:$A406,$A406)+COUNTIFS($L$2:$L406,"ET",$B$2:$B406,$B406,$A$2:$A406,$A406)&amp;":"&amp;COUNTIFS($L$2:$L406,"Tor",$B$2:$B406,"&lt;&gt;"&amp;$B406,$A$2:$A406,$A406)+COUNTIFS($L$2:$L406,"ET",$B$2:$B406,"&lt;&gt;"&amp;$B406,$A$2:$A406,$A406),COUNTIFS($L$2:$L406,"Tor",$B$2:$B406,"&lt;&gt;"&amp;$B406,$A$2:$A406,$A406)+COUNTIFS($L$2:$L406,"ET",$B$2:$B406,"&lt;&gt;"&amp;$B406,$A$2:$A406,$A406)&amp;":"&amp;COUNTIFS($L$2:$L406,"Tor",$B$2:$B406,$B406,$A$2:$A406,$A406)+COUNTIFS($L$2:$L406,"ET",$B$2:$B406,$B406,$A$2:$A406,$A406)),""),"")</f>
        <v/>
      </c>
      <c r="J406" s="18">
        <f>_xlfn.IFNA(IF(VLOOKUP($A406,Spiele!$A$2:$D$17,3,FALSE)=$B406,(COUNTIFS($L$1:$L405,"Tor",$B$1:$B405,$B406,$A$1:$A405,$A406)+COUNTIFS($L$1:$L405,"ET",$B$1:$B405,$B406,$A$1:$A405,$A406))-(COUNTIFS($L$1:$L405,"Tor",$B$1:$B405,"&lt;&gt;"&amp;$B406,$A$1:$A405,$A406)+COUNTIFS($L$1:$L405,"ET",$B$1:$B405,"&lt;&gt;"&amp;$B406,$A$1:$A405,$A406)),(COUNTIFS($L$1:$L405,"Tor",$B$1:$B405,$B406,$A$1:$A405,$A406)+COUNTIFS($L$1:$L405,"ET",$B$1:$B405,$B406,$A$1:$A405,$A406))-(COUNTIFS($L$1:$L405,"Tor",$B$1:$B405,"&lt;&gt;"&amp;$B406,$A$1:$A405,$A406)+COUNTIFS($L$1:$L405,"ET",$B$1:$B405,"&lt;&gt;"&amp;$B406,$A$1:$A405,$A406))),"")</f>
        <v>-1</v>
      </c>
      <c r="K406" s="3">
        <v>15</v>
      </c>
      <c r="L406" s="17" t="s">
        <v>20</v>
      </c>
      <c r="M406" s="2" t="s">
        <v>168</v>
      </c>
      <c r="N406" s="2" t="s">
        <v>3</v>
      </c>
      <c r="O406" s="17"/>
      <c r="AA406" s="2" t="s">
        <v>141</v>
      </c>
      <c r="AB406" s="17" t="s">
        <v>143</v>
      </c>
      <c r="AC406" s="14" t="s">
        <v>150</v>
      </c>
      <c r="AD406" s="14" t="s">
        <v>145</v>
      </c>
      <c r="AE406" s="18">
        <v>18</v>
      </c>
      <c r="AF406" s="13">
        <v>-2.5</v>
      </c>
      <c r="AG406" s="13">
        <v>15.5</v>
      </c>
      <c r="AH406" s="19">
        <f t="shared" si="26"/>
        <v>15.5</v>
      </c>
      <c r="AI406" s="19">
        <f t="shared" si="27"/>
        <v>25.953794239390131</v>
      </c>
      <c r="AJ406" s="2" t="s">
        <v>146</v>
      </c>
      <c r="AK406" s="13">
        <v>-0.5</v>
      </c>
      <c r="AL406" s="13">
        <v>4</v>
      </c>
      <c r="AM406" s="19">
        <f>IF(Abschlüsse[[#This Row],[Ergeb]]="ET","",SQRT(($AF406-$AK406)^2+($AG406-$AL406)^2))</f>
        <v>11.672617529928752</v>
      </c>
      <c r="AN406" s="3">
        <v>2</v>
      </c>
      <c r="AO406" s="13">
        <v>-1</v>
      </c>
      <c r="AP406" s="13">
        <v>15</v>
      </c>
      <c r="AQ406" s="19">
        <f t="shared" si="24"/>
        <v>1.5811388300841898</v>
      </c>
      <c r="AR406" s="3">
        <v>6</v>
      </c>
      <c r="AS406" s="13">
        <v>-1</v>
      </c>
      <c r="AT406" s="13">
        <v>7</v>
      </c>
      <c r="AU406" s="19">
        <f t="shared" si="25"/>
        <v>8.6313382508160341</v>
      </c>
    </row>
    <row r="407" spans="1:47" ht="25.05" customHeight="1">
      <c r="A407" s="3">
        <v>15</v>
      </c>
      <c r="B407" s="2" t="s">
        <v>8</v>
      </c>
      <c r="C407" s="17" t="str">
        <f>IF($A407="","",IF(VLOOKUP($A407,Spiele!$A$2:$D$17,3,FALSE)=$B407,"H","G"))</f>
        <v>H</v>
      </c>
      <c r="D407" s="17" t="str">
        <f>IF($B407="","",IF(VLOOKUP($A407,Spiele!$A$2:$F$17,3,FALSE)=$B407,VLOOKUP($A407,Spiele!$A$2:$F$17,4,FALSE),VLOOKUP($A407,Spiele!$A$2:$F$17,3,FALSE)))</f>
        <v>FCD</v>
      </c>
      <c r="E407" s="18">
        <f>IF(Abschlüsse[[#This Row],[Ergeb]]="ET",0,COUNTIFS($A$2:$A407,$A407,$B$2:$B407,$B407,$L$2:$L407,"&lt;&gt;ET"))</f>
        <v>10</v>
      </c>
      <c r="F407" s="11">
        <v>66</v>
      </c>
      <c r="G407" s="12">
        <v>2</v>
      </c>
      <c r="H407" s="18">
        <f>COUNTIFS('Rote Karten'!$A$2:$A$4,$A407,'Rote Karten'!$D$2:$D$4,"&lt;&gt;"&amp;$B407,'Rote Karten'!$B$2:$B$4,"&lt;"&amp;$F407,'Rote Karten'!$C$2:$C$4,"&lt;="&amp;$G407)-COUNTIFS('Rote Karten'!$A$2:$A$4,$A407,'Rote Karten'!$D$2:$D$4,$B407,'Rote Karten'!$B$2:$B$4,"&lt;"&amp;$F407,'Rote Karten'!$C$2:$C$4,"&lt;="&amp;$G407)</f>
        <v>0</v>
      </c>
      <c r="I407" s="17" t="str">
        <f>IF(OR($L407="Tor",$L407="ET"),_xlfn.IFNA(IF(VLOOKUP($A407,Spiele!$A$2:$C$17,3,FALSE)=$B407,COUNTIFS($L$2:$L407,"Tor",$B$2:$B407,$B407,$A$2:$A407,$A407)+COUNTIFS($L$2:$L407,"ET",$B$2:$B407,$B407,$A$2:$A407,$A407)&amp;":"&amp;COUNTIFS($L$2:$L407,"Tor",$B$2:$B407,"&lt;&gt;"&amp;$B407,$A$2:$A407,$A407)+COUNTIFS($L$2:$L407,"ET",$B$2:$B407,"&lt;&gt;"&amp;$B407,$A$2:$A407,$A407),COUNTIFS($L$2:$L407,"Tor",$B$2:$B407,"&lt;&gt;"&amp;$B407,$A$2:$A407,$A407)+COUNTIFS($L$2:$L407,"ET",$B$2:$B407,"&lt;&gt;"&amp;$B407,$A$2:$A407,$A407)&amp;":"&amp;COUNTIFS($L$2:$L407,"Tor",$B$2:$B407,$B407,$A$2:$A407,$A407)+COUNTIFS($L$2:$L407,"ET",$B$2:$B407,$B407,$A$2:$A407,$A407)),""),"")</f>
        <v/>
      </c>
      <c r="J407" s="18">
        <f>_xlfn.IFNA(IF(VLOOKUP($A407,Spiele!$A$2:$D$17,3,FALSE)=$B407,(COUNTIFS($L$1:$L406,"Tor",$B$1:$B406,$B407,$A$1:$A406,$A407)+COUNTIFS($L$1:$L406,"ET",$B$1:$B406,$B407,$A$1:$A406,$A407))-(COUNTIFS($L$1:$L406,"Tor",$B$1:$B406,"&lt;&gt;"&amp;$B407,$A$1:$A406,$A407)+COUNTIFS($L$1:$L406,"ET",$B$1:$B406,"&lt;&gt;"&amp;$B407,$A$1:$A406,$A407)),(COUNTIFS($L$1:$L406,"Tor",$B$1:$B406,$B407,$A$1:$A406,$A407)+COUNTIFS($L$1:$L406,"ET",$B$1:$B406,$B407,$A$1:$A406,$A407))-(COUNTIFS($L$1:$L406,"Tor",$B$1:$B406,"&lt;&gt;"&amp;$B407,$A$1:$A406,$A407)+COUNTIFS($L$1:$L406,"ET",$B$1:$B406,"&lt;&gt;"&amp;$B407,$A$1:$A406,$A407))),"")</f>
        <v>-1</v>
      </c>
      <c r="K407" s="3">
        <v>16</v>
      </c>
      <c r="L407" s="17" t="s">
        <v>18</v>
      </c>
      <c r="M407" s="2" t="s">
        <v>147</v>
      </c>
      <c r="N407" s="2" t="s">
        <v>148</v>
      </c>
      <c r="O407" s="17">
        <v>8</v>
      </c>
      <c r="P407" s="2">
        <v>20</v>
      </c>
      <c r="Q407" s="2">
        <v>19</v>
      </c>
      <c r="AA407" s="2" t="s">
        <v>142</v>
      </c>
      <c r="AB407" s="17" t="s">
        <v>149</v>
      </c>
      <c r="AC407" s="14" t="s">
        <v>150</v>
      </c>
      <c r="AD407" s="14" t="s">
        <v>145</v>
      </c>
      <c r="AE407" s="18">
        <v>13</v>
      </c>
      <c r="AF407" s="13">
        <v>-15</v>
      </c>
      <c r="AG407" s="13">
        <v>11</v>
      </c>
      <c r="AH407" s="19">
        <f t="shared" si="26"/>
        <v>15.798594874228531</v>
      </c>
      <c r="AI407" s="19">
        <f t="shared" si="27"/>
        <v>13.608873385238708</v>
      </c>
      <c r="AJ407" s="2" t="s">
        <v>146</v>
      </c>
      <c r="AK407" s="13">
        <v>-9.5</v>
      </c>
      <c r="AL407" s="13">
        <v>7.5</v>
      </c>
      <c r="AM407" s="19">
        <f>IF(Abschlüsse[[#This Row],[Ergeb]]="ET","",SQRT(($AF407-$AK407)^2+($AG407-$AL407)^2))</f>
        <v>6.5192024052026492</v>
      </c>
      <c r="AN407" s="3">
        <v>1</v>
      </c>
      <c r="AO407" s="13">
        <v>-14</v>
      </c>
      <c r="AP407" s="13">
        <v>12</v>
      </c>
      <c r="AQ407" s="19">
        <f t="shared" si="24"/>
        <v>1.4142135623730951</v>
      </c>
      <c r="AR407" s="3">
        <v>0</v>
      </c>
      <c r="AU407" s="19" t="str">
        <f t="shared" si="25"/>
        <v/>
      </c>
    </row>
    <row r="408" spans="1:47" ht="25.05" customHeight="1">
      <c r="A408" s="3">
        <v>15</v>
      </c>
      <c r="B408" s="2" t="s">
        <v>8</v>
      </c>
      <c r="C408" s="17" t="str">
        <f>IF($A408="","",IF(VLOOKUP($A408,Spiele!$A$2:$D$17,3,FALSE)=$B408,"H","G"))</f>
        <v>H</v>
      </c>
      <c r="D408" s="17" t="str">
        <f>IF($B408="","",IF(VLOOKUP($A408,Spiele!$A$2:$F$17,3,FALSE)=$B408,VLOOKUP($A408,Spiele!$A$2:$F$17,4,FALSE),VLOOKUP($A408,Spiele!$A$2:$F$17,3,FALSE)))</f>
        <v>FCD</v>
      </c>
      <c r="E408" s="18">
        <f>IF(Abschlüsse[[#This Row],[Ergeb]]="ET",0,COUNTIFS($A$2:$A408,$A408,$B$2:$B408,$B408,$L$2:$L408,"&lt;&gt;ET"))</f>
        <v>11</v>
      </c>
      <c r="F408" s="11">
        <v>74</v>
      </c>
      <c r="G408" s="12">
        <v>2</v>
      </c>
      <c r="H408" s="18">
        <f>COUNTIFS('Rote Karten'!$A$2:$A$4,$A408,'Rote Karten'!$D$2:$D$4,"&lt;&gt;"&amp;$B408,'Rote Karten'!$B$2:$B$4,"&lt;"&amp;$F408,'Rote Karten'!$C$2:$C$4,"&lt;="&amp;$G408)-COUNTIFS('Rote Karten'!$A$2:$A$4,$A408,'Rote Karten'!$D$2:$D$4,$B408,'Rote Karten'!$B$2:$B$4,"&lt;"&amp;$F408,'Rote Karten'!$C$2:$C$4,"&lt;="&amp;$G408)</f>
        <v>0</v>
      </c>
      <c r="I408" s="17" t="str">
        <f>IF(OR($L408="Tor",$L408="ET"),_xlfn.IFNA(IF(VLOOKUP($A408,Spiele!$A$2:$C$17,3,FALSE)=$B408,COUNTIFS($L$2:$L408,"Tor",$B$2:$B408,$B408,$A$2:$A408,$A408)+COUNTIFS($L$2:$L408,"ET",$B$2:$B408,$B408,$A$2:$A408,$A408)&amp;":"&amp;COUNTIFS($L$2:$L408,"Tor",$B$2:$B408,"&lt;&gt;"&amp;$B408,$A$2:$A408,$A408)+COUNTIFS($L$2:$L408,"ET",$B$2:$B408,"&lt;&gt;"&amp;$B408,$A$2:$A408,$A408),COUNTIFS($L$2:$L408,"Tor",$B$2:$B408,"&lt;&gt;"&amp;$B408,$A$2:$A408,$A408)+COUNTIFS($L$2:$L408,"ET",$B$2:$B408,"&lt;&gt;"&amp;$B408,$A$2:$A408,$A408)&amp;":"&amp;COUNTIFS($L$2:$L408,"Tor",$B$2:$B408,$B408,$A$2:$A408,$A408)+COUNTIFS($L$2:$L408,"ET",$B$2:$B408,$B408,$A$2:$A408,$A408)),""),"")</f>
        <v/>
      </c>
      <c r="J408" s="18">
        <f>_xlfn.IFNA(IF(VLOOKUP($A408,Spiele!$A$2:$D$17,3,FALSE)=$B408,(COUNTIFS($L$1:$L407,"Tor",$B$1:$B407,$B408,$A$1:$A407,$A408)+COUNTIFS($L$1:$L407,"ET",$B$1:$B407,$B408,$A$1:$A407,$A408))-(COUNTIFS($L$1:$L407,"Tor",$B$1:$B407,"&lt;&gt;"&amp;$B408,$A$1:$A407,$A408)+COUNTIFS($L$1:$L407,"ET",$B$1:$B407,"&lt;&gt;"&amp;$B408,$A$1:$A407,$A408)),(COUNTIFS($L$1:$L407,"Tor",$B$1:$B407,$B408,$A$1:$A407,$A408)+COUNTIFS($L$1:$L407,"ET",$B$1:$B407,$B408,$A$1:$A407,$A408))-(COUNTIFS($L$1:$L407,"Tor",$B$1:$B407,"&lt;&gt;"&amp;$B408,$A$1:$A407,$A408)+COUNTIFS($L$1:$L407,"ET",$B$1:$B407,"&lt;&gt;"&amp;$B408,$A$1:$A407,$A408))),"")</f>
        <v>-1</v>
      </c>
      <c r="K408" s="3">
        <v>17</v>
      </c>
      <c r="L408" s="17" t="s">
        <v>20</v>
      </c>
      <c r="M408" s="2" t="s">
        <v>147</v>
      </c>
      <c r="N408" s="2" t="s">
        <v>164</v>
      </c>
      <c r="O408" s="17">
        <v>19</v>
      </c>
      <c r="P408" s="2">
        <v>13</v>
      </c>
      <c r="Q408" s="2">
        <v>18</v>
      </c>
      <c r="R408" s="2">
        <v>20</v>
      </c>
      <c r="AA408" s="2" t="s">
        <v>151</v>
      </c>
      <c r="AB408" s="17" t="s">
        <v>143</v>
      </c>
      <c r="AC408" s="14" t="s">
        <v>150</v>
      </c>
      <c r="AD408" s="14" t="s">
        <v>145</v>
      </c>
      <c r="AE408" s="18">
        <v>18</v>
      </c>
      <c r="AF408" s="13">
        <v>-9.5</v>
      </c>
      <c r="AG408" s="13">
        <v>28</v>
      </c>
      <c r="AH408" s="19">
        <f t="shared" si="26"/>
        <v>28.602545341280379</v>
      </c>
      <c r="AI408" s="19">
        <f t="shared" si="27"/>
        <v>13.392161826732297</v>
      </c>
      <c r="AJ408" s="2" t="s">
        <v>146</v>
      </c>
      <c r="AK408" s="13">
        <v>-1.5</v>
      </c>
      <c r="AL408" s="13">
        <v>3.5</v>
      </c>
      <c r="AM408" s="19">
        <f>IF(Abschlüsse[[#This Row],[Ergeb]]="ET","",SQRT(($AF408-$AK408)^2+($AG408-$AL408)^2))</f>
        <v>25.773047937719745</v>
      </c>
      <c r="AN408" s="3">
        <v>1</v>
      </c>
      <c r="AO408" s="13">
        <v>-11</v>
      </c>
      <c r="AP408" s="13">
        <v>27</v>
      </c>
      <c r="AQ408" s="19">
        <f t="shared" si="24"/>
        <v>1.8027756377319946</v>
      </c>
      <c r="AR408" s="3">
        <v>3</v>
      </c>
      <c r="AS408" s="13">
        <v>-8.5</v>
      </c>
      <c r="AT408" s="13">
        <v>26</v>
      </c>
      <c r="AU408" s="19">
        <f t="shared" si="25"/>
        <v>2.2360679774997898</v>
      </c>
    </row>
    <row r="409" spans="1:47" ht="25.05" customHeight="1">
      <c r="A409" s="3">
        <v>15</v>
      </c>
      <c r="B409" s="2" t="s">
        <v>8</v>
      </c>
      <c r="C409" s="17" t="str">
        <f>IF($A409="","",IF(VLOOKUP($A409,Spiele!$A$2:$D$17,3,FALSE)=$B409,"H","G"))</f>
        <v>H</v>
      </c>
      <c r="D409" s="17" t="str">
        <f>IF($B409="","",IF(VLOOKUP($A409,Spiele!$A$2:$F$17,3,FALSE)=$B409,VLOOKUP($A409,Spiele!$A$2:$F$17,4,FALSE),VLOOKUP($A409,Spiele!$A$2:$F$17,3,FALSE)))</f>
        <v>FCD</v>
      </c>
      <c r="E409" s="18">
        <f>IF(Abschlüsse[[#This Row],[Ergeb]]="ET",0,COUNTIFS($A$2:$A409,$A409,$B$2:$B409,$B409,$L$2:$L409,"&lt;&gt;ET"))</f>
        <v>12</v>
      </c>
      <c r="F409" s="11">
        <v>78</v>
      </c>
      <c r="G409" s="12">
        <v>2</v>
      </c>
      <c r="H409" s="18">
        <f>COUNTIFS('Rote Karten'!$A$2:$A$4,$A409,'Rote Karten'!$D$2:$D$4,"&lt;&gt;"&amp;$B409,'Rote Karten'!$B$2:$B$4,"&lt;"&amp;$F409,'Rote Karten'!$C$2:$C$4,"&lt;="&amp;$G409)-COUNTIFS('Rote Karten'!$A$2:$A$4,$A409,'Rote Karten'!$D$2:$D$4,$B409,'Rote Karten'!$B$2:$B$4,"&lt;"&amp;$F409,'Rote Karten'!$C$2:$C$4,"&lt;="&amp;$G409)</f>
        <v>0</v>
      </c>
      <c r="I409" s="17" t="str">
        <f>IF(OR($L409="Tor",$L409="ET"),_xlfn.IFNA(IF(VLOOKUP($A409,Spiele!$A$2:$C$17,3,FALSE)=$B409,COUNTIFS($L$2:$L409,"Tor",$B$2:$B409,$B409,$A$2:$A409,$A409)+COUNTIFS($L$2:$L409,"ET",$B$2:$B409,$B409,$A$2:$A409,$A409)&amp;":"&amp;COUNTIFS($L$2:$L409,"Tor",$B$2:$B409,"&lt;&gt;"&amp;$B409,$A$2:$A409,$A409)+COUNTIFS($L$2:$L409,"ET",$B$2:$B409,"&lt;&gt;"&amp;$B409,$A$2:$A409,$A409),COUNTIFS($L$2:$L409,"Tor",$B$2:$B409,"&lt;&gt;"&amp;$B409,$A$2:$A409,$A409)+COUNTIFS($L$2:$L409,"ET",$B$2:$B409,"&lt;&gt;"&amp;$B409,$A$2:$A409,$A409)&amp;":"&amp;COUNTIFS($L$2:$L409,"Tor",$B$2:$B409,$B409,$A$2:$A409,$A409)+COUNTIFS($L$2:$L409,"ET",$B$2:$B409,$B409,$A$2:$A409,$A409)),""),"")</f>
        <v/>
      </c>
      <c r="J409" s="18">
        <f>_xlfn.IFNA(IF(VLOOKUP($A409,Spiele!$A$2:$D$17,3,FALSE)=$B409,(COUNTIFS($L$1:$L408,"Tor",$B$1:$B408,$B409,$A$1:$A408,$A409)+COUNTIFS($L$1:$L408,"ET",$B$1:$B408,$B409,$A$1:$A408,$A409))-(COUNTIFS($L$1:$L408,"Tor",$B$1:$B408,"&lt;&gt;"&amp;$B409,$A$1:$A408,$A409)+COUNTIFS($L$1:$L408,"ET",$B$1:$B408,"&lt;&gt;"&amp;$B409,$A$1:$A408,$A409)),(COUNTIFS($L$1:$L408,"Tor",$B$1:$B408,$B409,$A$1:$A408,$A409)+COUNTIFS($L$1:$L408,"ET",$B$1:$B408,$B409,$A$1:$A408,$A409))-(COUNTIFS($L$1:$L408,"Tor",$B$1:$B408,"&lt;&gt;"&amp;$B409,$A$1:$A408,$A409)+COUNTIFS($L$1:$L408,"ET",$B$1:$B408,"&lt;&gt;"&amp;$B409,$A$1:$A408,$A409))),"")</f>
        <v>-1</v>
      </c>
      <c r="K409" s="3">
        <v>18</v>
      </c>
      <c r="L409" s="17" t="s">
        <v>18</v>
      </c>
      <c r="M409" s="2" t="s">
        <v>147</v>
      </c>
      <c r="N409" s="2" t="s">
        <v>148</v>
      </c>
      <c r="O409" s="17">
        <v>8</v>
      </c>
      <c r="P409" s="2">
        <v>26</v>
      </c>
      <c r="Q409" s="2">
        <v>16</v>
      </c>
      <c r="R409" s="2">
        <v>20</v>
      </c>
      <c r="AA409" s="2" t="s">
        <v>151</v>
      </c>
      <c r="AB409" s="17" t="s">
        <v>143</v>
      </c>
      <c r="AC409" s="14" t="s">
        <v>150</v>
      </c>
      <c r="AD409" s="14" t="s">
        <v>145</v>
      </c>
      <c r="AE409" s="18">
        <v>12</v>
      </c>
      <c r="AF409" s="13">
        <v>12</v>
      </c>
      <c r="AG409" s="13">
        <v>3.5</v>
      </c>
      <c r="AH409" s="19">
        <f t="shared" si="26"/>
        <v>9.044644824425113</v>
      </c>
      <c r="AI409" s="19">
        <f t="shared" si="27"/>
        <v>10.167532202822489</v>
      </c>
      <c r="AJ409" s="2" t="s">
        <v>146</v>
      </c>
      <c r="AK409" s="13">
        <v>7</v>
      </c>
      <c r="AL409" s="13">
        <v>2</v>
      </c>
      <c r="AM409" s="19">
        <f>IF(Abschlüsse[[#This Row],[Ergeb]]="ET","",SQRT(($AF409-$AK409)^2+($AG409-$AL409)^2))</f>
        <v>5.2201532544552753</v>
      </c>
      <c r="AN409" s="3">
        <v>1</v>
      </c>
      <c r="AO409" s="13">
        <v>12.5</v>
      </c>
      <c r="AP409" s="13">
        <v>6</v>
      </c>
      <c r="AQ409" s="19">
        <f t="shared" si="24"/>
        <v>2.5495097567963922</v>
      </c>
      <c r="AR409" s="3">
        <v>0</v>
      </c>
      <c r="AU409" s="19" t="str">
        <f t="shared" si="25"/>
        <v/>
      </c>
    </row>
    <row r="410" spans="1:47" ht="25.05" customHeight="1">
      <c r="A410" s="3">
        <v>16</v>
      </c>
      <c r="B410" s="2" t="s">
        <v>78</v>
      </c>
      <c r="C410" s="17" t="str">
        <f>IF($A410="","",IF(VLOOKUP($A410,Spiele!$A$2:$D$17,3,FALSE)=$B410,"H","G"))</f>
        <v>G</v>
      </c>
      <c r="D410" s="17" t="str">
        <f>IF($B410="","",IF(VLOOKUP($A410,Spiele!$A$2:$F$17,3,FALSE)=$B410,VLOOKUP($A410,Spiele!$A$2:$F$17,4,FALSE),VLOOKUP($A410,Spiele!$A$2:$F$17,3,FALSE)))</f>
        <v>FCN</v>
      </c>
      <c r="E410" s="18">
        <f>IF(Abschlüsse[[#This Row],[Ergeb]]="ET",0,COUNTIFS($A$2:$A410,$A410,$B$2:$B410,$B410,$L$2:$L410,"&lt;&gt;ET"))</f>
        <v>1</v>
      </c>
      <c r="F410" s="11">
        <v>1</v>
      </c>
      <c r="G410" s="12">
        <v>1</v>
      </c>
      <c r="H410" s="18">
        <f>COUNTIFS('Rote Karten'!$A$2:$A$4,$A410,'Rote Karten'!$D$2:$D$4,"&lt;&gt;"&amp;$B410,'Rote Karten'!$B$2:$B$4,"&lt;"&amp;$F410,'Rote Karten'!$C$2:$C$4,"&lt;="&amp;$G410)-COUNTIFS('Rote Karten'!$A$2:$A$4,$A410,'Rote Karten'!$D$2:$D$4,$B410,'Rote Karten'!$B$2:$B$4,"&lt;"&amp;$F410,'Rote Karten'!$C$2:$C$4,"&lt;="&amp;$G410)</f>
        <v>0</v>
      </c>
      <c r="I410" s="17" t="str">
        <f>IF(OR($L410="Tor",$L410="ET"),_xlfn.IFNA(IF(VLOOKUP($A410,Spiele!$A$2:$C$17,3,FALSE)=$B410,COUNTIFS($L$2:$L410,"Tor",$B$2:$B410,$B410,$A$2:$A410,$A410)+COUNTIFS($L$2:$L410,"ET",$B$2:$B410,$B410,$A$2:$A410,$A410)&amp;":"&amp;COUNTIFS($L$2:$L410,"Tor",$B$2:$B410,"&lt;&gt;"&amp;$B410,$A$2:$A410,$A410)+COUNTIFS($L$2:$L410,"ET",$B$2:$B410,"&lt;&gt;"&amp;$B410,$A$2:$A410,$A410),COUNTIFS($L$2:$L410,"Tor",$B$2:$B410,"&lt;&gt;"&amp;$B410,$A$2:$A410,$A410)+COUNTIFS($L$2:$L410,"ET",$B$2:$B410,"&lt;&gt;"&amp;$B410,$A$2:$A410,$A410)&amp;":"&amp;COUNTIFS($L$2:$L410,"Tor",$B$2:$B410,$B410,$A$2:$A410,$A410)+COUNTIFS($L$2:$L410,"ET",$B$2:$B410,$B410,$A$2:$A410,$A410)),""),"")</f>
        <v/>
      </c>
      <c r="J410" s="18">
        <f>_xlfn.IFNA(IF(VLOOKUP($A410,Spiele!$A$2:$D$17,3,FALSE)=$B410,(COUNTIFS($L$1:$L409,"Tor",$B$1:$B409,$B410,$A$1:$A409,$A410)+COUNTIFS($L$1:$L409,"ET",$B$1:$B409,$B410,$A$1:$A409,$A410))-(COUNTIFS($L$1:$L409,"Tor",$B$1:$B409,"&lt;&gt;"&amp;$B410,$A$1:$A409,$A410)+COUNTIFS($L$1:$L409,"ET",$B$1:$B409,"&lt;&gt;"&amp;$B410,$A$1:$A409,$A410)),(COUNTIFS($L$1:$L409,"Tor",$B$1:$B409,$B410,$A$1:$A409,$A410)+COUNTIFS($L$1:$L409,"ET",$B$1:$B409,$B410,$A$1:$A409,$A410))-(COUNTIFS($L$1:$L409,"Tor",$B$1:$B409,"&lt;&gt;"&amp;$B410,$A$1:$A409,$A410)+COUNTIFS($L$1:$L409,"ET",$B$1:$B409,"&lt;&gt;"&amp;$B410,$A$1:$A409,$A410))),"")</f>
        <v>0</v>
      </c>
      <c r="K410" s="3">
        <v>1</v>
      </c>
      <c r="L410" s="17" t="s">
        <v>19</v>
      </c>
      <c r="M410" s="2" t="s">
        <v>147</v>
      </c>
      <c r="N410" s="2" t="s">
        <v>158</v>
      </c>
      <c r="O410" s="17"/>
      <c r="AA410" s="2" t="s">
        <v>151</v>
      </c>
      <c r="AB410" s="17" t="s">
        <v>149</v>
      </c>
      <c r="AC410" s="14" t="s">
        <v>150</v>
      </c>
      <c r="AD410" s="14" t="s">
        <v>156</v>
      </c>
      <c r="AE410" s="18"/>
      <c r="AF410" s="13">
        <v>-11.5</v>
      </c>
      <c r="AG410" s="13">
        <v>23</v>
      </c>
      <c r="AH410" s="19">
        <f t="shared" si="26"/>
        <v>24.299497937200265</v>
      </c>
      <c r="AI410" s="19">
        <f t="shared" si="27"/>
        <v>14.567411232811493</v>
      </c>
      <c r="AJ410" s="2" t="s">
        <v>146</v>
      </c>
      <c r="AK410" s="13">
        <v>-2</v>
      </c>
      <c r="AL410" s="13">
        <v>0.5</v>
      </c>
      <c r="AM410" s="19">
        <f>IF(Abschlüsse[[#This Row],[Ergeb]]="ET","",SQRT(($AF410-$AK410)^2+($AG410-$AL410)^2))</f>
        <v>24.423349483639626</v>
      </c>
      <c r="AN410" s="3">
        <v>0</v>
      </c>
      <c r="AO410" s="13"/>
      <c r="AP410" s="13"/>
      <c r="AQ410" s="19" t="str">
        <f t="shared" si="24"/>
        <v/>
      </c>
      <c r="AR410" s="3">
        <v>2</v>
      </c>
      <c r="AS410" s="13">
        <v>-9.5</v>
      </c>
      <c r="AT410" s="13">
        <v>20</v>
      </c>
      <c r="AU410" s="19">
        <f t="shared" si="25"/>
        <v>3.6055512754639891</v>
      </c>
    </row>
    <row r="411" spans="1:47" ht="25.05" customHeight="1">
      <c r="A411" s="3">
        <v>16</v>
      </c>
      <c r="B411" s="2" t="s">
        <v>8</v>
      </c>
      <c r="C411" s="17" t="str">
        <f>IF($A411="","",IF(VLOOKUP($A411,Spiele!$A$2:$D$17,3,FALSE)=$B411,"H","G"))</f>
        <v>H</v>
      </c>
      <c r="D411" s="17" t="str">
        <f>IF($B411="","",IF(VLOOKUP($A411,Spiele!$A$2:$F$17,3,FALSE)=$B411,VLOOKUP($A411,Spiele!$A$2:$F$17,4,FALSE),VLOOKUP($A411,Spiele!$A$2:$F$17,3,FALSE)))</f>
        <v>SGF</v>
      </c>
      <c r="E411" s="18">
        <f>IF(Abschlüsse[[#This Row],[Ergeb]]="ET",0,COUNTIFS($A$2:$A411,$A411,$B$2:$B411,$B411,$L$2:$L411,"&lt;&gt;ET"))</f>
        <v>1</v>
      </c>
      <c r="F411" s="11">
        <v>1</v>
      </c>
      <c r="G411" s="12">
        <v>1</v>
      </c>
      <c r="H411" s="18">
        <f>COUNTIFS('Rote Karten'!$A$2:$A$4,$A411,'Rote Karten'!$D$2:$D$4,"&lt;&gt;"&amp;$B411,'Rote Karten'!$B$2:$B$4,"&lt;"&amp;$F411,'Rote Karten'!$C$2:$C$4,"&lt;="&amp;$G411)-COUNTIFS('Rote Karten'!$A$2:$A$4,$A411,'Rote Karten'!$D$2:$D$4,$B411,'Rote Karten'!$B$2:$B$4,"&lt;"&amp;$F411,'Rote Karten'!$C$2:$C$4,"&lt;="&amp;$G411)</f>
        <v>0</v>
      </c>
      <c r="I411" s="17" t="str">
        <f>IF(OR($L411="Tor",$L411="ET"),_xlfn.IFNA(IF(VLOOKUP($A411,Spiele!$A$2:$C$17,3,FALSE)=$B411,COUNTIFS($L$2:$L411,"Tor",$B$2:$B411,$B411,$A$2:$A411,$A411)+COUNTIFS($L$2:$L411,"ET",$B$2:$B411,$B411,$A$2:$A411,$A411)&amp;":"&amp;COUNTIFS($L$2:$L411,"Tor",$B$2:$B411,"&lt;&gt;"&amp;$B411,$A$2:$A411,$A411)+COUNTIFS($L$2:$L411,"ET",$B$2:$B411,"&lt;&gt;"&amp;$B411,$A$2:$A411,$A411),COUNTIFS($L$2:$L411,"Tor",$B$2:$B411,"&lt;&gt;"&amp;$B411,$A$2:$A411,$A411)+COUNTIFS($L$2:$L411,"ET",$B$2:$B411,"&lt;&gt;"&amp;$B411,$A$2:$A411,$A411)&amp;":"&amp;COUNTIFS($L$2:$L411,"Tor",$B$2:$B411,$B411,$A$2:$A411,$A411)+COUNTIFS($L$2:$L411,"ET",$B$2:$B411,$B411,$A$2:$A411,$A411)),""),"")</f>
        <v/>
      </c>
      <c r="J411" s="18">
        <f>_xlfn.IFNA(IF(VLOOKUP($A411,Spiele!$A$2:$D$17,3,FALSE)=$B411,(COUNTIFS($L$1:$L410,"Tor",$B$1:$B410,$B411,$A$1:$A410,$A411)+COUNTIFS($L$1:$L410,"ET",$B$1:$B410,$B411,$A$1:$A410,$A411))-(COUNTIFS($L$1:$L410,"Tor",$B$1:$B410,"&lt;&gt;"&amp;$B411,$A$1:$A410,$A411)+COUNTIFS($L$1:$L410,"ET",$B$1:$B410,"&lt;&gt;"&amp;$B411,$A$1:$A410,$A411)),(COUNTIFS($L$1:$L410,"Tor",$B$1:$B410,$B411,$A$1:$A410,$A411)+COUNTIFS($L$1:$L410,"ET",$B$1:$B410,$B411,$A$1:$A410,$A411))-(COUNTIFS($L$1:$L410,"Tor",$B$1:$B410,"&lt;&gt;"&amp;$B411,$A$1:$A410,$A411)+COUNTIFS($L$1:$L410,"ET",$B$1:$B410,"&lt;&gt;"&amp;$B411,$A$1:$A410,$A411))),"")</f>
        <v>0</v>
      </c>
      <c r="K411" s="3">
        <v>2</v>
      </c>
      <c r="L411" s="17" t="s">
        <v>19</v>
      </c>
      <c r="M411" s="2" t="s">
        <v>157</v>
      </c>
      <c r="N411" s="2" t="s">
        <v>164</v>
      </c>
      <c r="O411" s="17">
        <v>7</v>
      </c>
      <c r="P411" s="2">
        <v>26</v>
      </c>
      <c r="Q411" s="2">
        <v>23</v>
      </c>
      <c r="AA411" s="2" t="s">
        <v>151</v>
      </c>
      <c r="AB411" s="17" t="s">
        <v>149</v>
      </c>
      <c r="AC411" s="14" t="s">
        <v>150</v>
      </c>
      <c r="AD411" s="14" t="s">
        <v>145</v>
      </c>
      <c r="AE411" s="18">
        <v>13</v>
      </c>
      <c r="AF411" s="13">
        <v>-13.5</v>
      </c>
      <c r="AG411" s="13">
        <v>14</v>
      </c>
      <c r="AH411" s="19">
        <f t="shared" si="26"/>
        <v>17.112147731947619</v>
      </c>
      <c r="AI411" s="19">
        <f t="shared" si="27"/>
        <v>15.688946252845293</v>
      </c>
      <c r="AJ411" s="2" t="s">
        <v>146</v>
      </c>
      <c r="AK411" s="13">
        <v>-1.5</v>
      </c>
      <c r="AL411" s="13">
        <v>0.5</v>
      </c>
      <c r="AM411" s="19">
        <f>IF(Abschlüsse[[#This Row],[Ergeb]]="ET","",SQRT(($AF411-$AK411)^2+($AG411-$AL411)^2))</f>
        <v>18.062391868188442</v>
      </c>
      <c r="AN411" s="3">
        <v>1</v>
      </c>
      <c r="AO411" s="13">
        <v>-10</v>
      </c>
      <c r="AP411" s="13">
        <v>13.5</v>
      </c>
      <c r="AQ411" s="19">
        <f t="shared" si="24"/>
        <v>3.5355339059327378</v>
      </c>
      <c r="AR411" s="3">
        <v>0</v>
      </c>
      <c r="AU411" s="19" t="str">
        <f t="shared" si="25"/>
        <v/>
      </c>
    </row>
    <row r="412" spans="1:47" ht="25.05" customHeight="1">
      <c r="A412" s="3">
        <v>16</v>
      </c>
      <c r="B412" s="2" t="s">
        <v>8</v>
      </c>
      <c r="C412" s="17" t="str">
        <f>IF($A412="","",IF(VLOOKUP($A412,Spiele!$A$2:$D$17,3,FALSE)=$B412,"H","G"))</f>
        <v>H</v>
      </c>
      <c r="D412" s="17" t="str">
        <f>IF($B412="","",IF(VLOOKUP($A412,Spiele!$A$2:$F$17,3,FALSE)=$B412,VLOOKUP($A412,Spiele!$A$2:$F$17,4,FALSE),VLOOKUP($A412,Spiele!$A$2:$F$17,3,FALSE)))</f>
        <v>SGF</v>
      </c>
      <c r="E412" s="18">
        <f>IF(Abschlüsse[[#This Row],[Ergeb]]="ET",0,COUNTIFS($A$2:$A412,$A412,$B$2:$B412,$B412,$L$2:$L412,"&lt;&gt;ET"))</f>
        <v>2</v>
      </c>
      <c r="F412" s="11">
        <v>5</v>
      </c>
      <c r="G412" s="12">
        <v>1</v>
      </c>
      <c r="H412" s="18">
        <f>COUNTIFS('Rote Karten'!$A$2:$A$4,$A412,'Rote Karten'!$D$2:$D$4,"&lt;&gt;"&amp;$B412,'Rote Karten'!$B$2:$B$4,"&lt;"&amp;$F412,'Rote Karten'!$C$2:$C$4,"&lt;="&amp;$G412)-COUNTIFS('Rote Karten'!$A$2:$A$4,$A412,'Rote Karten'!$D$2:$D$4,$B412,'Rote Karten'!$B$2:$B$4,"&lt;"&amp;$F412,'Rote Karten'!$C$2:$C$4,"&lt;="&amp;$G412)</f>
        <v>0</v>
      </c>
      <c r="I412" s="17" t="str">
        <f>IF(OR($L412="Tor",$L412="ET"),_xlfn.IFNA(IF(VLOOKUP($A412,Spiele!$A$2:$C$17,3,FALSE)=$B412,COUNTIFS($L$2:$L412,"Tor",$B$2:$B412,$B412,$A$2:$A412,$A412)+COUNTIFS($L$2:$L412,"ET",$B$2:$B412,$B412,$A$2:$A412,$A412)&amp;":"&amp;COUNTIFS($L$2:$L412,"Tor",$B$2:$B412,"&lt;&gt;"&amp;$B412,$A$2:$A412,$A412)+COUNTIFS($L$2:$L412,"ET",$B$2:$B412,"&lt;&gt;"&amp;$B412,$A$2:$A412,$A412),COUNTIFS($L$2:$L412,"Tor",$B$2:$B412,"&lt;&gt;"&amp;$B412,$A$2:$A412,$A412)+COUNTIFS($L$2:$L412,"ET",$B$2:$B412,"&lt;&gt;"&amp;$B412,$A$2:$A412,$A412)&amp;":"&amp;COUNTIFS($L$2:$L412,"Tor",$B$2:$B412,$B412,$A$2:$A412,$A412)+COUNTIFS($L$2:$L412,"ET",$B$2:$B412,$B412,$A$2:$A412,$A412)),""),"")</f>
        <v>1:0</v>
      </c>
      <c r="J412" s="18">
        <f>_xlfn.IFNA(IF(VLOOKUP($A412,Spiele!$A$2:$D$17,3,FALSE)=$B412,(COUNTIFS($L$1:$L411,"Tor",$B$1:$B411,$B412,$A$1:$A411,$A412)+COUNTIFS($L$1:$L411,"ET",$B$1:$B411,$B412,$A$1:$A411,$A412))-(COUNTIFS($L$1:$L411,"Tor",$B$1:$B411,"&lt;&gt;"&amp;$B412,$A$1:$A411,$A412)+COUNTIFS($L$1:$L411,"ET",$B$1:$B411,"&lt;&gt;"&amp;$B412,$A$1:$A411,$A412)),(COUNTIFS($L$1:$L411,"Tor",$B$1:$B411,$B412,$A$1:$A411,$A412)+COUNTIFS($L$1:$L411,"ET",$B$1:$B411,$B412,$A$1:$A411,$A412))-(COUNTIFS($L$1:$L411,"Tor",$B$1:$B411,"&lt;&gt;"&amp;$B412,$A$1:$A411,$A412)+COUNTIFS($L$1:$L411,"ET",$B$1:$B411,"&lt;&gt;"&amp;$B412,$A$1:$A411,$A412))),"")</f>
        <v>0</v>
      </c>
      <c r="K412" s="3">
        <v>3</v>
      </c>
      <c r="L412" s="17" t="s">
        <v>0</v>
      </c>
      <c r="M412" s="2" t="s">
        <v>168</v>
      </c>
      <c r="N412" s="2" t="s">
        <v>153</v>
      </c>
      <c r="O412" s="17">
        <v>8</v>
      </c>
      <c r="AA412" s="2" t="s">
        <v>154</v>
      </c>
      <c r="AB412" s="17" t="s">
        <v>160</v>
      </c>
      <c r="AC412" s="14" t="s">
        <v>161</v>
      </c>
      <c r="AD412" s="14" t="s">
        <v>145</v>
      </c>
      <c r="AE412" s="18">
        <v>16</v>
      </c>
      <c r="AF412" s="13">
        <v>2.5</v>
      </c>
      <c r="AG412" s="13">
        <v>6</v>
      </c>
      <c r="AH412" s="19">
        <f t="shared" si="26"/>
        <v>6</v>
      </c>
      <c r="AI412" s="19">
        <f t="shared" si="27"/>
        <v>56.696033742080139</v>
      </c>
      <c r="AJ412" s="2" t="s">
        <v>146</v>
      </c>
      <c r="AK412" s="13">
        <v>1</v>
      </c>
      <c r="AL412" s="13">
        <v>0.5</v>
      </c>
      <c r="AM412" s="19">
        <f>IF(Abschlüsse[[#This Row],[Ergeb]]="ET","",SQRT(($AF412-$AK412)^2+($AG412-$AL412)^2))</f>
        <v>5.7008771254956896</v>
      </c>
      <c r="AN412" s="3">
        <v>2</v>
      </c>
      <c r="AO412" s="13">
        <v>4</v>
      </c>
      <c r="AP412" s="13">
        <v>5.5</v>
      </c>
      <c r="AQ412" s="19">
        <f t="shared" ref="AQ412:AQ433" si="28">IF(AN412=0,"",SQRT(($AF412-$AO412)^2+($AG412-$AP412)^2))</f>
        <v>1.5811388300841898</v>
      </c>
      <c r="AR412" s="3">
        <v>1</v>
      </c>
      <c r="AS412" s="13">
        <v>1</v>
      </c>
      <c r="AT412" s="13">
        <v>3.5</v>
      </c>
      <c r="AU412" s="19">
        <f t="shared" ref="AU412:AU433" si="29">IF(AR412=0,"",SQRT(($AF412-$AS412)^2+($AG412-$AT412)^2))</f>
        <v>2.9154759474226504</v>
      </c>
    </row>
    <row r="413" spans="1:47" ht="25.05" customHeight="1">
      <c r="A413" s="3">
        <v>16</v>
      </c>
      <c r="B413" s="2" t="s">
        <v>8</v>
      </c>
      <c r="C413" s="17" t="str">
        <f>IF($A413="","",IF(VLOOKUP($A413,Spiele!$A$2:$D$17,3,FALSE)=$B413,"H","G"))</f>
        <v>H</v>
      </c>
      <c r="D413" s="17" t="str">
        <f>IF($B413="","",IF(VLOOKUP($A413,Spiele!$A$2:$F$17,3,FALSE)=$B413,VLOOKUP($A413,Spiele!$A$2:$F$17,4,FALSE),VLOOKUP($A413,Spiele!$A$2:$F$17,3,FALSE)))</f>
        <v>SGF</v>
      </c>
      <c r="E413" s="18">
        <f>IF(Abschlüsse[[#This Row],[Ergeb]]="ET",0,COUNTIFS($A$2:$A413,$A413,$B$2:$B413,$B413,$L$2:$L413,"&lt;&gt;ET"))</f>
        <v>3</v>
      </c>
      <c r="F413" s="11">
        <v>8</v>
      </c>
      <c r="G413" s="12">
        <v>1</v>
      </c>
      <c r="H413" s="18">
        <f>COUNTIFS('Rote Karten'!$A$2:$A$4,$A413,'Rote Karten'!$D$2:$D$4,"&lt;&gt;"&amp;$B413,'Rote Karten'!$B$2:$B$4,"&lt;"&amp;$F413,'Rote Karten'!$C$2:$C$4,"&lt;="&amp;$G413)-COUNTIFS('Rote Karten'!$A$2:$A$4,$A413,'Rote Karten'!$D$2:$D$4,$B413,'Rote Karten'!$B$2:$B$4,"&lt;"&amp;$F413,'Rote Karten'!$C$2:$C$4,"&lt;="&amp;$G413)</f>
        <v>0</v>
      </c>
      <c r="I413" s="17" t="str">
        <f>IF(OR($L413="Tor",$L413="ET"),_xlfn.IFNA(IF(VLOOKUP($A413,Spiele!$A$2:$C$17,3,FALSE)=$B413,COUNTIFS($L$2:$L413,"Tor",$B$2:$B413,$B413,$A$2:$A413,$A413)+COUNTIFS($L$2:$L413,"ET",$B$2:$B413,$B413,$A$2:$A413,$A413)&amp;":"&amp;COUNTIFS($L$2:$L413,"Tor",$B$2:$B413,"&lt;&gt;"&amp;$B413,$A$2:$A413,$A413)+COUNTIFS($L$2:$L413,"ET",$B$2:$B413,"&lt;&gt;"&amp;$B413,$A$2:$A413,$A413),COUNTIFS($L$2:$L413,"Tor",$B$2:$B413,"&lt;&gt;"&amp;$B413,$A$2:$A413,$A413)+COUNTIFS($L$2:$L413,"ET",$B$2:$B413,"&lt;&gt;"&amp;$B413,$A$2:$A413,$A413)&amp;":"&amp;COUNTIFS($L$2:$L413,"Tor",$B$2:$B413,$B413,$A$2:$A413,$A413)+COUNTIFS($L$2:$L413,"ET",$B$2:$B413,$B413,$A$2:$A413,$A413)),""),"")</f>
        <v/>
      </c>
      <c r="J413" s="18">
        <f>_xlfn.IFNA(IF(VLOOKUP($A413,Spiele!$A$2:$D$17,3,FALSE)=$B413,(COUNTIFS($L$1:$L412,"Tor",$B$1:$B412,$B413,$A$1:$A412,$A413)+COUNTIFS($L$1:$L412,"ET",$B$1:$B412,$B413,$A$1:$A412,$A413))-(COUNTIFS($L$1:$L412,"Tor",$B$1:$B412,"&lt;&gt;"&amp;$B413,$A$1:$A412,$A413)+COUNTIFS($L$1:$L412,"ET",$B$1:$B412,"&lt;&gt;"&amp;$B413,$A$1:$A412,$A413)),(COUNTIFS($L$1:$L412,"Tor",$B$1:$B412,$B413,$A$1:$A412,$A413)+COUNTIFS($L$1:$L412,"ET",$B$1:$B412,$B413,$A$1:$A412,$A413))-(COUNTIFS($L$1:$L412,"Tor",$B$1:$B412,"&lt;&gt;"&amp;$B413,$A$1:$A412,$A413)+COUNTIFS($L$1:$L412,"ET",$B$1:$B412,"&lt;&gt;"&amp;$B413,$A$1:$A412,$A413))),"")</f>
        <v>1</v>
      </c>
      <c r="K413" s="3">
        <v>4</v>
      </c>
      <c r="L413" s="17" t="s">
        <v>20</v>
      </c>
      <c r="M413" s="2" t="s">
        <v>174</v>
      </c>
      <c r="O413" s="17"/>
      <c r="AA413" s="2" t="s">
        <v>142</v>
      </c>
      <c r="AB413" s="17" t="s">
        <v>149</v>
      </c>
      <c r="AC413" s="14" t="s">
        <v>150</v>
      </c>
      <c r="AD413" s="14" t="s">
        <v>145</v>
      </c>
      <c r="AE413" s="18">
        <v>20</v>
      </c>
      <c r="AF413" s="13">
        <v>6</v>
      </c>
      <c r="AG413" s="13">
        <v>28</v>
      </c>
      <c r="AH413" s="19">
        <f t="shared" si="26"/>
        <v>28.097608439153678</v>
      </c>
      <c r="AI413" s="19">
        <f t="shared" si="27"/>
        <v>14.257245160782109</v>
      </c>
      <c r="AJ413" s="2" t="s">
        <v>146</v>
      </c>
      <c r="AK413" s="13">
        <v>-0.5</v>
      </c>
      <c r="AL413" s="13">
        <v>0.5</v>
      </c>
      <c r="AM413" s="19">
        <f>IF(Abschlüsse[[#This Row],[Ergeb]]="ET","",SQRT(($AF413-$AK413)^2+($AG413-$AL413)^2))</f>
        <v>28.257742301889582</v>
      </c>
      <c r="AN413" s="3">
        <v>0</v>
      </c>
      <c r="AO413" s="13"/>
      <c r="AP413" s="13"/>
      <c r="AQ413" s="19" t="str">
        <f t="shared" si="28"/>
        <v/>
      </c>
      <c r="AR413" s="3">
        <v>3</v>
      </c>
      <c r="AS413" s="13">
        <v>5</v>
      </c>
      <c r="AT413" s="13">
        <v>17</v>
      </c>
      <c r="AU413" s="19">
        <f t="shared" si="29"/>
        <v>11.045361017187261</v>
      </c>
    </row>
    <row r="414" spans="1:47" ht="25.05" customHeight="1">
      <c r="A414" s="3">
        <v>16</v>
      </c>
      <c r="B414" s="2" t="s">
        <v>78</v>
      </c>
      <c r="C414" s="17" t="str">
        <f>IF($A414="","",IF(VLOOKUP($A414,Spiele!$A$2:$D$17,3,FALSE)=$B414,"H","G"))</f>
        <v>G</v>
      </c>
      <c r="D414" s="17" t="str">
        <f>IF($B414="","",IF(VLOOKUP($A414,Spiele!$A$2:$F$17,3,FALSE)=$B414,VLOOKUP($A414,Spiele!$A$2:$F$17,4,FALSE),VLOOKUP($A414,Spiele!$A$2:$F$17,3,FALSE)))</f>
        <v>FCN</v>
      </c>
      <c r="E414" s="18">
        <f>IF(Abschlüsse[[#This Row],[Ergeb]]="ET",0,COUNTIFS($A$2:$A414,$A414,$B$2:$B414,$B414,$L$2:$L414,"&lt;&gt;ET"))</f>
        <v>2</v>
      </c>
      <c r="F414" s="11">
        <v>11</v>
      </c>
      <c r="G414" s="12">
        <v>1</v>
      </c>
      <c r="H414" s="18">
        <f>COUNTIFS('Rote Karten'!$A$2:$A$4,$A414,'Rote Karten'!$D$2:$D$4,"&lt;&gt;"&amp;$B414,'Rote Karten'!$B$2:$B$4,"&lt;"&amp;$F414,'Rote Karten'!$C$2:$C$4,"&lt;="&amp;$G414)-COUNTIFS('Rote Karten'!$A$2:$A$4,$A414,'Rote Karten'!$D$2:$D$4,$B414,'Rote Karten'!$B$2:$B$4,"&lt;"&amp;$F414,'Rote Karten'!$C$2:$C$4,"&lt;="&amp;$G414)</f>
        <v>0</v>
      </c>
      <c r="I414" s="17" t="str">
        <f>IF(OR($L414="Tor",$L414="ET"),_xlfn.IFNA(IF(VLOOKUP($A414,Spiele!$A$2:$C$17,3,FALSE)=$B414,COUNTIFS($L$2:$L414,"Tor",$B$2:$B414,$B414,$A$2:$A414,$A414)+COUNTIFS($L$2:$L414,"ET",$B$2:$B414,$B414,$A$2:$A414,$A414)&amp;":"&amp;COUNTIFS($L$2:$L414,"Tor",$B$2:$B414,"&lt;&gt;"&amp;$B414,$A$2:$A414,$A414)+COUNTIFS($L$2:$L414,"ET",$B$2:$B414,"&lt;&gt;"&amp;$B414,$A$2:$A414,$A414),COUNTIFS($L$2:$L414,"Tor",$B$2:$B414,"&lt;&gt;"&amp;$B414,$A$2:$A414,$A414)+COUNTIFS($L$2:$L414,"ET",$B$2:$B414,"&lt;&gt;"&amp;$B414,$A$2:$A414,$A414)&amp;":"&amp;COUNTIFS($L$2:$L414,"Tor",$B$2:$B414,$B414,$A$2:$A414,$A414)+COUNTIFS($L$2:$L414,"ET",$B$2:$B414,$B414,$A$2:$A414,$A414)),""),"")</f>
        <v>1:1</v>
      </c>
      <c r="J414" s="18">
        <f>_xlfn.IFNA(IF(VLOOKUP($A414,Spiele!$A$2:$D$17,3,FALSE)=$B414,(COUNTIFS($L$1:$L413,"Tor",$B$1:$B413,$B414,$A$1:$A413,$A414)+COUNTIFS($L$1:$L413,"ET",$B$1:$B413,$B414,$A$1:$A413,$A414))-(COUNTIFS($L$1:$L413,"Tor",$B$1:$B413,"&lt;&gt;"&amp;$B414,$A$1:$A413,$A414)+COUNTIFS($L$1:$L413,"ET",$B$1:$B413,"&lt;&gt;"&amp;$B414,$A$1:$A413,$A414)),(COUNTIFS($L$1:$L413,"Tor",$B$1:$B413,$B414,$A$1:$A413,$A414)+COUNTIFS($L$1:$L413,"ET",$B$1:$B413,$B414,$A$1:$A413,$A414))-(COUNTIFS($L$1:$L413,"Tor",$B$1:$B413,"&lt;&gt;"&amp;$B414,$A$1:$A413,$A414)+COUNTIFS($L$1:$L413,"ET",$B$1:$B413,"&lt;&gt;"&amp;$B414,$A$1:$A413,$A414))),"")</f>
        <v>-1</v>
      </c>
      <c r="K414" s="3">
        <v>5</v>
      </c>
      <c r="L414" s="17" t="s">
        <v>0</v>
      </c>
      <c r="M414" s="2" t="s">
        <v>174</v>
      </c>
      <c r="O414" s="17"/>
      <c r="AA414" s="2" t="s">
        <v>142</v>
      </c>
      <c r="AB414" s="17" t="s">
        <v>143</v>
      </c>
      <c r="AC414" s="14" t="s">
        <v>150</v>
      </c>
      <c r="AD414" s="14" t="s">
        <v>145</v>
      </c>
      <c r="AE414" s="18"/>
      <c r="AF414" s="13">
        <v>-20</v>
      </c>
      <c r="AG414" s="13">
        <v>16.5</v>
      </c>
      <c r="AH414" s="19">
        <f t="shared" si="26"/>
        <v>23.221662300533094</v>
      </c>
      <c r="AI414" s="19">
        <f t="shared" si="27"/>
        <v>10.388018708143159</v>
      </c>
      <c r="AJ414" s="2" t="s">
        <v>146</v>
      </c>
      <c r="AK414" s="13">
        <v>-0.5</v>
      </c>
      <c r="AL414" s="13">
        <v>0.5</v>
      </c>
      <c r="AM414" s="19">
        <f>IF(Abschlüsse[[#This Row],[Ergeb]]="ET","",SQRT(($AF414-$AK414)^2+($AG414-$AL414)^2))</f>
        <v>25.223996511258878</v>
      </c>
      <c r="AN414" s="3">
        <v>0</v>
      </c>
      <c r="AO414" s="13"/>
      <c r="AP414" s="13"/>
      <c r="AQ414" s="19" t="str">
        <f t="shared" si="28"/>
        <v/>
      </c>
      <c r="AR414" s="3">
        <v>3</v>
      </c>
      <c r="AS414" s="13">
        <v>-13</v>
      </c>
      <c r="AT414" s="13">
        <v>10.5</v>
      </c>
      <c r="AU414" s="19">
        <f t="shared" si="29"/>
        <v>9.2195444572928871</v>
      </c>
    </row>
    <row r="415" spans="1:47" ht="25.05" customHeight="1">
      <c r="A415" s="3">
        <v>16</v>
      </c>
      <c r="B415" s="2" t="s">
        <v>8</v>
      </c>
      <c r="C415" s="17" t="str">
        <f>IF($A415="","",IF(VLOOKUP($A415,Spiele!$A$2:$D$17,3,FALSE)=$B415,"H","G"))</f>
        <v>H</v>
      </c>
      <c r="D415" s="17" t="str">
        <f>IF($B415="","",IF(VLOOKUP($A415,Spiele!$A$2:$F$17,3,FALSE)=$B415,VLOOKUP($A415,Spiele!$A$2:$F$17,4,FALSE),VLOOKUP($A415,Spiele!$A$2:$F$17,3,FALSE)))</f>
        <v>SGF</v>
      </c>
      <c r="E415" s="18">
        <f>IF(Abschlüsse[[#This Row],[Ergeb]]="ET",0,COUNTIFS($A$2:$A415,$A415,$B$2:$B415,$B415,$L$2:$L415,"&lt;&gt;ET"))</f>
        <v>4</v>
      </c>
      <c r="F415" s="11">
        <v>15</v>
      </c>
      <c r="G415" s="12">
        <v>1</v>
      </c>
      <c r="H415" s="18">
        <f>COUNTIFS('Rote Karten'!$A$2:$A$4,$A415,'Rote Karten'!$D$2:$D$4,"&lt;&gt;"&amp;$B415,'Rote Karten'!$B$2:$B$4,"&lt;"&amp;$F415,'Rote Karten'!$C$2:$C$4,"&lt;="&amp;$G415)-COUNTIFS('Rote Karten'!$A$2:$A$4,$A415,'Rote Karten'!$D$2:$D$4,$B415,'Rote Karten'!$B$2:$B$4,"&lt;"&amp;$F415,'Rote Karten'!$C$2:$C$4,"&lt;="&amp;$G415)</f>
        <v>0</v>
      </c>
      <c r="I415" s="17" t="str">
        <f>IF(OR($L415="Tor",$L415="ET"),_xlfn.IFNA(IF(VLOOKUP($A415,Spiele!$A$2:$C$17,3,FALSE)=$B415,COUNTIFS($L$2:$L415,"Tor",$B$2:$B415,$B415,$A$2:$A415,$A415)+COUNTIFS($L$2:$L415,"ET",$B$2:$B415,$B415,$A$2:$A415,$A415)&amp;":"&amp;COUNTIFS($L$2:$L415,"Tor",$B$2:$B415,"&lt;&gt;"&amp;$B415,$A$2:$A415,$A415)+COUNTIFS($L$2:$L415,"ET",$B$2:$B415,"&lt;&gt;"&amp;$B415,$A$2:$A415,$A415),COUNTIFS($L$2:$L415,"Tor",$B$2:$B415,"&lt;&gt;"&amp;$B415,$A$2:$A415,$A415)+COUNTIFS($L$2:$L415,"ET",$B$2:$B415,"&lt;&gt;"&amp;$B415,$A$2:$A415,$A415)&amp;":"&amp;COUNTIFS($L$2:$L415,"Tor",$B$2:$B415,$B415,$A$2:$A415,$A415)+COUNTIFS($L$2:$L415,"ET",$B$2:$B415,$B415,$A$2:$A415,$A415)),""),"")</f>
        <v>2:1</v>
      </c>
      <c r="J415" s="18">
        <f>_xlfn.IFNA(IF(VLOOKUP($A415,Spiele!$A$2:$D$17,3,FALSE)=$B415,(COUNTIFS($L$1:$L414,"Tor",$B$1:$B414,$B415,$A$1:$A414,$A415)+COUNTIFS($L$1:$L414,"ET",$B$1:$B414,$B415,$A$1:$A414,$A415))-(COUNTIFS($L$1:$L414,"Tor",$B$1:$B414,"&lt;&gt;"&amp;$B415,$A$1:$A414,$A415)+COUNTIFS($L$1:$L414,"ET",$B$1:$B414,"&lt;&gt;"&amp;$B415,$A$1:$A414,$A415)),(COUNTIFS($L$1:$L414,"Tor",$B$1:$B414,$B415,$A$1:$A414,$A415)+COUNTIFS($L$1:$L414,"ET",$B$1:$B414,$B415,$A$1:$A414,$A415))-(COUNTIFS($L$1:$L414,"Tor",$B$1:$B414,"&lt;&gt;"&amp;$B415,$A$1:$A414,$A415)+COUNTIFS($L$1:$L414,"ET",$B$1:$B414,"&lt;&gt;"&amp;$B415,$A$1:$A414,$A415))),"")</f>
        <v>0</v>
      </c>
      <c r="K415" s="3">
        <v>6</v>
      </c>
      <c r="L415" s="17" t="s">
        <v>0</v>
      </c>
      <c r="M415" s="2" t="s">
        <v>163</v>
      </c>
      <c r="N415" s="2" t="s">
        <v>167</v>
      </c>
      <c r="O415" s="17"/>
      <c r="AA415" s="2" t="s">
        <v>142</v>
      </c>
      <c r="AB415" s="17" t="s">
        <v>149</v>
      </c>
      <c r="AC415" s="14" t="s">
        <v>150</v>
      </c>
      <c r="AD415" s="14" t="s">
        <v>145</v>
      </c>
      <c r="AE415" s="18">
        <v>7</v>
      </c>
      <c r="AF415" s="13">
        <v>11</v>
      </c>
      <c r="AG415" s="13">
        <v>26</v>
      </c>
      <c r="AH415" s="19">
        <f t="shared" si="26"/>
        <v>27.016209948843674</v>
      </c>
      <c r="AI415" s="19">
        <f t="shared" si="27"/>
        <v>13.651528993777521</v>
      </c>
      <c r="AJ415" s="2" t="s">
        <v>166</v>
      </c>
      <c r="AM415" s="19">
        <f>IF(Abschlüsse[[#This Row],[Ergeb]]="ET","",SQRT(($AF415-$AK415)^2+($AG415-$AL415)^2))</f>
        <v>28.231188426986208</v>
      </c>
      <c r="AN415" s="3">
        <v>2</v>
      </c>
      <c r="AO415" s="13">
        <v>10</v>
      </c>
      <c r="AP415" s="13">
        <v>29</v>
      </c>
      <c r="AQ415" s="19">
        <f t="shared" si="28"/>
        <v>3.1622776601683795</v>
      </c>
      <c r="AR415" s="3">
        <v>0</v>
      </c>
      <c r="AU415" s="19" t="str">
        <f t="shared" si="29"/>
        <v/>
      </c>
    </row>
    <row r="416" spans="1:47" ht="25.05" customHeight="1">
      <c r="A416" s="3">
        <v>16</v>
      </c>
      <c r="B416" s="2" t="s">
        <v>8</v>
      </c>
      <c r="C416" s="17" t="str">
        <f>IF($A416="","",IF(VLOOKUP($A416,Spiele!$A$2:$D$17,3,FALSE)=$B416,"H","G"))</f>
        <v>H</v>
      </c>
      <c r="D416" s="17" t="str">
        <f>IF($B416="","",IF(VLOOKUP($A416,Spiele!$A$2:$F$17,3,FALSE)=$B416,VLOOKUP($A416,Spiele!$A$2:$F$17,4,FALSE),VLOOKUP($A416,Spiele!$A$2:$F$17,3,FALSE)))</f>
        <v>SGF</v>
      </c>
      <c r="E416" s="18">
        <f>IF(Abschlüsse[[#This Row],[Ergeb]]="ET",0,COUNTIFS($A$2:$A416,$A416,$B$2:$B416,$B416,$L$2:$L416,"&lt;&gt;ET"))</f>
        <v>5</v>
      </c>
      <c r="F416" s="11">
        <v>19</v>
      </c>
      <c r="G416" s="12">
        <v>1</v>
      </c>
      <c r="H416" s="18">
        <f>COUNTIFS('Rote Karten'!$A$2:$A$4,$A416,'Rote Karten'!$D$2:$D$4,"&lt;&gt;"&amp;$B416,'Rote Karten'!$B$2:$B$4,"&lt;"&amp;$F416,'Rote Karten'!$C$2:$C$4,"&lt;="&amp;$G416)-COUNTIFS('Rote Karten'!$A$2:$A$4,$A416,'Rote Karten'!$D$2:$D$4,$B416,'Rote Karten'!$B$2:$B$4,"&lt;"&amp;$F416,'Rote Karten'!$C$2:$C$4,"&lt;="&amp;$G416)</f>
        <v>0</v>
      </c>
      <c r="I416" s="17" t="str">
        <f>IF(OR($L416="Tor",$L416="ET"),_xlfn.IFNA(IF(VLOOKUP($A416,Spiele!$A$2:$C$17,3,FALSE)=$B416,COUNTIFS($L$2:$L416,"Tor",$B$2:$B416,$B416,$A$2:$A416,$A416)+COUNTIFS($L$2:$L416,"ET",$B$2:$B416,$B416,$A$2:$A416,$A416)&amp;":"&amp;COUNTIFS($L$2:$L416,"Tor",$B$2:$B416,"&lt;&gt;"&amp;$B416,$A$2:$A416,$A416)+COUNTIFS($L$2:$L416,"ET",$B$2:$B416,"&lt;&gt;"&amp;$B416,$A$2:$A416,$A416),COUNTIFS($L$2:$L416,"Tor",$B$2:$B416,"&lt;&gt;"&amp;$B416,$A$2:$A416,$A416)+COUNTIFS($L$2:$L416,"ET",$B$2:$B416,"&lt;&gt;"&amp;$B416,$A$2:$A416,$A416)&amp;":"&amp;COUNTIFS($L$2:$L416,"Tor",$B$2:$B416,$B416,$A$2:$A416,$A416)+COUNTIFS($L$2:$L416,"ET",$B$2:$B416,$B416,$A$2:$A416,$A416)),""),"")</f>
        <v/>
      </c>
      <c r="J416" s="18">
        <f>_xlfn.IFNA(IF(VLOOKUP($A416,Spiele!$A$2:$D$17,3,FALSE)=$B416,(COUNTIFS($L$1:$L415,"Tor",$B$1:$B415,$B416,$A$1:$A415,$A416)+COUNTIFS($L$1:$L415,"ET",$B$1:$B415,$B416,$A$1:$A415,$A416))-(COUNTIFS($L$1:$L415,"Tor",$B$1:$B415,"&lt;&gt;"&amp;$B416,$A$1:$A415,$A416)+COUNTIFS($L$1:$L415,"ET",$B$1:$B415,"&lt;&gt;"&amp;$B416,$A$1:$A415,$A416)),(COUNTIFS($L$1:$L415,"Tor",$B$1:$B415,$B416,$A$1:$A415,$A416)+COUNTIFS($L$1:$L415,"ET",$B$1:$B415,$B416,$A$1:$A415,$A416))-(COUNTIFS($L$1:$L415,"Tor",$B$1:$B415,"&lt;&gt;"&amp;$B416,$A$1:$A415,$A416)+COUNTIFS($L$1:$L415,"ET",$B$1:$B415,"&lt;&gt;"&amp;$B416,$A$1:$A415,$A416))),"")</f>
        <v>1</v>
      </c>
      <c r="K416" s="3">
        <v>7</v>
      </c>
      <c r="L416" s="17" t="s">
        <v>18</v>
      </c>
      <c r="M416" s="2" t="s">
        <v>163</v>
      </c>
      <c r="N416" s="2" t="s">
        <v>155</v>
      </c>
      <c r="O416" s="17"/>
      <c r="AA416" s="2" t="s">
        <v>151</v>
      </c>
      <c r="AB416" s="17" t="s">
        <v>143</v>
      </c>
      <c r="AC416" s="14" t="s">
        <v>150</v>
      </c>
      <c r="AD416" s="14" t="s">
        <v>145</v>
      </c>
      <c r="AE416" s="18">
        <v>16</v>
      </c>
      <c r="AF416" s="13">
        <v>-7</v>
      </c>
      <c r="AG416" s="13">
        <v>20.5</v>
      </c>
      <c r="AH416" s="19">
        <f t="shared" si="26"/>
        <v>20.770305727167329</v>
      </c>
      <c r="AI416" s="19">
        <f t="shared" si="27"/>
        <v>18.220720642824585</v>
      </c>
      <c r="AJ416" s="2" t="s">
        <v>146</v>
      </c>
      <c r="AK416" s="13">
        <v>0</v>
      </c>
      <c r="AL416" s="13">
        <v>1.5</v>
      </c>
      <c r="AM416" s="19">
        <f>IF(Abschlüsse[[#This Row],[Ergeb]]="ET","",SQRT(($AF416-$AK416)^2+($AG416-$AL416)^2))</f>
        <v>20.248456731316587</v>
      </c>
      <c r="AN416" s="3">
        <v>0</v>
      </c>
      <c r="AO416" s="13"/>
      <c r="AP416" s="13"/>
      <c r="AQ416" s="19" t="str">
        <f t="shared" si="28"/>
        <v/>
      </c>
      <c r="AR416" s="3">
        <v>1</v>
      </c>
      <c r="AS416" s="13">
        <v>-6.5</v>
      </c>
      <c r="AT416" s="13">
        <v>18.5</v>
      </c>
      <c r="AU416" s="19">
        <f t="shared" si="29"/>
        <v>2.0615528128088303</v>
      </c>
    </row>
    <row r="417" spans="1:47" ht="25.05" customHeight="1">
      <c r="A417" s="3">
        <v>16</v>
      </c>
      <c r="B417" s="2" t="s">
        <v>8</v>
      </c>
      <c r="C417" s="17" t="str">
        <f>IF($A417="","",IF(VLOOKUP($A417,Spiele!$A$2:$D$17,3,FALSE)=$B417,"H","G"))</f>
        <v>H</v>
      </c>
      <c r="D417" s="17" t="str">
        <f>IF($B417="","",IF(VLOOKUP($A417,Spiele!$A$2:$F$17,3,FALSE)=$B417,VLOOKUP($A417,Spiele!$A$2:$F$17,4,FALSE),VLOOKUP($A417,Spiele!$A$2:$F$17,3,FALSE)))</f>
        <v>SGF</v>
      </c>
      <c r="E417" s="18">
        <f>IF(Abschlüsse[[#This Row],[Ergeb]]="ET",0,COUNTIFS($A$2:$A417,$A417,$B$2:$B417,$B417,$L$2:$L417,"&lt;&gt;ET"))</f>
        <v>6</v>
      </c>
      <c r="F417" s="11">
        <v>20</v>
      </c>
      <c r="G417" s="12">
        <v>1</v>
      </c>
      <c r="H417" s="18">
        <f>COUNTIFS('Rote Karten'!$A$2:$A$4,$A417,'Rote Karten'!$D$2:$D$4,"&lt;&gt;"&amp;$B417,'Rote Karten'!$B$2:$B$4,"&lt;"&amp;$F417,'Rote Karten'!$C$2:$C$4,"&lt;="&amp;$G417)-COUNTIFS('Rote Karten'!$A$2:$A$4,$A417,'Rote Karten'!$D$2:$D$4,$B417,'Rote Karten'!$B$2:$B$4,"&lt;"&amp;$F417,'Rote Karten'!$C$2:$C$4,"&lt;="&amp;$G417)</f>
        <v>0</v>
      </c>
      <c r="I417" s="17" t="str">
        <f>IF(OR($L417="Tor",$L417="ET"),_xlfn.IFNA(IF(VLOOKUP($A417,Spiele!$A$2:$C$17,3,FALSE)=$B417,COUNTIFS($L$2:$L417,"Tor",$B$2:$B417,$B417,$A$2:$A417,$A417)+COUNTIFS($L$2:$L417,"ET",$B$2:$B417,$B417,$A$2:$A417,$A417)&amp;":"&amp;COUNTIFS($L$2:$L417,"Tor",$B$2:$B417,"&lt;&gt;"&amp;$B417,$A$2:$A417,$A417)+COUNTIFS($L$2:$L417,"ET",$B$2:$B417,"&lt;&gt;"&amp;$B417,$A$2:$A417,$A417),COUNTIFS($L$2:$L417,"Tor",$B$2:$B417,"&lt;&gt;"&amp;$B417,$A$2:$A417,$A417)+COUNTIFS($L$2:$L417,"ET",$B$2:$B417,"&lt;&gt;"&amp;$B417,$A$2:$A417,$A417)&amp;":"&amp;COUNTIFS($L$2:$L417,"Tor",$B$2:$B417,$B417,$A$2:$A417,$A417)+COUNTIFS($L$2:$L417,"ET",$B$2:$B417,$B417,$A$2:$A417,$A417)),""),"")</f>
        <v/>
      </c>
      <c r="J417" s="18">
        <f>_xlfn.IFNA(IF(VLOOKUP($A417,Spiele!$A$2:$D$17,3,FALSE)=$B417,(COUNTIFS($L$1:$L416,"Tor",$B$1:$B416,$B417,$A$1:$A416,$A417)+COUNTIFS($L$1:$L416,"ET",$B$1:$B416,$B417,$A$1:$A416,$A417))-(COUNTIFS($L$1:$L416,"Tor",$B$1:$B416,"&lt;&gt;"&amp;$B417,$A$1:$A416,$A417)+COUNTIFS($L$1:$L416,"ET",$B$1:$B416,"&lt;&gt;"&amp;$B417,$A$1:$A416,$A417)),(COUNTIFS($L$1:$L416,"Tor",$B$1:$B416,$B417,$A$1:$A416,$A417)+COUNTIFS($L$1:$L416,"ET",$B$1:$B416,$B417,$A$1:$A416,$A417))-(COUNTIFS($L$1:$L416,"Tor",$B$1:$B416,"&lt;&gt;"&amp;$B417,$A$1:$A416,$A417)+COUNTIFS($L$1:$L416,"ET",$B$1:$B416,"&lt;&gt;"&amp;$B417,$A$1:$A416,$A417))),"")</f>
        <v>1</v>
      </c>
      <c r="K417" s="3">
        <v>8</v>
      </c>
      <c r="L417" s="17" t="s">
        <v>20</v>
      </c>
      <c r="M417" s="2" t="s">
        <v>147</v>
      </c>
      <c r="N417" s="2" t="s">
        <v>152</v>
      </c>
      <c r="O417" s="17">
        <v>8</v>
      </c>
      <c r="P417" s="2">
        <v>7</v>
      </c>
      <c r="Q417" s="2">
        <v>8</v>
      </c>
      <c r="R417" s="2">
        <v>20</v>
      </c>
      <c r="AA417" s="2" t="s">
        <v>151</v>
      </c>
      <c r="AB417" s="17" t="s">
        <v>143</v>
      </c>
      <c r="AC417" s="14" t="s">
        <v>150</v>
      </c>
      <c r="AD417" s="14" t="s">
        <v>145</v>
      </c>
      <c r="AE417" s="18">
        <v>27</v>
      </c>
      <c r="AF417" s="13">
        <v>-11.5</v>
      </c>
      <c r="AG417" s="13">
        <v>8.5</v>
      </c>
      <c r="AH417" s="19">
        <f t="shared" si="26"/>
        <v>11.563546168887813</v>
      </c>
      <c r="AI417" s="19">
        <f t="shared" si="27"/>
        <v>18.034275480476477</v>
      </c>
      <c r="AJ417" s="2" t="s">
        <v>146</v>
      </c>
      <c r="AK417" s="13">
        <v>-3</v>
      </c>
      <c r="AL417" s="13">
        <v>0.5</v>
      </c>
      <c r="AM417" s="19">
        <f>IF(Abschlüsse[[#This Row],[Ergeb]]="ET","",SQRT(($AF417-$AK417)^2+($AG417-$AL417)^2))</f>
        <v>11.672617529928752</v>
      </c>
      <c r="AN417" s="3">
        <v>1</v>
      </c>
      <c r="AO417" s="13">
        <v>-10</v>
      </c>
      <c r="AP417" s="13">
        <v>10</v>
      </c>
      <c r="AQ417" s="19">
        <f t="shared" si="28"/>
        <v>2.1213203435596424</v>
      </c>
      <c r="AR417" s="3">
        <v>1</v>
      </c>
      <c r="AS417" s="13">
        <v>-7.5</v>
      </c>
      <c r="AT417" s="13">
        <v>8</v>
      </c>
      <c r="AU417" s="19">
        <f t="shared" si="29"/>
        <v>4.0311288741492746</v>
      </c>
    </row>
    <row r="418" spans="1:47" ht="25.05" customHeight="1">
      <c r="A418" s="3">
        <v>16</v>
      </c>
      <c r="B418" s="2" t="s">
        <v>8</v>
      </c>
      <c r="C418" s="17" t="str">
        <f>IF($A418="","",IF(VLOOKUP($A418,Spiele!$A$2:$D$17,3,FALSE)=$B418,"H","G"))</f>
        <v>H</v>
      </c>
      <c r="D418" s="17" t="str">
        <f>IF($B418="","",IF(VLOOKUP($A418,Spiele!$A$2:$F$17,3,FALSE)=$B418,VLOOKUP($A418,Spiele!$A$2:$F$17,4,FALSE),VLOOKUP($A418,Spiele!$A$2:$F$17,3,FALSE)))</f>
        <v>SGF</v>
      </c>
      <c r="E418" s="18">
        <f>IF(Abschlüsse[[#This Row],[Ergeb]]="ET",0,COUNTIFS($A$2:$A418,$A418,$B$2:$B418,$B418,$L$2:$L418,"&lt;&gt;ET"))</f>
        <v>7</v>
      </c>
      <c r="F418" s="11">
        <v>23</v>
      </c>
      <c r="G418" s="12">
        <v>1</v>
      </c>
      <c r="H418" s="18">
        <f>COUNTIFS('Rote Karten'!$A$2:$A$4,$A418,'Rote Karten'!$D$2:$D$4,"&lt;&gt;"&amp;$B418,'Rote Karten'!$B$2:$B$4,"&lt;"&amp;$F418,'Rote Karten'!$C$2:$C$4,"&lt;="&amp;$G418)-COUNTIFS('Rote Karten'!$A$2:$A$4,$A418,'Rote Karten'!$D$2:$D$4,$B418,'Rote Karten'!$B$2:$B$4,"&lt;"&amp;$F418,'Rote Karten'!$C$2:$C$4,"&lt;="&amp;$G418)</f>
        <v>0</v>
      </c>
      <c r="I418" s="17" t="str">
        <f>IF(OR($L418="Tor",$L418="ET"),_xlfn.IFNA(IF(VLOOKUP($A418,Spiele!$A$2:$C$17,3,FALSE)=$B418,COUNTIFS($L$2:$L418,"Tor",$B$2:$B418,$B418,$A$2:$A418,$A418)+COUNTIFS($L$2:$L418,"ET",$B$2:$B418,$B418,$A$2:$A418,$A418)&amp;":"&amp;COUNTIFS($L$2:$L418,"Tor",$B$2:$B418,"&lt;&gt;"&amp;$B418,$A$2:$A418,$A418)+COUNTIFS($L$2:$L418,"ET",$B$2:$B418,"&lt;&gt;"&amp;$B418,$A$2:$A418,$A418),COUNTIFS($L$2:$L418,"Tor",$B$2:$B418,"&lt;&gt;"&amp;$B418,$A$2:$A418,$A418)+COUNTIFS($L$2:$L418,"ET",$B$2:$B418,"&lt;&gt;"&amp;$B418,$A$2:$A418,$A418)&amp;":"&amp;COUNTIFS($L$2:$L418,"Tor",$B$2:$B418,$B418,$A$2:$A418,$A418)+COUNTIFS($L$2:$L418,"ET",$B$2:$B418,$B418,$A$2:$A418,$A418)),""),"")</f>
        <v/>
      </c>
      <c r="J418" s="18">
        <f>_xlfn.IFNA(IF(VLOOKUP($A418,Spiele!$A$2:$D$17,3,FALSE)=$B418,(COUNTIFS($L$1:$L417,"Tor",$B$1:$B417,$B418,$A$1:$A417,$A418)+COUNTIFS($L$1:$L417,"ET",$B$1:$B417,$B418,$A$1:$A417,$A418))-(COUNTIFS($L$1:$L417,"Tor",$B$1:$B417,"&lt;&gt;"&amp;$B418,$A$1:$A417,$A418)+COUNTIFS($L$1:$L417,"ET",$B$1:$B417,"&lt;&gt;"&amp;$B418,$A$1:$A417,$A418)),(COUNTIFS($L$1:$L417,"Tor",$B$1:$B417,$B418,$A$1:$A417,$A418)+COUNTIFS($L$1:$L417,"ET",$B$1:$B417,$B418,$A$1:$A417,$A418))-(COUNTIFS($L$1:$L417,"Tor",$B$1:$B417,"&lt;&gt;"&amp;$B418,$A$1:$A417,$A418)+COUNTIFS($L$1:$L417,"ET",$B$1:$B417,"&lt;&gt;"&amp;$B418,$A$1:$A417,$A418))),"")</f>
        <v>1</v>
      </c>
      <c r="K418" s="3">
        <v>9</v>
      </c>
      <c r="L418" s="17" t="s">
        <v>18</v>
      </c>
      <c r="M418" s="2" t="s">
        <v>157</v>
      </c>
      <c r="N418" s="2" t="s">
        <v>148</v>
      </c>
      <c r="O418" s="17">
        <v>8</v>
      </c>
      <c r="P418" s="2">
        <v>7</v>
      </c>
      <c r="Q418" s="2">
        <v>13</v>
      </c>
      <c r="AA418" s="2" t="s">
        <v>151</v>
      </c>
      <c r="AB418" s="17" t="s">
        <v>143</v>
      </c>
      <c r="AC418" s="14" t="s">
        <v>150</v>
      </c>
      <c r="AD418" s="14" t="s">
        <v>145</v>
      </c>
      <c r="AE418" s="18">
        <v>23</v>
      </c>
      <c r="AF418" s="13">
        <v>12</v>
      </c>
      <c r="AG418" s="13">
        <v>13.5</v>
      </c>
      <c r="AH418" s="19">
        <f t="shared" si="26"/>
        <v>15.868383660600093</v>
      </c>
      <c r="AI418" s="19">
        <f t="shared" si="27"/>
        <v>17.529544013142665</v>
      </c>
      <c r="AJ418" s="2" t="s">
        <v>146</v>
      </c>
      <c r="AK418" s="13">
        <v>7</v>
      </c>
      <c r="AL418" s="13">
        <v>6</v>
      </c>
      <c r="AM418" s="19">
        <f>IF(Abschlüsse[[#This Row],[Ergeb]]="ET","",SQRT(($AF418-$AK418)^2+($AG418-$AL418)^2))</f>
        <v>9.013878188659973</v>
      </c>
      <c r="AN418" s="3">
        <v>1</v>
      </c>
      <c r="AO418" s="13">
        <v>10.5</v>
      </c>
      <c r="AP418" s="13">
        <v>14.5</v>
      </c>
      <c r="AQ418" s="19">
        <f t="shared" si="28"/>
        <v>1.8027756377319946</v>
      </c>
      <c r="AR418" s="3">
        <v>0</v>
      </c>
      <c r="AU418" s="19" t="str">
        <f t="shared" si="29"/>
        <v/>
      </c>
    </row>
    <row r="419" spans="1:47" ht="25.05" customHeight="1">
      <c r="A419" s="3">
        <v>16</v>
      </c>
      <c r="B419" s="2" t="s">
        <v>8</v>
      </c>
      <c r="C419" s="17" t="str">
        <f>IF($A419="","",IF(VLOOKUP($A419,Spiele!$A$2:$D$17,3,FALSE)=$B419,"H","G"))</f>
        <v>H</v>
      </c>
      <c r="D419" s="17" t="str">
        <f>IF($B419="","",IF(VLOOKUP($A419,Spiele!$A$2:$F$17,3,FALSE)=$B419,VLOOKUP($A419,Spiele!$A$2:$F$17,4,FALSE),VLOOKUP($A419,Spiele!$A$2:$F$17,3,FALSE)))</f>
        <v>SGF</v>
      </c>
      <c r="E419" s="18">
        <f>IF(Abschlüsse[[#This Row],[Ergeb]]="ET",0,COUNTIFS($A$2:$A419,$A419,$B$2:$B419,$B419,$L$2:$L419,"&lt;&gt;ET"))</f>
        <v>8</v>
      </c>
      <c r="F419" s="11">
        <v>24</v>
      </c>
      <c r="G419" s="12">
        <v>1</v>
      </c>
      <c r="H419" s="18">
        <f>COUNTIFS('Rote Karten'!$A$2:$A$4,$A419,'Rote Karten'!$D$2:$D$4,"&lt;&gt;"&amp;$B419,'Rote Karten'!$B$2:$B$4,"&lt;"&amp;$F419,'Rote Karten'!$C$2:$C$4,"&lt;="&amp;$G419)-COUNTIFS('Rote Karten'!$A$2:$A$4,$A419,'Rote Karten'!$D$2:$D$4,$B419,'Rote Karten'!$B$2:$B$4,"&lt;"&amp;$F419,'Rote Karten'!$C$2:$C$4,"&lt;="&amp;$G419)</f>
        <v>0</v>
      </c>
      <c r="I419" s="17" t="str">
        <f>IF(OR($L419="Tor",$L419="ET"),_xlfn.IFNA(IF(VLOOKUP($A419,Spiele!$A$2:$C$17,3,FALSE)=$B419,COUNTIFS($L$2:$L419,"Tor",$B$2:$B419,$B419,$A$2:$A419,$A419)+COUNTIFS($L$2:$L419,"ET",$B$2:$B419,$B419,$A$2:$A419,$A419)&amp;":"&amp;COUNTIFS($L$2:$L419,"Tor",$B$2:$B419,"&lt;&gt;"&amp;$B419,$A$2:$A419,$A419)+COUNTIFS($L$2:$L419,"ET",$B$2:$B419,"&lt;&gt;"&amp;$B419,$A$2:$A419,$A419),COUNTIFS($L$2:$L419,"Tor",$B$2:$B419,"&lt;&gt;"&amp;$B419,$A$2:$A419,$A419)+COUNTIFS($L$2:$L419,"ET",$B$2:$B419,"&lt;&gt;"&amp;$B419,$A$2:$A419,$A419)&amp;":"&amp;COUNTIFS($L$2:$L419,"Tor",$B$2:$B419,$B419,$A$2:$A419,$A419)+COUNTIFS($L$2:$L419,"ET",$B$2:$B419,$B419,$A$2:$A419,$A419)),""),"")</f>
        <v/>
      </c>
      <c r="J419" s="18">
        <f>_xlfn.IFNA(IF(VLOOKUP($A419,Spiele!$A$2:$D$17,3,FALSE)=$B419,(COUNTIFS($L$1:$L418,"Tor",$B$1:$B418,$B419,$A$1:$A418,$A419)+COUNTIFS($L$1:$L418,"ET",$B$1:$B418,$B419,$A$1:$A418,$A419))-(COUNTIFS($L$1:$L418,"Tor",$B$1:$B418,"&lt;&gt;"&amp;$B419,$A$1:$A418,$A419)+COUNTIFS($L$1:$L418,"ET",$B$1:$B418,"&lt;&gt;"&amp;$B419,$A$1:$A418,$A419)),(COUNTIFS($L$1:$L418,"Tor",$B$1:$B418,$B419,$A$1:$A418,$A419)+COUNTIFS($L$1:$L418,"ET",$B$1:$B418,$B419,$A$1:$A418,$A419))-(COUNTIFS($L$1:$L418,"Tor",$B$1:$B418,"&lt;&gt;"&amp;$B419,$A$1:$A418,$A419)+COUNTIFS($L$1:$L418,"ET",$B$1:$B418,"&lt;&gt;"&amp;$B419,$A$1:$A418,$A419))),"")</f>
        <v>1</v>
      </c>
      <c r="K419" s="3">
        <v>10</v>
      </c>
      <c r="L419" s="17" t="s">
        <v>19</v>
      </c>
      <c r="M419" s="2" t="s">
        <v>157</v>
      </c>
      <c r="N419" s="2" t="s">
        <v>3</v>
      </c>
      <c r="O419" s="17"/>
      <c r="AA419" s="2" t="s">
        <v>151</v>
      </c>
      <c r="AB419" s="17" t="s">
        <v>143</v>
      </c>
      <c r="AC419" s="14" t="s">
        <v>150</v>
      </c>
      <c r="AD419" s="14" t="s">
        <v>145</v>
      </c>
      <c r="AE419" s="18">
        <v>26</v>
      </c>
      <c r="AF419" s="13">
        <v>-4</v>
      </c>
      <c r="AG419" s="13">
        <v>20</v>
      </c>
      <c r="AH419" s="19">
        <f t="shared" si="26"/>
        <v>20.002889791227666</v>
      </c>
      <c r="AI419" s="19">
        <f t="shared" si="27"/>
        <v>19.982905413849682</v>
      </c>
      <c r="AJ419" s="2" t="s">
        <v>146</v>
      </c>
      <c r="AK419" s="13">
        <v>-0.5</v>
      </c>
      <c r="AL419" s="13">
        <v>0.5</v>
      </c>
      <c r="AM419" s="19">
        <f>IF(Abschlüsse[[#This Row],[Ergeb]]="ET","",SQRT(($AF419-$AK419)^2+($AG419-$AL419)^2))</f>
        <v>19.811612756158951</v>
      </c>
      <c r="AN419" s="3">
        <v>1</v>
      </c>
      <c r="AO419" s="13">
        <v>-5</v>
      </c>
      <c r="AP419" s="13">
        <v>18</v>
      </c>
      <c r="AQ419" s="19">
        <f t="shared" si="28"/>
        <v>2.2360679774997898</v>
      </c>
      <c r="AR419" s="3">
        <v>3</v>
      </c>
      <c r="AS419" s="13">
        <v>-3</v>
      </c>
      <c r="AT419" s="13">
        <v>16.5</v>
      </c>
      <c r="AU419" s="19">
        <f t="shared" si="29"/>
        <v>3.640054944640259</v>
      </c>
    </row>
    <row r="420" spans="1:47" ht="25.05" customHeight="1">
      <c r="A420" s="3">
        <v>16</v>
      </c>
      <c r="B420" s="2" t="s">
        <v>8</v>
      </c>
      <c r="C420" s="17" t="str">
        <f>IF($A420="","",IF(VLOOKUP($A420,Spiele!$A$2:$D$17,3,FALSE)=$B420,"H","G"))</f>
        <v>H</v>
      </c>
      <c r="D420" s="17" t="str">
        <f>IF($B420="","",IF(VLOOKUP($A420,Spiele!$A$2:$F$17,3,FALSE)=$B420,VLOOKUP($A420,Spiele!$A$2:$F$17,4,FALSE),VLOOKUP($A420,Spiele!$A$2:$F$17,3,FALSE)))</f>
        <v>SGF</v>
      </c>
      <c r="E420" s="18">
        <f>IF(Abschlüsse[[#This Row],[Ergeb]]="ET",0,COUNTIFS($A$2:$A420,$A420,$B$2:$B420,$B420,$L$2:$L420,"&lt;&gt;ET"))</f>
        <v>9</v>
      </c>
      <c r="F420" s="11">
        <v>31</v>
      </c>
      <c r="G420" s="12">
        <v>1</v>
      </c>
      <c r="H420" s="18">
        <f>COUNTIFS('Rote Karten'!$A$2:$A$4,$A420,'Rote Karten'!$D$2:$D$4,"&lt;&gt;"&amp;$B420,'Rote Karten'!$B$2:$B$4,"&lt;"&amp;$F420,'Rote Karten'!$C$2:$C$4,"&lt;="&amp;$G420)-COUNTIFS('Rote Karten'!$A$2:$A$4,$A420,'Rote Karten'!$D$2:$D$4,$B420,'Rote Karten'!$B$2:$B$4,"&lt;"&amp;$F420,'Rote Karten'!$C$2:$C$4,"&lt;="&amp;$G420)</f>
        <v>0</v>
      </c>
      <c r="I420" s="17" t="str">
        <f>IF(OR($L420="Tor",$L420="ET"),_xlfn.IFNA(IF(VLOOKUP($A420,Spiele!$A$2:$C$17,3,FALSE)=$B420,COUNTIFS($L$2:$L420,"Tor",$B$2:$B420,$B420,$A$2:$A420,$A420)+COUNTIFS($L$2:$L420,"ET",$B$2:$B420,$B420,$A$2:$A420,$A420)&amp;":"&amp;COUNTIFS($L$2:$L420,"Tor",$B$2:$B420,"&lt;&gt;"&amp;$B420,$A$2:$A420,$A420)+COUNTIFS($L$2:$L420,"ET",$B$2:$B420,"&lt;&gt;"&amp;$B420,$A$2:$A420,$A420),COUNTIFS($L$2:$L420,"Tor",$B$2:$B420,"&lt;&gt;"&amp;$B420,$A$2:$A420,$A420)+COUNTIFS($L$2:$L420,"ET",$B$2:$B420,"&lt;&gt;"&amp;$B420,$A$2:$A420,$A420)&amp;":"&amp;COUNTIFS($L$2:$L420,"Tor",$B$2:$B420,$B420,$A$2:$A420,$A420)+COUNTIFS($L$2:$L420,"ET",$B$2:$B420,$B420,$A$2:$A420,$A420)),""),"")</f>
        <v/>
      </c>
      <c r="J420" s="18">
        <f>_xlfn.IFNA(IF(VLOOKUP($A420,Spiele!$A$2:$D$17,3,FALSE)=$B420,(COUNTIFS($L$1:$L419,"Tor",$B$1:$B419,$B420,$A$1:$A419,$A420)+COUNTIFS($L$1:$L419,"ET",$B$1:$B419,$B420,$A$1:$A419,$A420))-(COUNTIFS($L$1:$L419,"Tor",$B$1:$B419,"&lt;&gt;"&amp;$B420,$A$1:$A419,$A420)+COUNTIFS($L$1:$L419,"ET",$B$1:$B419,"&lt;&gt;"&amp;$B420,$A$1:$A419,$A420)),(COUNTIFS($L$1:$L419,"Tor",$B$1:$B419,$B420,$A$1:$A419,$A420)+COUNTIFS($L$1:$L419,"ET",$B$1:$B419,$B420,$A$1:$A419,$A420))-(COUNTIFS($L$1:$L419,"Tor",$B$1:$B419,"&lt;&gt;"&amp;$B420,$A$1:$A419,$A420)+COUNTIFS($L$1:$L419,"ET",$B$1:$B419,"&lt;&gt;"&amp;$B420,$A$1:$A419,$A420))),"")</f>
        <v>1</v>
      </c>
      <c r="K420" s="3">
        <v>11</v>
      </c>
      <c r="L420" s="17" t="s">
        <v>20</v>
      </c>
      <c r="M420" s="2" t="s">
        <v>163</v>
      </c>
      <c r="N420" s="2" t="s">
        <v>148</v>
      </c>
      <c r="O420" s="17">
        <v>27</v>
      </c>
      <c r="AA420" s="2" t="s">
        <v>151</v>
      </c>
      <c r="AB420" s="17" t="s">
        <v>149</v>
      </c>
      <c r="AC420" s="14" t="s">
        <v>150</v>
      </c>
      <c r="AD420" s="14" t="s">
        <v>145</v>
      </c>
      <c r="AE420" s="18">
        <v>7</v>
      </c>
      <c r="AF420" s="13">
        <v>1.5</v>
      </c>
      <c r="AG420" s="13">
        <v>6.5</v>
      </c>
      <c r="AH420" s="19">
        <f t="shared" si="26"/>
        <v>6.5</v>
      </c>
      <c r="AI420" s="19">
        <f t="shared" si="27"/>
        <v>56.826212548666831</v>
      </c>
      <c r="AJ420" s="2" t="s">
        <v>146</v>
      </c>
      <c r="AK420" s="13">
        <v>1</v>
      </c>
      <c r="AL420" s="13">
        <v>3</v>
      </c>
      <c r="AM420" s="19">
        <f>IF(Abschlüsse[[#This Row],[Ergeb]]="ET","",SQRT(($AF420-$AK420)^2+($AG420-$AL420)^2))</f>
        <v>3.5355339059327378</v>
      </c>
      <c r="AN420" s="3">
        <v>1</v>
      </c>
      <c r="AO420" s="13">
        <v>0.5</v>
      </c>
      <c r="AP420" s="13">
        <v>6.5</v>
      </c>
      <c r="AQ420" s="19">
        <f t="shared" si="28"/>
        <v>1</v>
      </c>
      <c r="AR420" s="3">
        <v>1</v>
      </c>
      <c r="AS420" s="13">
        <v>1.5</v>
      </c>
      <c r="AT420" s="13">
        <v>6</v>
      </c>
      <c r="AU420" s="19">
        <f t="shared" si="29"/>
        <v>0.5</v>
      </c>
    </row>
    <row r="421" spans="1:47" ht="25.05" customHeight="1">
      <c r="A421" s="3">
        <v>16</v>
      </c>
      <c r="B421" s="2" t="s">
        <v>8</v>
      </c>
      <c r="C421" s="17" t="str">
        <f>IF($A421="","",IF(VLOOKUP($A421,Spiele!$A$2:$D$17,3,FALSE)=$B421,"H","G"))</f>
        <v>H</v>
      </c>
      <c r="D421" s="17" t="str">
        <f>IF($B421="","",IF(VLOOKUP($A421,Spiele!$A$2:$F$17,3,FALSE)=$B421,VLOOKUP($A421,Spiele!$A$2:$F$17,4,FALSE),VLOOKUP($A421,Spiele!$A$2:$F$17,3,FALSE)))</f>
        <v>SGF</v>
      </c>
      <c r="E421" s="18">
        <f>IF(Abschlüsse[[#This Row],[Ergeb]]="ET",0,COUNTIFS($A$2:$A421,$A421,$B$2:$B421,$B421,$L$2:$L421,"&lt;&gt;ET"))</f>
        <v>10</v>
      </c>
      <c r="F421" s="11">
        <v>31</v>
      </c>
      <c r="G421" s="12">
        <v>1</v>
      </c>
      <c r="H421" s="18">
        <f>COUNTIFS('Rote Karten'!$A$2:$A$4,$A421,'Rote Karten'!$D$2:$D$4,"&lt;&gt;"&amp;$B421,'Rote Karten'!$B$2:$B$4,"&lt;"&amp;$F421,'Rote Karten'!$C$2:$C$4,"&lt;="&amp;$G421)-COUNTIFS('Rote Karten'!$A$2:$A$4,$A421,'Rote Karten'!$D$2:$D$4,$B421,'Rote Karten'!$B$2:$B$4,"&lt;"&amp;$F421,'Rote Karten'!$C$2:$C$4,"&lt;="&amp;$G421)</f>
        <v>0</v>
      </c>
      <c r="I421" s="17" t="str">
        <f>IF(OR($L421="Tor",$L421="ET"),_xlfn.IFNA(IF(VLOOKUP($A421,Spiele!$A$2:$C$17,3,FALSE)=$B421,COUNTIFS($L$2:$L421,"Tor",$B$2:$B421,$B421,$A$2:$A421,$A421)+COUNTIFS($L$2:$L421,"ET",$B$2:$B421,$B421,$A$2:$A421,$A421)&amp;":"&amp;COUNTIFS($L$2:$L421,"Tor",$B$2:$B421,"&lt;&gt;"&amp;$B421,$A$2:$A421,$A421)+COUNTIFS($L$2:$L421,"ET",$B$2:$B421,"&lt;&gt;"&amp;$B421,$A$2:$A421,$A421),COUNTIFS($L$2:$L421,"Tor",$B$2:$B421,"&lt;&gt;"&amp;$B421,$A$2:$A421,$A421)+COUNTIFS($L$2:$L421,"ET",$B$2:$B421,"&lt;&gt;"&amp;$B421,$A$2:$A421,$A421)&amp;":"&amp;COUNTIFS($L$2:$L421,"Tor",$B$2:$B421,$B421,$A$2:$A421,$A421)+COUNTIFS($L$2:$L421,"ET",$B$2:$B421,$B421,$A$2:$A421,$A421)),""),"")</f>
        <v>3:1</v>
      </c>
      <c r="J421" s="18">
        <f>_xlfn.IFNA(IF(VLOOKUP($A421,Spiele!$A$2:$D$17,3,FALSE)=$B421,(COUNTIFS($L$1:$L420,"Tor",$B$1:$B420,$B421,$A$1:$A420,$A421)+COUNTIFS($L$1:$L420,"ET",$B$1:$B420,$B421,$A$1:$A420,$A421))-(COUNTIFS($L$1:$L420,"Tor",$B$1:$B420,"&lt;&gt;"&amp;$B421,$A$1:$A420,$A421)+COUNTIFS($L$1:$L420,"ET",$B$1:$B420,"&lt;&gt;"&amp;$B421,$A$1:$A420,$A421)),(COUNTIFS($L$1:$L420,"Tor",$B$1:$B420,$B421,$A$1:$A420,$A421)+COUNTIFS($L$1:$L420,"ET",$B$1:$B420,$B421,$A$1:$A420,$A421))-(COUNTIFS($L$1:$L420,"Tor",$B$1:$B420,"&lt;&gt;"&amp;$B421,$A$1:$A420,$A421)+COUNTIFS($L$1:$L420,"ET",$B$1:$B420,"&lt;&gt;"&amp;$B421,$A$1:$A420,$A421))),"")</f>
        <v>1</v>
      </c>
      <c r="K421" s="3">
        <v>12</v>
      </c>
      <c r="L421" s="17" t="s">
        <v>0</v>
      </c>
      <c r="M421" s="2" t="s">
        <v>163</v>
      </c>
      <c r="N421" s="2" t="s">
        <v>152</v>
      </c>
      <c r="O421" s="17">
        <v>8</v>
      </c>
      <c r="P421" s="2">
        <v>6</v>
      </c>
      <c r="AA421" s="2" t="s">
        <v>142</v>
      </c>
      <c r="AB421" s="17" t="s">
        <v>143</v>
      </c>
      <c r="AC421" s="14" t="s">
        <v>150</v>
      </c>
      <c r="AD421" s="14" t="s">
        <v>145</v>
      </c>
      <c r="AE421" s="18">
        <v>7</v>
      </c>
      <c r="AF421" s="13">
        <v>0</v>
      </c>
      <c r="AG421" s="13">
        <v>8</v>
      </c>
      <c r="AH421" s="19">
        <f t="shared" si="26"/>
        <v>8</v>
      </c>
      <c r="AI421" s="19">
        <f t="shared" si="27"/>
        <v>49.168189390875881</v>
      </c>
      <c r="AJ421" s="2" t="s">
        <v>146</v>
      </c>
      <c r="AK421" s="13">
        <v>0</v>
      </c>
      <c r="AL421" s="13">
        <v>5.5</v>
      </c>
      <c r="AM421" s="19">
        <f>IF(Abschlüsse[[#This Row],[Ergeb]]="ET","",SQRT(($AF421-$AK421)^2+($AG421-$AL421)^2))</f>
        <v>2.5</v>
      </c>
      <c r="AN421" s="3">
        <v>0</v>
      </c>
      <c r="AO421" s="13"/>
      <c r="AP421" s="13"/>
      <c r="AQ421" s="19" t="str">
        <f t="shared" si="28"/>
        <v/>
      </c>
      <c r="AR421" s="3">
        <v>0</v>
      </c>
      <c r="AU421" s="19" t="str">
        <f t="shared" si="29"/>
        <v/>
      </c>
    </row>
    <row r="422" spans="1:47" ht="25.05" customHeight="1">
      <c r="A422" s="3">
        <v>16</v>
      </c>
      <c r="B422" s="2" t="s">
        <v>8</v>
      </c>
      <c r="C422" s="17" t="str">
        <f>IF($A422="","",IF(VLOOKUP($A422,Spiele!$A$2:$D$17,3,FALSE)=$B422,"H","G"))</f>
        <v>H</v>
      </c>
      <c r="D422" s="17" t="str">
        <f>IF($B422="","",IF(VLOOKUP($A422,Spiele!$A$2:$F$17,3,FALSE)=$B422,VLOOKUP($A422,Spiele!$A$2:$F$17,4,FALSE),VLOOKUP($A422,Spiele!$A$2:$F$17,3,FALSE)))</f>
        <v>SGF</v>
      </c>
      <c r="E422" s="18">
        <f>IF(Abschlüsse[[#This Row],[Ergeb]]="ET",0,COUNTIFS($A$2:$A422,$A422,$B$2:$B422,$B422,$L$2:$L422,"&lt;&gt;ET"))</f>
        <v>11</v>
      </c>
      <c r="F422" s="11">
        <v>37</v>
      </c>
      <c r="G422" s="12">
        <v>1</v>
      </c>
      <c r="H422" s="18">
        <f>COUNTIFS('Rote Karten'!$A$2:$A$4,$A422,'Rote Karten'!$D$2:$D$4,"&lt;&gt;"&amp;$B422,'Rote Karten'!$B$2:$B$4,"&lt;"&amp;$F422,'Rote Karten'!$C$2:$C$4,"&lt;="&amp;$G422)-COUNTIFS('Rote Karten'!$A$2:$A$4,$A422,'Rote Karten'!$D$2:$D$4,$B422,'Rote Karten'!$B$2:$B$4,"&lt;"&amp;$F422,'Rote Karten'!$C$2:$C$4,"&lt;="&amp;$G422)</f>
        <v>0</v>
      </c>
      <c r="I422" s="17" t="str">
        <f>IF(OR($L422="Tor",$L422="ET"),_xlfn.IFNA(IF(VLOOKUP($A422,Spiele!$A$2:$C$17,3,FALSE)=$B422,COUNTIFS($L$2:$L422,"Tor",$B$2:$B422,$B422,$A$2:$A422,$A422)+COUNTIFS($L$2:$L422,"ET",$B$2:$B422,$B422,$A$2:$A422,$A422)&amp;":"&amp;COUNTIFS($L$2:$L422,"Tor",$B$2:$B422,"&lt;&gt;"&amp;$B422,$A$2:$A422,$A422)+COUNTIFS($L$2:$L422,"ET",$B$2:$B422,"&lt;&gt;"&amp;$B422,$A$2:$A422,$A422),COUNTIFS($L$2:$L422,"Tor",$B$2:$B422,"&lt;&gt;"&amp;$B422,$A$2:$A422,$A422)+COUNTIFS($L$2:$L422,"ET",$B$2:$B422,"&lt;&gt;"&amp;$B422,$A$2:$A422,$A422)&amp;":"&amp;COUNTIFS($L$2:$L422,"Tor",$B$2:$B422,$B422,$A$2:$A422,$A422)+COUNTIFS($L$2:$L422,"ET",$B$2:$B422,$B422,$A$2:$A422,$A422)),""),"")</f>
        <v/>
      </c>
      <c r="J422" s="18">
        <f>_xlfn.IFNA(IF(VLOOKUP($A422,Spiele!$A$2:$D$17,3,FALSE)=$B422,(COUNTIFS($L$1:$L421,"Tor",$B$1:$B421,$B422,$A$1:$A421,$A422)+COUNTIFS($L$1:$L421,"ET",$B$1:$B421,$B422,$A$1:$A421,$A422))-(COUNTIFS($L$1:$L421,"Tor",$B$1:$B421,"&lt;&gt;"&amp;$B422,$A$1:$A421,$A422)+COUNTIFS($L$1:$L421,"ET",$B$1:$B421,"&lt;&gt;"&amp;$B422,$A$1:$A421,$A422)),(COUNTIFS($L$1:$L421,"Tor",$B$1:$B421,$B422,$A$1:$A421,$A422)+COUNTIFS($L$1:$L421,"ET",$B$1:$B421,$B422,$A$1:$A421,$A422))-(COUNTIFS($L$1:$L421,"Tor",$B$1:$B421,"&lt;&gt;"&amp;$B422,$A$1:$A421,$A422)+COUNTIFS($L$1:$L421,"ET",$B$1:$B421,"&lt;&gt;"&amp;$B422,$A$1:$A421,$A422))),"")</f>
        <v>2</v>
      </c>
      <c r="K422" s="3">
        <v>13</v>
      </c>
      <c r="L422" s="17" t="s">
        <v>19</v>
      </c>
      <c r="M422" s="2" t="s">
        <v>163</v>
      </c>
      <c r="N422" s="2" t="s">
        <v>158</v>
      </c>
      <c r="O422" s="17">
        <v>7</v>
      </c>
      <c r="P422" s="2">
        <v>6</v>
      </c>
      <c r="AA422" s="2" t="s">
        <v>151</v>
      </c>
      <c r="AB422" s="17" t="s">
        <v>143</v>
      </c>
      <c r="AC422" s="14" t="s">
        <v>150</v>
      </c>
      <c r="AD422" s="14" t="s">
        <v>156</v>
      </c>
      <c r="AE422" s="18">
        <v>27</v>
      </c>
      <c r="AF422" s="13">
        <v>-2</v>
      </c>
      <c r="AG422" s="13">
        <v>20</v>
      </c>
      <c r="AH422" s="19">
        <f t="shared" si="26"/>
        <v>20</v>
      </c>
      <c r="AI422" s="19">
        <f t="shared" si="27"/>
        <v>20.546187356324779</v>
      </c>
      <c r="AJ422" s="2" t="s">
        <v>146</v>
      </c>
      <c r="AK422" s="13">
        <v>0.5</v>
      </c>
      <c r="AL422" s="13">
        <v>1.5</v>
      </c>
      <c r="AM422" s="19">
        <f>IF(Abschlüsse[[#This Row],[Ergeb]]="ET","",SQRT(($AF422-$AK422)^2+($AG422-$AL422)^2))</f>
        <v>18.668154702594471</v>
      </c>
      <c r="AN422" s="3">
        <v>1</v>
      </c>
      <c r="AO422" s="13">
        <v>0</v>
      </c>
      <c r="AP422" s="13">
        <v>19.5</v>
      </c>
      <c r="AQ422" s="19">
        <f t="shared" si="28"/>
        <v>2.0615528128088303</v>
      </c>
      <c r="AR422" s="3">
        <v>1</v>
      </c>
      <c r="AS422" s="13">
        <v>-1.5</v>
      </c>
      <c r="AT422" s="13">
        <v>17.5</v>
      </c>
      <c r="AU422" s="19">
        <f t="shared" si="29"/>
        <v>2.5495097567963922</v>
      </c>
    </row>
    <row r="423" spans="1:47" ht="25.05" customHeight="1">
      <c r="A423" s="3">
        <v>16</v>
      </c>
      <c r="B423" s="2" t="s">
        <v>8</v>
      </c>
      <c r="C423" s="17" t="str">
        <f>IF($A423="","",IF(VLOOKUP($A423,Spiele!$A$2:$D$17,3,FALSE)=$B423,"H","G"))</f>
        <v>H</v>
      </c>
      <c r="D423" s="17" t="str">
        <f>IF($B423="","",IF(VLOOKUP($A423,Spiele!$A$2:$F$17,3,FALSE)=$B423,VLOOKUP($A423,Spiele!$A$2:$F$17,4,FALSE),VLOOKUP($A423,Spiele!$A$2:$F$17,3,FALSE)))</f>
        <v>SGF</v>
      </c>
      <c r="E423" s="18">
        <f>IF(Abschlüsse[[#This Row],[Ergeb]]="ET",0,COUNTIFS($A$2:$A423,$A423,$B$2:$B423,$B423,$L$2:$L423,"&lt;&gt;ET"))</f>
        <v>12</v>
      </c>
      <c r="F423" s="11">
        <v>39</v>
      </c>
      <c r="G423" s="12">
        <v>1</v>
      </c>
      <c r="H423" s="18">
        <f>COUNTIFS('Rote Karten'!$A$2:$A$4,$A423,'Rote Karten'!$D$2:$D$4,"&lt;&gt;"&amp;$B423,'Rote Karten'!$B$2:$B$4,"&lt;"&amp;$F423,'Rote Karten'!$C$2:$C$4,"&lt;="&amp;$G423)-COUNTIFS('Rote Karten'!$A$2:$A$4,$A423,'Rote Karten'!$D$2:$D$4,$B423,'Rote Karten'!$B$2:$B$4,"&lt;"&amp;$F423,'Rote Karten'!$C$2:$C$4,"&lt;="&amp;$G423)</f>
        <v>0</v>
      </c>
      <c r="I423" s="17" t="str">
        <f>IF(OR($L423="Tor",$L423="ET"),_xlfn.IFNA(IF(VLOOKUP($A423,Spiele!$A$2:$C$17,3,FALSE)=$B423,COUNTIFS($L$2:$L423,"Tor",$B$2:$B423,$B423,$A$2:$A423,$A423)+COUNTIFS($L$2:$L423,"ET",$B$2:$B423,$B423,$A$2:$A423,$A423)&amp;":"&amp;COUNTIFS($L$2:$L423,"Tor",$B$2:$B423,"&lt;&gt;"&amp;$B423,$A$2:$A423,$A423)+COUNTIFS($L$2:$L423,"ET",$B$2:$B423,"&lt;&gt;"&amp;$B423,$A$2:$A423,$A423),COUNTIFS($L$2:$L423,"Tor",$B$2:$B423,"&lt;&gt;"&amp;$B423,$A$2:$A423,$A423)+COUNTIFS($L$2:$L423,"ET",$B$2:$B423,"&lt;&gt;"&amp;$B423,$A$2:$A423,$A423)&amp;":"&amp;COUNTIFS($L$2:$L423,"Tor",$B$2:$B423,$B423,$A$2:$A423,$A423)+COUNTIFS($L$2:$L423,"ET",$B$2:$B423,$B423,$A$2:$A423,$A423)),""),"")</f>
        <v>4:1</v>
      </c>
      <c r="J423" s="18">
        <f>_xlfn.IFNA(IF(VLOOKUP($A423,Spiele!$A$2:$D$17,3,FALSE)=$B423,(COUNTIFS($L$1:$L422,"Tor",$B$1:$B422,$B423,$A$1:$A422,$A423)+COUNTIFS($L$1:$L422,"ET",$B$1:$B422,$B423,$A$1:$A422,$A423))-(COUNTIFS($L$1:$L422,"Tor",$B$1:$B422,"&lt;&gt;"&amp;$B423,$A$1:$A422,$A423)+COUNTIFS($L$1:$L422,"ET",$B$1:$B422,"&lt;&gt;"&amp;$B423,$A$1:$A422,$A423)),(COUNTIFS($L$1:$L422,"Tor",$B$1:$B422,$B423,$A$1:$A422,$A423)+COUNTIFS($L$1:$L422,"ET",$B$1:$B422,$B423,$A$1:$A422,$A423))-(COUNTIFS($L$1:$L422,"Tor",$B$1:$B422,"&lt;&gt;"&amp;$B423,$A$1:$A422,$A423)+COUNTIFS($L$1:$L422,"ET",$B$1:$B422,"&lt;&gt;"&amp;$B423,$A$1:$A422,$A423))),"")</f>
        <v>2</v>
      </c>
      <c r="K423" s="3">
        <v>14</v>
      </c>
      <c r="L423" s="17" t="s">
        <v>0</v>
      </c>
      <c r="M423" s="2" t="s">
        <v>163</v>
      </c>
      <c r="N423" s="2" t="s">
        <v>3</v>
      </c>
      <c r="O423" s="17"/>
      <c r="AA423" s="2" t="s">
        <v>141</v>
      </c>
      <c r="AB423" s="17" t="s">
        <v>149</v>
      </c>
      <c r="AC423" s="14" t="s">
        <v>150</v>
      </c>
      <c r="AD423" s="14" t="s">
        <v>145</v>
      </c>
      <c r="AE423" s="18">
        <v>7</v>
      </c>
      <c r="AF423" s="13">
        <v>0</v>
      </c>
      <c r="AG423" s="13">
        <v>5.5</v>
      </c>
      <c r="AH423" s="19">
        <f t="shared" si="26"/>
        <v>5.5</v>
      </c>
      <c r="AI423" s="19">
        <f t="shared" si="27"/>
        <v>67.283920499400438</v>
      </c>
      <c r="AJ423" s="2" t="s">
        <v>169</v>
      </c>
      <c r="AK423" s="13">
        <v>0</v>
      </c>
      <c r="AL423" s="13">
        <v>3.5</v>
      </c>
      <c r="AM423" s="19">
        <f>IF(Abschlüsse[[#This Row],[Ergeb]]="ET","",SQRT(($AF423-$AK423)^2+($AG423-$AL423)^2))</f>
        <v>2</v>
      </c>
      <c r="AN423" s="3">
        <v>1</v>
      </c>
      <c r="AO423" s="13">
        <v>0</v>
      </c>
      <c r="AP423" s="13">
        <v>8.5</v>
      </c>
      <c r="AQ423" s="19">
        <f t="shared" si="28"/>
        <v>3</v>
      </c>
      <c r="AR423" s="3">
        <v>0</v>
      </c>
      <c r="AU423" s="19" t="str">
        <f t="shared" si="29"/>
        <v/>
      </c>
    </row>
    <row r="424" spans="1:47" ht="25.05" customHeight="1">
      <c r="A424" s="3">
        <v>16</v>
      </c>
      <c r="B424" s="2" t="s">
        <v>8</v>
      </c>
      <c r="C424" s="17" t="str">
        <f>IF($A424="","",IF(VLOOKUP($A424,Spiele!$A$2:$D$17,3,FALSE)=$B424,"H","G"))</f>
        <v>H</v>
      </c>
      <c r="D424" s="17" t="str">
        <f>IF($B424="","",IF(VLOOKUP($A424,Spiele!$A$2:$F$17,3,FALSE)=$B424,VLOOKUP($A424,Spiele!$A$2:$F$17,4,FALSE),VLOOKUP($A424,Spiele!$A$2:$F$17,3,FALSE)))</f>
        <v>SGF</v>
      </c>
      <c r="E424" s="18">
        <f>IF(Abschlüsse[[#This Row],[Ergeb]]="ET",0,COUNTIFS($A$2:$A424,$A424,$B$2:$B424,$B424,$L$2:$L424,"&lt;&gt;ET"))</f>
        <v>13</v>
      </c>
      <c r="F424" s="11">
        <v>43</v>
      </c>
      <c r="G424" s="12">
        <v>2</v>
      </c>
      <c r="H424" s="18">
        <f>COUNTIFS('Rote Karten'!$A$2:$A$4,$A424,'Rote Karten'!$D$2:$D$4,"&lt;&gt;"&amp;$B424,'Rote Karten'!$B$2:$B$4,"&lt;"&amp;$F424,'Rote Karten'!$C$2:$C$4,"&lt;="&amp;$G424)-COUNTIFS('Rote Karten'!$A$2:$A$4,$A424,'Rote Karten'!$D$2:$D$4,$B424,'Rote Karten'!$B$2:$B$4,"&lt;"&amp;$F424,'Rote Karten'!$C$2:$C$4,"&lt;="&amp;$G424)</f>
        <v>0</v>
      </c>
      <c r="I424" s="17" t="str">
        <f>IF(OR($L424="Tor",$L424="ET"),_xlfn.IFNA(IF(VLOOKUP($A424,Spiele!$A$2:$C$17,3,FALSE)=$B424,COUNTIFS($L$2:$L424,"Tor",$B$2:$B424,$B424,$A$2:$A424,$A424)+COUNTIFS($L$2:$L424,"ET",$B$2:$B424,$B424,$A$2:$A424,$A424)&amp;":"&amp;COUNTIFS($L$2:$L424,"Tor",$B$2:$B424,"&lt;&gt;"&amp;$B424,$A$2:$A424,$A424)+COUNTIFS($L$2:$L424,"ET",$B$2:$B424,"&lt;&gt;"&amp;$B424,$A$2:$A424,$A424),COUNTIFS($L$2:$L424,"Tor",$B$2:$B424,"&lt;&gt;"&amp;$B424,$A$2:$A424,$A424)+COUNTIFS($L$2:$L424,"ET",$B$2:$B424,"&lt;&gt;"&amp;$B424,$A$2:$A424,$A424)&amp;":"&amp;COUNTIFS($L$2:$L424,"Tor",$B$2:$B424,$B424,$A$2:$A424,$A424)+COUNTIFS($L$2:$L424,"ET",$B$2:$B424,$B424,$A$2:$A424,$A424)),""),"")</f>
        <v/>
      </c>
      <c r="J424" s="18">
        <f>_xlfn.IFNA(IF(VLOOKUP($A424,Spiele!$A$2:$D$17,3,FALSE)=$B424,(COUNTIFS($L$1:$L423,"Tor",$B$1:$B423,$B424,$A$1:$A423,$A424)+COUNTIFS($L$1:$L423,"ET",$B$1:$B423,$B424,$A$1:$A423,$A424))-(COUNTIFS($L$1:$L423,"Tor",$B$1:$B423,"&lt;&gt;"&amp;$B424,$A$1:$A423,$A424)+COUNTIFS($L$1:$L423,"ET",$B$1:$B423,"&lt;&gt;"&amp;$B424,$A$1:$A423,$A424)),(COUNTIFS($L$1:$L423,"Tor",$B$1:$B423,$B424,$A$1:$A423,$A424)+COUNTIFS($L$1:$L423,"ET",$B$1:$B423,$B424,$A$1:$A423,$A424))-(COUNTIFS($L$1:$L423,"Tor",$B$1:$B423,"&lt;&gt;"&amp;$B424,$A$1:$A423,$A424)+COUNTIFS($L$1:$L423,"ET",$B$1:$B423,"&lt;&gt;"&amp;$B424,$A$1:$A423,$A424))),"")</f>
        <v>3</v>
      </c>
      <c r="K424" s="3">
        <v>15</v>
      </c>
      <c r="L424" s="17" t="s">
        <v>18</v>
      </c>
      <c r="M424" s="2" t="s">
        <v>159</v>
      </c>
      <c r="N424" s="2" t="s">
        <v>3</v>
      </c>
      <c r="O424" s="17"/>
      <c r="AA424" s="2" t="s">
        <v>142</v>
      </c>
      <c r="AB424" s="17" t="s">
        <v>149</v>
      </c>
      <c r="AC424" s="14" t="s">
        <v>150</v>
      </c>
      <c r="AD424" s="14" t="s">
        <v>156</v>
      </c>
      <c r="AE424" s="18">
        <v>27</v>
      </c>
      <c r="AF424" s="13">
        <v>9</v>
      </c>
      <c r="AG424" s="13">
        <v>12.5</v>
      </c>
      <c r="AH424" s="19">
        <f t="shared" si="26"/>
        <v>13.592851062231205</v>
      </c>
      <c r="AI424" s="19">
        <f t="shared" si="27"/>
        <v>22.23218267811097</v>
      </c>
      <c r="AJ424" s="2" t="s">
        <v>146</v>
      </c>
      <c r="AK424" s="13">
        <v>1</v>
      </c>
      <c r="AL424" s="13">
        <v>1</v>
      </c>
      <c r="AM424" s="19">
        <f>IF(Abschlüsse[[#This Row],[Ergeb]]="ET","",SQRT(($AF424-$AK424)^2+($AG424-$AL424)^2))</f>
        <v>14.0089257261219</v>
      </c>
      <c r="AN424" s="3">
        <v>1</v>
      </c>
      <c r="AO424" s="13">
        <v>9.5</v>
      </c>
      <c r="AP424" s="13">
        <v>11</v>
      </c>
      <c r="AQ424" s="19">
        <f t="shared" si="28"/>
        <v>1.5811388300841898</v>
      </c>
      <c r="AR424" s="3">
        <v>1</v>
      </c>
      <c r="AS424" s="13">
        <v>6</v>
      </c>
      <c r="AT424" s="13">
        <v>8.5</v>
      </c>
      <c r="AU424" s="19">
        <f t="shared" si="29"/>
        <v>5</v>
      </c>
    </row>
    <row r="425" spans="1:47" ht="25.05" customHeight="1">
      <c r="A425" s="3">
        <v>16</v>
      </c>
      <c r="B425" s="2" t="s">
        <v>8</v>
      </c>
      <c r="C425" s="17" t="str">
        <f>IF($A425="","",IF(VLOOKUP($A425,Spiele!$A$2:$D$17,3,FALSE)=$B425,"H","G"))</f>
        <v>H</v>
      </c>
      <c r="D425" s="17" t="str">
        <f>IF($B425="","",IF(VLOOKUP($A425,Spiele!$A$2:$F$17,3,FALSE)=$B425,VLOOKUP($A425,Spiele!$A$2:$F$17,4,FALSE),VLOOKUP($A425,Spiele!$A$2:$F$17,3,FALSE)))</f>
        <v>SGF</v>
      </c>
      <c r="E425" s="18">
        <f>IF(Abschlüsse[[#This Row],[Ergeb]]="ET",0,COUNTIFS($A$2:$A425,$A425,$B$2:$B425,$B425,$L$2:$L425,"&lt;&gt;ET"))</f>
        <v>14</v>
      </c>
      <c r="F425" s="11">
        <v>48</v>
      </c>
      <c r="G425" s="12">
        <v>2</v>
      </c>
      <c r="H425" s="18">
        <f>COUNTIFS('Rote Karten'!$A$2:$A$4,$A425,'Rote Karten'!$D$2:$D$4,"&lt;&gt;"&amp;$B425,'Rote Karten'!$B$2:$B$4,"&lt;"&amp;$F425,'Rote Karten'!$C$2:$C$4,"&lt;="&amp;$G425)-COUNTIFS('Rote Karten'!$A$2:$A$4,$A425,'Rote Karten'!$D$2:$D$4,$B425,'Rote Karten'!$B$2:$B$4,"&lt;"&amp;$F425,'Rote Karten'!$C$2:$C$4,"&lt;="&amp;$G425)</f>
        <v>0</v>
      </c>
      <c r="I425" s="17" t="str">
        <f>IF(OR($L425="Tor",$L425="ET"),_xlfn.IFNA(IF(VLOOKUP($A425,Spiele!$A$2:$C$17,3,FALSE)=$B425,COUNTIFS($L$2:$L425,"Tor",$B$2:$B425,$B425,$A$2:$A425,$A425)+COUNTIFS($L$2:$L425,"ET",$B$2:$B425,$B425,$A$2:$A425,$A425)&amp;":"&amp;COUNTIFS($L$2:$L425,"Tor",$B$2:$B425,"&lt;&gt;"&amp;$B425,$A$2:$A425,$A425)+COUNTIFS($L$2:$L425,"ET",$B$2:$B425,"&lt;&gt;"&amp;$B425,$A$2:$A425,$A425),COUNTIFS($L$2:$L425,"Tor",$B$2:$B425,"&lt;&gt;"&amp;$B425,$A$2:$A425,$A425)+COUNTIFS($L$2:$L425,"ET",$B$2:$B425,"&lt;&gt;"&amp;$B425,$A$2:$A425,$A425)&amp;":"&amp;COUNTIFS($L$2:$L425,"Tor",$B$2:$B425,$B425,$A$2:$A425,$A425)+COUNTIFS($L$2:$L425,"ET",$B$2:$B425,$B425,$A$2:$A425,$A425)),""),"")</f>
        <v/>
      </c>
      <c r="J425" s="18">
        <f>_xlfn.IFNA(IF(VLOOKUP($A425,Spiele!$A$2:$D$17,3,FALSE)=$B425,(COUNTIFS($L$1:$L424,"Tor",$B$1:$B424,$B425,$A$1:$A424,$A425)+COUNTIFS($L$1:$L424,"ET",$B$1:$B424,$B425,$A$1:$A424,$A425))-(COUNTIFS($L$1:$L424,"Tor",$B$1:$B424,"&lt;&gt;"&amp;$B425,$A$1:$A424,$A425)+COUNTIFS($L$1:$L424,"ET",$B$1:$B424,"&lt;&gt;"&amp;$B425,$A$1:$A424,$A425)),(COUNTIFS($L$1:$L424,"Tor",$B$1:$B424,$B425,$A$1:$A424,$A425)+COUNTIFS($L$1:$L424,"ET",$B$1:$B424,$B425,$A$1:$A424,$A425))-(COUNTIFS($L$1:$L424,"Tor",$B$1:$B424,"&lt;&gt;"&amp;$B425,$A$1:$A424,$A425)+COUNTIFS($L$1:$L424,"ET",$B$1:$B424,"&lt;&gt;"&amp;$B425,$A$1:$A424,$A425))),"")</f>
        <v>3</v>
      </c>
      <c r="K425" s="3">
        <v>16</v>
      </c>
      <c r="L425" s="18" t="s">
        <v>18</v>
      </c>
      <c r="M425" s="3" t="s">
        <v>163</v>
      </c>
      <c r="N425" s="2" t="s">
        <v>158</v>
      </c>
      <c r="O425" s="17">
        <v>6</v>
      </c>
      <c r="P425" s="2">
        <v>8</v>
      </c>
      <c r="Q425" s="2">
        <v>13</v>
      </c>
      <c r="AA425" s="22" t="s">
        <v>151</v>
      </c>
      <c r="AB425" s="18" t="s">
        <v>149</v>
      </c>
      <c r="AC425" s="14" t="s">
        <v>150</v>
      </c>
      <c r="AD425" s="14" t="s">
        <v>156</v>
      </c>
      <c r="AE425" s="18">
        <v>13</v>
      </c>
      <c r="AF425" s="13">
        <v>-20.5</v>
      </c>
      <c r="AG425" s="13">
        <v>31</v>
      </c>
      <c r="AH425" s="19">
        <f t="shared" si="26"/>
        <v>35.278684782740982</v>
      </c>
      <c r="AI425" s="19">
        <f t="shared" si="27"/>
        <v>9.4192901567072127</v>
      </c>
      <c r="AJ425" s="3" t="s">
        <v>146</v>
      </c>
      <c r="AK425" s="13">
        <v>-1</v>
      </c>
      <c r="AL425" s="13">
        <v>3</v>
      </c>
      <c r="AM425" s="19">
        <f>IF(Abschlüsse[[#This Row],[Ergeb]]="ET","",SQRT(($AF425-$AK425)^2+($AG425-$AL425)^2))</f>
        <v>34.121107836645635</v>
      </c>
      <c r="AN425" s="3">
        <v>2</v>
      </c>
      <c r="AO425" s="13">
        <v>-18.5</v>
      </c>
      <c r="AP425" s="13">
        <v>30</v>
      </c>
      <c r="AQ425" s="19">
        <f t="shared" si="28"/>
        <v>2.2360679774997898</v>
      </c>
      <c r="AR425" s="3">
        <v>1</v>
      </c>
      <c r="AS425" s="13">
        <v>-14</v>
      </c>
      <c r="AT425" s="13">
        <v>21</v>
      </c>
      <c r="AU425" s="19">
        <f t="shared" si="29"/>
        <v>11.926860441876563</v>
      </c>
    </row>
    <row r="426" spans="1:47" ht="25.05" customHeight="1">
      <c r="A426" s="3">
        <v>16</v>
      </c>
      <c r="B426" s="2" t="s">
        <v>8</v>
      </c>
      <c r="C426" s="17" t="str">
        <f>IF($A426="","",IF(VLOOKUP($A426,Spiele!$A$2:$D$17,3,FALSE)=$B426,"H","G"))</f>
        <v>H</v>
      </c>
      <c r="D426" s="17" t="str">
        <f>IF($B426="","",IF(VLOOKUP($A426,Spiele!$A$2:$F$17,3,FALSE)=$B426,VLOOKUP($A426,Spiele!$A$2:$F$17,4,FALSE),VLOOKUP($A426,Spiele!$A$2:$F$17,3,FALSE)))</f>
        <v>SGF</v>
      </c>
      <c r="E426" s="18">
        <f>IF(Abschlüsse[[#This Row],[Ergeb]]="ET",0,COUNTIFS($A$2:$A426,$A426,$B$2:$B426,$B426,$L$2:$L426,"&lt;&gt;ET"))</f>
        <v>15</v>
      </c>
      <c r="F426" s="11">
        <v>49</v>
      </c>
      <c r="G426" s="12">
        <v>2</v>
      </c>
      <c r="H426" s="18">
        <f>COUNTIFS('Rote Karten'!$A$2:$A$4,$A426,'Rote Karten'!$D$2:$D$4,"&lt;&gt;"&amp;$B426,'Rote Karten'!$B$2:$B$4,"&lt;"&amp;$F426,'Rote Karten'!$C$2:$C$4,"&lt;="&amp;$G426)-COUNTIFS('Rote Karten'!$A$2:$A$4,$A426,'Rote Karten'!$D$2:$D$4,$B426,'Rote Karten'!$B$2:$B$4,"&lt;"&amp;$F426,'Rote Karten'!$C$2:$C$4,"&lt;="&amp;$G426)</f>
        <v>0</v>
      </c>
      <c r="I426" s="17" t="str">
        <f>IF(OR($L426="Tor",$L426="ET"),_xlfn.IFNA(IF(VLOOKUP($A426,Spiele!$A$2:$C$17,3,FALSE)=$B426,COUNTIFS($L$2:$L426,"Tor",$B$2:$B426,$B426,$A$2:$A426,$A426)+COUNTIFS($L$2:$L426,"ET",$B$2:$B426,$B426,$A$2:$A426,$A426)&amp;":"&amp;COUNTIFS($L$2:$L426,"Tor",$B$2:$B426,"&lt;&gt;"&amp;$B426,$A$2:$A426,$A426)+COUNTIFS($L$2:$L426,"ET",$B$2:$B426,"&lt;&gt;"&amp;$B426,$A$2:$A426,$A426),COUNTIFS($L$2:$L426,"Tor",$B$2:$B426,"&lt;&gt;"&amp;$B426,$A$2:$A426,$A426)+COUNTIFS($L$2:$L426,"ET",$B$2:$B426,"&lt;&gt;"&amp;$B426,$A$2:$A426,$A426)&amp;":"&amp;COUNTIFS($L$2:$L426,"Tor",$B$2:$B426,$B426,$A$2:$A426,$A426)+COUNTIFS($L$2:$L426,"ET",$B$2:$B426,$B426,$A$2:$A426,$A426)),""),"")</f>
        <v/>
      </c>
      <c r="J426" s="18">
        <f>_xlfn.IFNA(IF(VLOOKUP($A426,Spiele!$A$2:$D$17,3,FALSE)=$B426,(COUNTIFS($L$1:$L425,"Tor",$B$1:$B425,$B426,$A$1:$A425,$A426)+COUNTIFS($L$1:$L425,"ET",$B$1:$B425,$B426,$A$1:$A425,$A426))-(COUNTIFS($L$1:$L425,"Tor",$B$1:$B425,"&lt;&gt;"&amp;$B426,$A$1:$A425,$A426)+COUNTIFS($L$1:$L425,"ET",$B$1:$B425,"&lt;&gt;"&amp;$B426,$A$1:$A425,$A426)),(COUNTIFS($L$1:$L425,"Tor",$B$1:$B425,$B426,$A$1:$A425,$A426)+COUNTIFS($L$1:$L425,"ET",$B$1:$B425,$B426,$A$1:$A425,$A426))-(COUNTIFS($L$1:$L425,"Tor",$B$1:$B425,"&lt;&gt;"&amp;$B426,$A$1:$A425,$A426)+COUNTIFS($L$1:$L425,"ET",$B$1:$B425,"&lt;&gt;"&amp;$B426,$A$1:$A425,$A426))),"")</f>
        <v>3</v>
      </c>
      <c r="K426" s="3">
        <v>17</v>
      </c>
      <c r="L426" s="17" t="s">
        <v>18</v>
      </c>
      <c r="M426" s="2" t="s">
        <v>173</v>
      </c>
      <c r="N426" s="2" t="s">
        <v>173</v>
      </c>
      <c r="O426" s="17">
        <v>8</v>
      </c>
      <c r="AA426" s="2" t="s">
        <v>154</v>
      </c>
      <c r="AB426" s="17" t="s">
        <v>160</v>
      </c>
      <c r="AC426" s="14" t="s">
        <v>161</v>
      </c>
      <c r="AD426" s="14" t="s">
        <v>162</v>
      </c>
      <c r="AE426" s="18">
        <v>26</v>
      </c>
      <c r="AF426" s="13">
        <v>-4.5</v>
      </c>
      <c r="AG426" s="13">
        <v>1.5</v>
      </c>
      <c r="AH426" s="19">
        <f t="shared" si="26"/>
        <v>1.7191858538273281</v>
      </c>
      <c r="AI426" s="19">
        <f t="shared" si="27"/>
        <v>50.335145355882318</v>
      </c>
      <c r="AJ426" s="2" t="s">
        <v>146</v>
      </c>
      <c r="AK426" s="13">
        <v>-4</v>
      </c>
      <c r="AL426" s="13">
        <v>1.5</v>
      </c>
      <c r="AM426" s="19">
        <f>IF(Abschlüsse[[#This Row],[Ergeb]]="ET","",SQRT(($AF426-$AK426)^2+($AG426-$AL426)^2))</f>
        <v>0.5</v>
      </c>
      <c r="AN426" s="3">
        <v>1</v>
      </c>
      <c r="AO426" s="13">
        <v>-2.5</v>
      </c>
      <c r="AP426" s="13">
        <v>0.5</v>
      </c>
      <c r="AQ426" s="19">
        <f t="shared" si="28"/>
        <v>2.2360679774997898</v>
      </c>
      <c r="AR426" s="3">
        <v>3</v>
      </c>
      <c r="AS426" s="13">
        <v>-3.5</v>
      </c>
      <c r="AT426" s="13">
        <v>1</v>
      </c>
      <c r="AU426" s="19">
        <f t="shared" si="29"/>
        <v>1.1180339887498949</v>
      </c>
    </row>
    <row r="427" spans="1:47" ht="25.05" customHeight="1">
      <c r="A427" s="3">
        <v>16</v>
      </c>
      <c r="B427" s="2" t="s">
        <v>8</v>
      </c>
      <c r="C427" s="17" t="str">
        <f>IF($A427="","",IF(VLOOKUP($A427,Spiele!$A$2:$D$17,3,FALSE)=$B427,"H","G"))</f>
        <v>H</v>
      </c>
      <c r="D427" s="17" t="str">
        <f>IF($B427="","",IF(VLOOKUP($A427,Spiele!$A$2:$F$17,3,FALSE)=$B427,VLOOKUP($A427,Spiele!$A$2:$F$17,4,FALSE),VLOOKUP($A427,Spiele!$A$2:$F$17,3,FALSE)))</f>
        <v>SGF</v>
      </c>
      <c r="E427" s="18">
        <f>IF(Abschlüsse[[#This Row],[Ergeb]]="ET",0,COUNTIFS($A$2:$A427,$A427,$B$2:$B427,$B427,$L$2:$L427,"&lt;&gt;ET"))</f>
        <v>16</v>
      </c>
      <c r="F427" s="11">
        <v>52</v>
      </c>
      <c r="G427" s="12">
        <v>2</v>
      </c>
      <c r="H427" s="18">
        <f>COUNTIFS('Rote Karten'!$A$2:$A$4,$A427,'Rote Karten'!$D$2:$D$4,"&lt;&gt;"&amp;$B427,'Rote Karten'!$B$2:$B$4,"&lt;"&amp;$F427,'Rote Karten'!$C$2:$C$4,"&lt;="&amp;$G427)-COUNTIFS('Rote Karten'!$A$2:$A$4,$A427,'Rote Karten'!$D$2:$D$4,$B427,'Rote Karten'!$B$2:$B$4,"&lt;"&amp;$F427,'Rote Karten'!$C$2:$C$4,"&lt;="&amp;$G427)</f>
        <v>0</v>
      </c>
      <c r="I427" s="17" t="str">
        <f>IF(OR($L427="Tor",$L427="ET"),_xlfn.IFNA(IF(VLOOKUP($A427,Spiele!$A$2:$C$17,3,FALSE)=$B427,COUNTIFS($L$2:$L427,"Tor",$B$2:$B427,$B427,$A$2:$A427,$A427)+COUNTIFS($L$2:$L427,"ET",$B$2:$B427,$B427,$A$2:$A427,$A427)&amp;":"&amp;COUNTIFS($L$2:$L427,"Tor",$B$2:$B427,"&lt;&gt;"&amp;$B427,$A$2:$A427,$A427)+COUNTIFS($L$2:$L427,"ET",$B$2:$B427,"&lt;&gt;"&amp;$B427,$A$2:$A427,$A427),COUNTIFS($L$2:$L427,"Tor",$B$2:$B427,"&lt;&gt;"&amp;$B427,$A$2:$A427,$A427)+COUNTIFS($L$2:$L427,"ET",$B$2:$B427,"&lt;&gt;"&amp;$B427,$A$2:$A427,$A427)&amp;":"&amp;COUNTIFS($L$2:$L427,"Tor",$B$2:$B427,$B427,$A$2:$A427,$A427)+COUNTIFS($L$2:$L427,"ET",$B$2:$B427,$B427,$A$2:$A427,$A427)),""),"")</f>
        <v/>
      </c>
      <c r="J427" s="18">
        <f>_xlfn.IFNA(IF(VLOOKUP($A427,Spiele!$A$2:$D$17,3,FALSE)=$B427,(COUNTIFS($L$1:$L426,"Tor",$B$1:$B426,$B427,$A$1:$A426,$A427)+COUNTIFS($L$1:$L426,"ET",$B$1:$B426,$B427,$A$1:$A426,$A427))-(COUNTIFS($L$1:$L426,"Tor",$B$1:$B426,"&lt;&gt;"&amp;$B427,$A$1:$A426,$A427)+COUNTIFS($L$1:$L426,"ET",$B$1:$B426,"&lt;&gt;"&amp;$B427,$A$1:$A426,$A427)),(COUNTIFS($L$1:$L426,"Tor",$B$1:$B426,$B427,$A$1:$A426,$A427)+COUNTIFS($L$1:$L426,"ET",$B$1:$B426,$B427,$A$1:$A426,$A427))-(COUNTIFS($L$1:$L426,"Tor",$B$1:$B426,"&lt;&gt;"&amp;$B427,$A$1:$A426,$A427)+COUNTIFS($L$1:$L426,"ET",$B$1:$B426,"&lt;&gt;"&amp;$B427,$A$1:$A426,$A427))),"")</f>
        <v>3</v>
      </c>
      <c r="K427" s="3">
        <v>18</v>
      </c>
      <c r="L427" s="17" t="s">
        <v>20</v>
      </c>
      <c r="M427" s="2" t="s">
        <v>168</v>
      </c>
      <c r="N427" s="2" t="s">
        <v>3</v>
      </c>
      <c r="O427" s="17"/>
      <c r="AA427" s="2" t="s">
        <v>142</v>
      </c>
      <c r="AB427" s="17" t="s">
        <v>143</v>
      </c>
      <c r="AC427" s="14" t="s">
        <v>150</v>
      </c>
      <c r="AD427" s="14" t="s">
        <v>145</v>
      </c>
      <c r="AE427" s="18">
        <v>27</v>
      </c>
      <c r="AF427" s="13">
        <v>-4</v>
      </c>
      <c r="AG427" s="13">
        <v>16.5</v>
      </c>
      <c r="AH427" s="19">
        <f t="shared" si="26"/>
        <v>16.503502658526763</v>
      </c>
      <c r="AI427" s="19">
        <f t="shared" si="27"/>
        <v>23.722255043550604</v>
      </c>
      <c r="AJ427" s="2" t="s">
        <v>146</v>
      </c>
      <c r="AK427" s="13">
        <v>-0.5</v>
      </c>
      <c r="AL427" s="13">
        <v>0.5</v>
      </c>
      <c r="AM427" s="19">
        <f>IF(Abschlüsse[[#This Row],[Ergeb]]="ET","",SQRT(($AF427-$AK427)^2+($AG427-$AL427)^2))</f>
        <v>16.378339354159198</v>
      </c>
      <c r="AN427" s="3">
        <v>1</v>
      </c>
      <c r="AO427" s="13">
        <v>-0.5</v>
      </c>
      <c r="AP427" s="13">
        <v>16</v>
      </c>
      <c r="AQ427" s="19">
        <f t="shared" si="28"/>
        <v>3.5355339059327378</v>
      </c>
      <c r="AR427" s="3">
        <v>5</v>
      </c>
      <c r="AS427" s="13">
        <v>-2</v>
      </c>
      <c r="AT427" s="13">
        <v>11</v>
      </c>
      <c r="AU427" s="19">
        <f t="shared" si="29"/>
        <v>5.8523499553598128</v>
      </c>
    </row>
    <row r="428" spans="1:47" ht="25.05" customHeight="1">
      <c r="A428" s="3">
        <v>16</v>
      </c>
      <c r="B428" s="2" t="s">
        <v>8</v>
      </c>
      <c r="C428" s="17" t="str">
        <f>IF($A428="","",IF(VLOOKUP($A428,Spiele!$A$2:$D$17,3,FALSE)=$B428,"H","G"))</f>
        <v>H</v>
      </c>
      <c r="D428" s="17" t="str">
        <f>IF($B428="","",IF(VLOOKUP($A428,Spiele!$A$2:$F$17,3,FALSE)=$B428,VLOOKUP($A428,Spiele!$A$2:$F$17,4,FALSE),VLOOKUP($A428,Spiele!$A$2:$F$17,3,FALSE)))</f>
        <v>SGF</v>
      </c>
      <c r="E428" s="18">
        <f>IF(Abschlüsse[[#This Row],[Ergeb]]="ET",0,COUNTIFS($A$2:$A428,$A428,$B$2:$B428,$B428,$L$2:$L428,"&lt;&gt;ET"))</f>
        <v>17</v>
      </c>
      <c r="F428" s="11">
        <v>62</v>
      </c>
      <c r="G428" s="12">
        <v>2</v>
      </c>
      <c r="H428" s="18">
        <f>COUNTIFS('Rote Karten'!$A$2:$A$4,$A428,'Rote Karten'!$D$2:$D$4,"&lt;&gt;"&amp;$B428,'Rote Karten'!$B$2:$B$4,"&lt;"&amp;$F428,'Rote Karten'!$C$2:$C$4,"&lt;="&amp;$G428)-COUNTIFS('Rote Karten'!$A$2:$A$4,$A428,'Rote Karten'!$D$2:$D$4,$B428,'Rote Karten'!$B$2:$B$4,"&lt;"&amp;$F428,'Rote Karten'!$C$2:$C$4,"&lt;="&amp;$G428)</f>
        <v>0</v>
      </c>
      <c r="I428" s="17" t="str">
        <f>IF(OR($L428="Tor",$L428="ET"),_xlfn.IFNA(IF(VLOOKUP($A428,Spiele!$A$2:$C$17,3,FALSE)=$B428,COUNTIFS($L$2:$L428,"Tor",$B$2:$B428,$B428,$A$2:$A428,$A428)+COUNTIFS($L$2:$L428,"ET",$B$2:$B428,$B428,$A$2:$A428,$A428)&amp;":"&amp;COUNTIFS($L$2:$L428,"Tor",$B$2:$B428,"&lt;&gt;"&amp;$B428,$A$2:$A428,$A428)+COUNTIFS($L$2:$L428,"ET",$B$2:$B428,"&lt;&gt;"&amp;$B428,$A$2:$A428,$A428),COUNTIFS($L$2:$L428,"Tor",$B$2:$B428,"&lt;&gt;"&amp;$B428,$A$2:$A428,$A428)+COUNTIFS($L$2:$L428,"ET",$B$2:$B428,"&lt;&gt;"&amp;$B428,$A$2:$A428,$A428)&amp;":"&amp;COUNTIFS($L$2:$L428,"Tor",$B$2:$B428,$B428,$A$2:$A428,$A428)+COUNTIFS($L$2:$L428,"ET",$B$2:$B428,$B428,$A$2:$A428,$A428)),""),"")</f>
        <v/>
      </c>
      <c r="J428" s="18">
        <f>_xlfn.IFNA(IF(VLOOKUP($A428,Spiele!$A$2:$D$17,3,FALSE)=$B428,(COUNTIFS($L$1:$L427,"Tor",$B$1:$B427,$B428,$A$1:$A427,$A428)+COUNTIFS($L$1:$L427,"ET",$B$1:$B427,$B428,$A$1:$A427,$A428))-(COUNTIFS($L$1:$L427,"Tor",$B$1:$B427,"&lt;&gt;"&amp;$B428,$A$1:$A427,$A428)+COUNTIFS($L$1:$L427,"ET",$B$1:$B427,"&lt;&gt;"&amp;$B428,$A$1:$A427,$A428)),(COUNTIFS($L$1:$L427,"Tor",$B$1:$B427,$B428,$A$1:$A427,$A428)+COUNTIFS($L$1:$L427,"ET",$B$1:$B427,$B428,$A$1:$A427,$A428))-(COUNTIFS($L$1:$L427,"Tor",$B$1:$B427,"&lt;&gt;"&amp;$B428,$A$1:$A427,$A428)+COUNTIFS($L$1:$L427,"ET",$B$1:$B427,"&lt;&gt;"&amp;$B428,$A$1:$A427,$A428))),"")</f>
        <v>3</v>
      </c>
      <c r="K428" s="3">
        <v>19</v>
      </c>
      <c r="L428" s="17" t="s">
        <v>20</v>
      </c>
      <c r="M428" s="2" t="s">
        <v>163</v>
      </c>
      <c r="N428" s="2" t="s">
        <v>164</v>
      </c>
      <c r="O428" s="17">
        <v>8</v>
      </c>
      <c r="P428" s="2">
        <v>21</v>
      </c>
      <c r="AA428" s="2" t="s">
        <v>151</v>
      </c>
      <c r="AB428" s="17" t="s">
        <v>149</v>
      </c>
      <c r="AC428" s="14" t="s">
        <v>150</v>
      </c>
      <c r="AD428" s="14" t="s">
        <v>156</v>
      </c>
      <c r="AE428" s="18">
        <v>7</v>
      </c>
      <c r="AF428" s="13">
        <v>13</v>
      </c>
      <c r="AG428" s="13">
        <v>10.5</v>
      </c>
      <c r="AH428" s="19">
        <f t="shared" si="26"/>
        <v>14.052956984207984</v>
      </c>
      <c r="AI428" s="19">
        <f t="shared" si="27"/>
        <v>16.124878601707472</v>
      </c>
      <c r="AJ428" s="2" t="s">
        <v>146</v>
      </c>
      <c r="AK428" s="13">
        <v>3</v>
      </c>
      <c r="AL428" s="13">
        <v>1</v>
      </c>
      <c r="AM428" s="19">
        <f>IF(Abschlüsse[[#This Row],[Ergeb]]="ET","",SQRT(($AF428-$AK428)^2+($AG428-$AL428)^2))</f>
        <v>13.793114224133722</v>
      </c>
      <c r="AN428" s="3">
        <v>2</v>
      </c>
      <c r="AO428" s="13">
        <v>12.5</v>
      </c>
      <c r="AP428" s="13">
        <v>9</v>
      </c>
      <c r="AQ428" s="19">
        <f t="shared" si="28"/>
        <v>1.5811388300841898</v>
      </c>
      <c r="AR428" s="3">
        <v>1</v>
      </c>
      <c r="AS428" s="13">
        <v>11</v>
      </c>
      <c r="AT428" s="13">
        <v>9.5</v>
      </c>
      <c r="AU428" s="19">
        <f t="shared" si="29"/>
        <v>2.2360679774997898</v>
      </c>
    </row>
    <row r="429" spans="1:47" ht="25.05" customHeight="1">
      <c r="A429" s="3">
        <v>16</v>
      </c>
      <c r="B429" s="2" t="s">
        <v>8</v>
      </c>
      <c r="C429" s="17" t="str">
        <f>IF($A429="","",IF(VLOOKUP($A429,Spiele!$A$2:$D$17,3,FALSE)=$B429,"H","G"))</f>
        <v>H</v>
      </c>
      <c r="D429" s="17" t="str">
        <f>IF($B429="","",IF(VLOOKUP($A429,Spiele!$A$2:$F$17,3,FALSE)=$B429,VLOOKUP($A429,Spiele!$A$2:$F$17,4,FALSE),VLOOKUP($A429,Spiele!$A$2:$F$17,3,FALSE)))</f>
        <v>SGF</v>
      </c>
      <c r="E429" s="18">
        <f>IF(Abschlüsse[[#This Row],[Ergeb]]="ET",0,COUNTIFS($A$2:$A429,$A429,$B$2:$B429,$B429,$L$2:$L429,"&lt;&gt;ET"))</f>
        <v>18</v>
      </c>
      <c r="F429" s="11">
        <v>62</v>
      </c>
      <c r="G429" s="12">
        <v>2</v>
      </c>
      <c r="H429" s="18">
        <f>COUNTIFS('Rote Karten'!$A$2:$A$4,$A429,'Rote Karten'!$D$2:$D$4,"&lt;&gt;"&amp;$B429,'Rote Karten'!$B$2:$B$4,"&lt;"&amp;$F429,'Rote Karten'!$C$2:$C$4,"&lt;="&amp;$G429)-COUNTIFS('Rote Karten'!$A$2:$A$4,$A429,'Rote Karten'!$D$2:$D$4,$B429,'Rote Karten'!$B$2:$B$4,"&lt;"&amp;$F429,'Rote Karten'!$C$2:$C$4,"&lt;="&amp;$G429)</f>
        <v>0</v>
      </c>
      <c r="I429" s="17" t="str">
        <f>IF(OR($L429="Tor",$L429="ET"),_xlfn.IFNA(IF(VLOOKUP($A429,Spiele!$A$2:$C$17,3,FALSE)=$B429,COUNTIFS($L$2:$L429,"Tor",$B$2:$B429,$B429,$A$2:$A429,$A429)+COUNTIFS($L$2:$L429,"ET",$B$2:$B429,$B429,$A$2:$A429,$A429)&amp;":"&amp;COUNTIFS($L$2:$L429,"Tor",$B$2:$B429,"&lt;&gt;"&amp;$B429,$A$2:$A429,$A429)+COUNTIFS($L$2:$L429,"ET",$B$2:$B429,"&lt;&gt;"&amp;$B429,$A$2:$A429,$A429),COUNTIFS($L$2:$L429,"Tor",$B$2:$B429,"&lt;&gt;"&amp;$B429,$A$2:$A429,$A429)+COUNTIFS($L$2:$L429,"ET",$B$2:$B429,"&lt;&gt;"&amp;$B429,$A$2:$A429,$A429)&amp;":"&amp;COUNTIFS($L$2:$L429,"Tor",$B$2:$B429,$B429,$A$2:$A429,$A429)+COUNTIFS($L$2:$L429,"ET",$B$2:$B429,$B429,$A$2:$A429,$A429)),""),"")</f>
        <v>5:1</v>
      </c>
      <c r="J429" s="18">
        <f>_xlfn.IFNA(IF(VLOOKUP($A429,Spiele!$A$2:$D$17,3,FALSE)=$B429,(COUNTIFS($L$1:$L428,"Tor",$B$1:$B428,$B429,$A$1:$A428,$A429)+COUNTIFS($L$1:$L428,"ET",$B$1:$B428,$B429,$A$1:$A428,$A429))-(COUNTIFS($L$1:$L428,"Tor",$B$1:$B428,"&lt;&gt;"&amp;$B429,$A$1:$A428,$A429)+COUNTIFS($L$1:$L428,"ET",$B$1:$B428,"&lt;&gt;"&amp;$B429,$A$1:$A428,$A429)),(COUNTIFS($L$1:$L428,"Tor",$B$1:$B428,$B429,$A$1:$A428,$A429)+COUNTIFS($L$1:$L428,"ET",$B$1:$B428,$B429,$A$1:$A428,$A429))-(COUNTIFS($L$1:$L428,"Tor",$B$1:$B428,"&lt;&gt;"&amp;$B429,$A$1:$A428,$A429)+COUNTIFS($L$1:$L428,"ET",$B$1:$B428,"&lt;&gt;"&amp;$B429,$A$1:$A428,$A429))),"")</f>
        <v>3</v>
      </c>
      <c r="K429" s="3">
        <v>19</v>
      </c>
      <c r="L429" s="17" t="s">
        <v>0</v>
      </c>
      <c r="M429" s="2" t="s">
        <v>163</v>
      </c>
      <c r="N429" s="2" t="s">
        <v>3</v>
      </c>
      <c r="O429" s="17">
        <v>18</v>
      </c>
      <c r="AA429" s="2" t="s">
        <v>142</v>
      </c>
      <c r="AB429" s="17" t="s">
        <v>143</v>
      </c>
      <c r="AC429" s="14" t="s">
        <v>150</v>
      </c>
      <c r="AD429" s="14" t="s">
        <v>145</v>
      </c>
      <c r="AE429" s="18">
        <v>26</v>
      </c>
      <c r="AF429" s="13">
        <v>0.5</v>
      </c>
      <c r="AG429" s="13">
        <v>15</v>
      </c>
      <c r="AH429" s="19">
        <f t="shared" si="26"/>
        <v>15</v>
      </c>
      <c r="AI429" s="19">
        <f t="shared" si="27"/>
        <v>27.396825673048827</v>
      </c>
      <c r="AJ429" s="2" t="s">
        <v>146</v>
      </c>
      <c r="AK429" s="13">
        <v>0</v>
      </c>
      <c r="AL429" s="13">
        <v>1.5</v>
      </c>
      <c r="AM429" s="19">
        <f>IF(Abschlüsse[[#This Row],[Ergeb]]="ET","",SQRT(($AF429-$AK429)^2+($AG429-$AL429)^2))</f>
        <v>13.509256086106296</v>
      </c>
      <c r="AN429" s="3">
        <v>2</v>
      </c>
      <c r="AO429" s="13">
        <v>2</v>
      </c>
      <c r="AP429" s="13">
        <v>15</v>
      </c>
      <c r="AQ429" s="19">
        <f t="shared" si="28"/>
        <v>1.5</v>
      </c>
      <c r="AR429" s="3">
        <v>0</v>
      </c>
      <c r="AU429" s="19" t="str">
        <f t="shared" si="29"/>
        <v/>
      </c>
    </row>
    <row r="430" spans="1:47" ht="25.05" customHeight="1">
      <c r="A430" s="3">
        <v>16</v>
      </c>
      <c r="B430" s="2" t="s">
        <v>78</v>
      </c>
      <c r="C430" s="17" t="str">
        <f>IF($A430="","",IF(VLOOKUP($A430,Spiele!$A$2:$D$17,3,FALSE)=$B430,"H","G"))</f>
        <v>G</v>
      </c>
      <c r="D430" s="17" t="str">
        <f>IF($B430="","",IF(VLOOKUP($A430,Spiele!$A$2:$F$17,3,FALSE)=$B430,VLOOKUP($A430,Spiele!$A$2:$F$17,4,FALSE),VLOOKUP($A430,Spiele!$A$2:$F$17,3,FALSE)))</f>
        <v>FCN</v>
      </c>
      <c r="E430" s="18">
        <f>IF(Abschlüsse[[#This Row],[Ergeb]]="ET",0,COUNTIFS($A$2:$A430,$A430,$B$2:$B430,$B430,$L$2:$L430,"&lt;&gt;ET"))</f>
        <v>3</v>
      </c>
      <c r="F430" s="11">
        <v>74</v>
      </c>
      <c r="G430" s="12">
        <v>2</v>
      </c>
      <c r="H430" s="18">
        <f>COUNTIFS('Rote Karten'!$A$2:$A$4,$A430,'Rote Karten'!$D$2:$D$4,"&lt;&gt;"&amp;$B430,'Rote Karten'!$B$2:$B$4,"&lt;"&amp;$F430,'Rote Karten'!$C$2:$C$4,"&lt;="&amp;$G430)-COUNTIFS('Rote Karten'!$A$2:$A$4,$A430,'Rote Karten'!$D$2:$D$4,$B430,'Rote Karten'!$B$2:$B$4,"&lt;"&amp;$F430,'Rote Karten'!$C$2:$C$4,"&lt;="&amp;$G430)</f>
        <v>0</v>
      </c>
      <c r="I430" s="17" t="str">
        <f>IF(OR($L430="Tor",$L430="ET"),_xlfn.IFNA(IF(VLOOKUP($A430,Spiele!$A$2:$C$17,3,FALSE)=$B430,COUNTIFS($L$2:$L430,"Tor",$B$2:$B430,$B430,$A$2:$A430,$A430)+COUNTIFS($L$2:$L430,"ET",$B$2:$B430,$B430,$A$2:$A430,$A430)&amp;":"&amp;COUNTIFS($L$2:$L430,"Tor",$B$2:$B430,"&lt;&gt;"&amp;$B430,$A$2:$A430,$A430)+COUNTIFS($L$2:$L430,"ET",$B$2:$B430,"&lt;&gt;"&amp;$B430,$A$2:$A430,$A430),COUNTIFS($L$2:$L430,"Tor",$B$2:$B430,"&lt;&gt;"&amp;$B430,$A$2:$A430,$A430)+COUNTIFS($L$2:$L430,"ET",$B$2:$B430,"&lt;&gt;"&amp;$B430,$A$2:$A430,$A430)&amp;":"&amp;COUNTIFS($L$2:$L430,"Tor",$B$2:$B430,$B430,$A$2:$A430,$A430)+COUNTIFS($L$2:$L430,"ET",$B$2:$B430,$B430,$A$2:$A430,$A430)),""),"")</f>
        <v/>
      </c>
      <c r="J430" s="18">
        <f>_xlfn.IFNA(IF(VLOOKUP($A430,Spiele!$A$2:$D$17,3,FALSE)=$B430,(COUNTIFS($L$1:$L429,"Tor",$B$1:$B429,$B430,$A$1:$A429,$A430)+COUNTIFS($L$1:$L429,"ET",$B$1:$B429,$B430,$A$1:$A429,$A430))-(COUNTIFS($L$1:$L429,"Tor",$B$1:$B429,"&lt;&gt;"&amp;$B430,$A$1:$A429,$A430)+COUNTIFS($L$1:$L429,"ET",$B$1:$B429,"&lt;&gt;"&amp;$B430,$A$1:$A429,$A430)),(COUNTIFS($L$1:$L429,"Tor",$B$1:$B429,$B430,$A$1:$A429,$A430)+COUNTIFS($L$1:$L429,"ET",$B$1:$B429,$B430,$A$1:$A429,$A430))-(COUNTIFS($L$1:$L429,"Tor",$B$1:$B429,"&lt;&gt;"&amp;$B430,$A$1:$A429,$A430)+COUNTIFS($L$1:$L429,"ET",$B$1:$B429,"&lt;&gt;"&amp;$B430,$A$1:$A429,$A430))),"")</f>
        <v>-4</v>
      </c>
      <c r="K430" s="3">
        <v>20</v>
      </c>
      <c r="L430" s="17" t="s">
        <v>19</v>
      </c>
      <c r="M430" s="2" t="s">
        <v>140</v>
      </c>
      <c r="N430" s="2" t="s">
        <v>3</v>
      </c>
      <c r="O430" s="17"/>
      <c r="AA430" s="2" t="s">
        <v>151</v>
      </c>
      <c r="AB430" s="17" t="s">
        <v>149</v>
      </c>
      <c r="AC430" s="14" t="s">
        <v>144</v>
      </c>
      <c r="AD430" s="14" t="s">
        <v>156</v>
      </c>
      <c r="AE430" s="18"/>
      <c r="AF430" s="13">
        <v>-6.5</v>
      </c>
      <c r="AG430" s="13">
        <v>25.5</v>
      </c>
      <c r="AH430" s="19">
        <f t="shared" si="26"/>
        <v>25.657661623772341</v>
      </c>
      <c r="AI430" s="19">
        <f t="shared" si="27"/>
        <v>15.368900586750689</v>
      </c>
      <c r="AJ430" s="2" t="s">
        <v>146</v>
      </c>
      <c r="AK430" s="13">
        <v>0</v>
      </c>
      <c r="AL430" s="13">
        <v>0.5</v>
      </c>
      <c r="AM430" s="19">
        <f>IF(Abschlüsse[[#This Row],[Ergeb]]="ET","",SQRT(($AF430-$AK430)^2+($AG430-$AL430)^2))</f>
        <v>25.831182706178978</v>
      </c>
      <c r="AN430" s="3">
        <v>1</v>
      </c>
      <c r="AO430" s="13">
        <v>-5</v>
      </c>
      <c r="AP430" s="13">
        <v>26.5</v>
      </c>
      <c r="AQ430" s="19">
        <f t="shared" si="28"/>
        <v>1.8027756377319946</v>
      </c>
      <c r="AR430" s="3">
        <v>2</v>
      </c>
      <c r="AS430" s="13">
        <v>-6</v>
      </c>
      <c r="AT430" s="13">
        <v>15</v>
      </c>
      <c r="AU430" s="19">
        <f t="shared" si="29"/>
        <v>10.51189802081432</v>
      </c>
    </row>
    <row r="431" spans="1:47" ht="25.05" customHeight="1">
      <c r="A431" s="3">
        <v>16</v>
      </c>
      <c r="B431" s="2" t="s">
        <v>8</v>
      </c>
      <c r="C431" s="17" t="str">
        <f>IF($A431="","",IF(VLOOKUP($A431,Spiele!$A$2:$D$17,3,FALSE)=$B431,"H","G"))</f>
        <v>H</v>
      </c>
      <c r="D431" s="17" t="str">
        <f>IF($B431="","",IF(VLOOKUP($A431,Spiele!$A$2:$F$17,3,FALSE)=$B431,VLOOKUP($A431,Spiele!$A$2:$F$17,4,FALSE),VLOOKUP($A431,Spiele!$A$2:$F$17,3,FALSE)))</f>
        <v>SGF</v>
      </c>
      <c r="E431" s="18">
        <f>IF(Abschlüsse[[#This Row],[Ergeb]]="ET",0,COUNTIFS($A$2:$A431,$A431,$B$2:$B431,$B431,$L$2:$L431,"&lt;&gt;ET"))</f>
        <v>19</v>
      </c>
      <c r="F431" s="11">
        <v>79</v>
      </c>
      <c r="G431" s="12">
        <v>2</v>
      </c>
      <c r="H431" s="18">
        <f>COUNTIFS('Rote Karten'!$A$2:$A$4,$A431,'Rote Karten'!$D$2:$D$4,"&lt;&gt;"&amp;$B431,'Rote Karten'!$B$2:$B$4,"&lt;"&amp;$F431,'Rote Karten'!$C$2:$C$4,"&lt;="&amp;$G431)-COUNTIFS('Rote Karten'!$A$2:$A$4,$A431,'Rote Karten'!$D$2:$D$4,$B431,'Rote Karten'!$B$2:$B$4,"&lt;"&amp;$F431,'Rote Karten'!$C$2:$C$4,"&lt;="&amp;$G431)</f>
        <v>0</v>
      </c>
      <c r="I431" s="17" t="str">
        <f>IF(OR($L431="Tor",$L431="ET"),_xlfn.IFNA(IF(VLOOKUP($A431,Spiele!$A$2:$C$17,3,FALSE)=$B431,COUNTIFS($L$2:$L431,"Tor",$B$2:$B431,$B431,$A$2:$A431,$A431)+COUNTIFS($L$2:$L431,"ET",$B$2:$B431,$B431,$A$2:$A431,$A431)&amp;":"&amp;COUNTIFS($L$2:$L431,"Tor",$B$2:$B431,"&lt;&gt;"&amp;$B431,$A$2:$A431,$A431)+COUNTIFS($L$2:$L431,"ET",$B$2:$B431,"&lt;&gt;"&amp;$B431,$A$2:$A431,$A431),COUNTIFS($L$2:$L431,"Tor",$B$2:$B431,"&lt;&gt;"&amp;$B431,$A$2:$A431,$A431)+COUNTIFS($L$2:$L431,"ET",$B$2:$B431,"&lt;&gt;"&amp;$B431,$A$2:$A431,$A431)&amp;":"&amp;COUNTIFS($L$2:$L431,"Tor",$B$2:$B431,$B431,$A$2:$A431,$A431)+COUNTIFS($L$2:$L431,"ET",$B$2:$B431,$B431,$A$2:$A431,$A431)),""),"")</f>
        <v/>
      </c>
      <c r="J431" s="18">
        <f>_xlfn.IFNA(IF(VLOOKUP($A431,Spiele!$A$2:$D$17,3,FALSE)=$B431,(COUNTIFS($L$1:$L430,"Tor",$B$1:$B430,$B431,$A$1:$A430,$A431)+COUNTIFS($L$1:$L430,"ET",$B$1:$B430,$B431,$A$1:$A430,$A431))-(COUNTIFS($L$1:$L430,"Tor",$B$1:$B430,"&lt;&gt;"&amp;$B431,$A$1:$A430,$A431)+COUNTIFS($L$1:$L430,"ET",$B$1:$B430,"&lt;&gt;"&amp;$B431,$A$1:$A430,$A431)),(COUNTIFS($L$1:$L430,"Tor",$B$1:$B430,$B431,$A$1:$A430,$A431)+COUNTIFS($L$1:$L430,"ET",$B$1:$B430,$B431,$A$1:$A430,$A431))-(COUNTIFS($L$1:$L430,"Tor",$B$1:$B430,"&lt;&gt;"&amp;$B431,$A$1:$A430,$A431)+COUNTIFS($L$1:$L430,"ET",$B$1:$B430,"&lt;&gt;"&amp;$B431,$A$1:$A430,$A431))),"")</f>
        <v>4</v>
      </c>
      <c r="K431" s="3">
        <v>21</v>
      </c>
      <c r="L431" s="17" t="s">
        <v>19</v>
      </c>
      <c r="M431" s="2" t="s">
        <v>163</v>
      </c>
      <c r="N431" s="2" t="s">
        <v>158</v>
      </c>
      <c r="O431" s="17">
        <v>8</v>
      </c>
      <c r="P431" s="2">
        <v>19</v>
      </c>
      <c r="Q431" s="2">
        <v>8</v>
      </c>
      <c r="R431" s="2">
        <v>13</v>
      </c>
      <c r="S431" s="2">
        <v>4</v>
      </c>
      <c r="AA431" s="2" t="s">
        <v>151</v>
      </c>
      <c r="AB431" s="17" t="s">
        <v>149</v>
      </c>
      <c r="AC431" s="14" t="s">
        <v>150</v>
      </c>
      <c r="AD431" s="14" t="s">
        <v>145</v>
      </c>
      <c r="AE431" s="18">
        <v>13</v>
      </c>
      <c r="AF431" s="13">
        <v>-17.5</v>
      </c>
      <c r="AG431" s="13">
        <v>9.5</v>
      </c>
      <c r="AH431" s="19">
        <f t="shared" si="26"/>
        <v>16.786768599108051</v>
      </c>
      <c r="AI431" s="19">
        <f t="shared" si="27"/>
        <v>10.288146935383484</v>
      </c>
      <c r="AJ431" s="2" t="s">
        <v>146</v>
      </c>
      <c r="AK431" s="13">
        <v>-3.5</v>
      </c>
      <c r="AL431" s="13">
        <v>1</v>
      </c>
      <c r="AM431" s="19">
        <f>IF(Abschlüsse[[#This Row],[Ergeb]]="ET","",SQRT(($AF431-$AK431)^2+($AG431-$AL431)^2))</f>
        <v>16.378339354159198</v>
      </c>
      <c r="AN431" s="3">
        <v>2</v>
      </c>
      <c r="AO431" s="13">
        <v>-17</v>
      </c>
      <c r="AP431" s="13">
        <v>10</v>
      </c>
      <c r="AQ431" s="19">
        <f t="shared" si="28"/>
        <v>0.70710678118654757</v>
      </c>
      <c r="AR431" s="3">
        <v>0</v>
      </c>
      <c r="AU431" s="19" t="str">
        <f t="shared" si="29"/>
        <v/>
      </c>
    </row>
    <row r="432" spans="1:47" ht="25.05" customHeight="1">
      <c r="A432" s="3">
        <v>16</v>
      </c>
      <c r="B432" s="2" t="s">
        <v>78</v>
      </c>
      <c r="C432" s="17" t="str">
        <f>IF($A432="","",IF(VLOOKUP($A432,Spiele!$A$2:$D$17,3,FALSE)=$B432,"H","G"))</f>
        <v>G</v>
      </c>
      <c r="D432" s="17" t="str">
        <f>IF($B432="","",IF(VLOOKUP($A432,Spiele!$A$2:$F$17,3,FALSE)=$B432,VLOOKUP($A432,Spiele!$A$2:$F$17,4,FALSE),VLOOKUP($A432,Spiele!$A$2:$F$17,3,FALSE)))</f>
        <v>FCN</v>
      </c>
      <c r="E432" s="18">
        <f>IF(Abschlüsse[[#This Row],[Ergeb]]="ET",0,COUNTIFS($A$2:$A432,$A432,$B$2:$B432,$B432,$L$2:$L432,"&lt;&gt;ET"))</f>
        <v>4</v>
      </c>
      <c r="F432" s="11">
        <v>80</v>
      </c>
      <c r="G432" s="12">
        <v>2</v>
      </c>
      <c r="H432" s="18">
        <f>COUNTIFS('Rote Karten'!$A$2:$A$4,$A432,'Rote Karten'!$D$2:$D$4,"&lt;&gt;"&amp;$B432,'Rote Karten'!$B$2:$B$4,"&lt;"&amp;$F432,'Rote Karten'!$C$2:$C$4,"&lt;="&amp;$G432)-COUNTIFS('Rote Karten'!$A$2:$A$4,$A432,'Rote Karten'!$D$2:$D$4,$B432,'Rote Karten'!$B$2:$B$4,"&lt;"&amp;$F432,'Rote Karten'!$C$2:$C$4,"&lt;="&amp;$G432)</f>
        <v>0</v>
      </c>
      <c r="I432" s="17" t="str">
        <f>IF(OR($L432="Tor",$L432="ET"),_xlfn.IFNA(IF(VLOOKUP($A432,Spiele!$A$2:$C$17,3,FALSE)=$B432,COUNTIFS($L$2:$L432,"Tor",$B$2:$B432,$B432,$A$2:$A432,$A432)+COUNTIFS($L$2:$L432,"ET",$B$2:$B432,$B432,$A$2:$A432,$A432)&amp;":"&amp;COUNTIFS($L$2:$L432,"Tor",$B$2:$B432,"&lt;&gt;"&amp;$B432,$A$2:$A432,$A432)+COUNTIFS($L$2:$L432,"ET",$B$2:$B432,"&lt;&gt;"&amp;$B432,$A$2:$A432,$A432),COUNTIFS($L$2:$L432,"Tor",$B$2:$B432,"&lt;&gt;"&amp;$B432,$A$2:$A432,$A432)+COUNTIFS($L$2:$L432,"ET",$B$2:$B432,"&lt;&gt;"&amp;$B432,$A$2:$A432,$A432)&amp;":"&amp;COUNTIFS($L$2:$L432,"Tor",$B$2:$B432,$B432,$A$2:$A432,$A432)+COUNTIFS($L$2:$L432,"ET",$B$2:$B432,$B432,$A$2:$A432,$A432)),""),"")</f>
        <v/>
      </c>
      <c r="J432" s="18">
        <f>_xlfn.IFNA(IF(VLOOKUP($A432,Spiele!$A$2:$D$17,3,FALSE)=$B432,(COUNTIFS($L$1:$L431,"Tor",$B$1:$B431,$B432,$A$1:$A431,$A432)+COUNTIFS($L$1:$L431,"ET",$B$1:$B431,$B432,$A$1:$A431,$A432))-(COUNTIFS($L$1:$L431,"Tor",$B$1:$B431,"&lt;&gt;"&amp;$B432,$A$1:$A431,$A432)+COUNTIFS($L$1:$L431,"ET",$B$1:$B431,"&lt;&gt;"&amp;$B432,$A$1:$A431,$A432)),(COUNTIFS($L$1:$L431,"Tor",$B$1:$B431,$B432,$A$1:$A431,$A432)+COUNTIFS($L$1:$L431,"ET",$B$1:$B431,$B432,$A$1:$A431,$A432))-(COUNTIFS($L$1:$L431,"Tor",$B$1:$B431,"&lt;&gt;"&amp;$B432,$A$1:$A431,$A432)+COUNTIFS($L$1:$L431,"ET",$B$1:$B431,"&lt;&gt;"&amp;$B432,$A$1:$A431,$A432))),"")</f>
        <v>-4</v>
      </c>
      <c r="K432" s="3">
        <v>22</v>
      </c>
      <c r="L432" s="17" t="s">
        <v>18</v>
      </c>
      <c r="M432" s="2" t="s">
        <v>147</v>
      </c>
      <c r="N432" s="2" t="s">
        <v>152</v>
      </c>
      <c r="O432" s="17"/>
      <c r="AA432" s="2" t="s">
        <v>151</v>
      </c>
      <c r="AB432" s="17" t="s">
        <v>149</v>
      </c>
      <c r="AC432" s="14" t="s">
        <v>150</v>
      </c>
      <c r="AD432" s="14" t="s">
        <v>145</v>
      </c>
      <c r="AE432" s="18"/>
      <c r="AF432" s="13">
        <v>-5.5</v>
      </c>
      <c r="AG432" s="13">
        <v>8</v>
      </c>
      <c r="AH432" s="19">
        <f t="shared" si="26"/>
        <v>8.2088732478946209</v>
      </c>
      <c r="AI432" s="19">
        <f t="shared" si="27"/>
        <v>35.91449326929785</v>
      </c>
      <c r="AJ432" s="2" t="s">
        <v>146</v>
      </c>
      <c r="AK432" s="13">
        <v>-3.5</v>
      </c>
      <c r="AL432" s="13">
        <v>5.5</v>
      </c>
      <c r="AM432" s="19">
        <f>IF(Abschlüsse[[#This Row],[Ergeb]]="ET","",SQRT(($AF432-$AK432)^2+($AG432-$AL432)^2))</f>
        <v>3.2015621187164243</v>
      </c>
      <c r="AN432" s="3">
        <v>0</v>
      </c>
      <c r="AO432" s="13"/>
      <c r="AP432" s="13"/>
      <c r="AQ432" s="19" t="str">
        <f t="shared" si="28"/>
        <v/>
      </c>
      <c r="AR432" s="3">
        <v>0</v>
      </c>
      <c r="AU432" s="19" t="str">
        <f t="shared" si="29"/>
        <v/>
      </c>
    </row>
    <row r="433" spans="1:47" ht="25.05" customHeight="1">
      <c r="A433" s="3">
        <v>16</v>
      </c>
      <c r="B433" s="2" t="s">
        <v>78</v>
      </c>
      <c r="C433" s="17" t="str">
        <f>IF($A433="","",IF(VLOOKUP($A433,Spiele!$A$2:$D$17,3,FALSE)=$B433,"H","G"))</f>
        <v>G</v>
      </c>
      <c r="D433" s="17" t="str">
        <f>IF($B433="","",IF(VLOOKUP($A433,Spiele!$A$2:$F$17,3,FALSE)=$B433,VLOOKUP($A433,Spiele!$A$2:$F$17,4,FALSE),VLOOKUP($A433,Spiele!$A$2:$F$17,3,FALSE)))</f>
        <v>FCN</v>
      </c>
      <c r="E433" s="18">
        <f>IF(Abschlüsse[[#This Row],[Ergeb]]="ET",0,COUNTIFS($A$2:$A433,$A433,$B$2:$B433,$B433,$L$2:$L433,"&lt;&gt;ET"))</f>
        <v>5</v>
      </c>
      <c r="F433" s="11">
        <v>80</v>
      </c>
      <c r="G433" s="12">
        <v>2</v>
      </c>
      <c r="H433" s="18">
        <f>COUNTIFS('Rote Karten'!$A$2:$A$4,$A433,'Rote Karten'!$D$2:$D$4,"&lt;&gt;"&amp;$B433,'Rote Karten'!$B$2:$B$4,"&lt;"&amp;$F433,'Rote Karten'!$C$2:$C$4,"&lt;="&amp;$G433)-COUNTIFS('Rote Karten'!$A$2:$A$4,$A433,'Rote Karten'!$D$2:$D$4,$B433,'Rote Karten'!$B$2:$B$4,"&lt;"&amp;$F433,'Rote Karten'!$C$2:$C$4,"&lt;="&amp;$G433)</f>
        <v>0</v>
      </c>
      <c r="I433" s="17" t="str">
        <f>IF(OR($L433="Tor",$L433="ET"),_xlfn.IFNA(IF(VLOOKUP($A433,Spiele!$A$2:$C$17,3,FALSE)=$B433,COUNTIFS($L$2:$L433,"Tor",$B$2:$B433,$B433,$A$2:$A433,$A433)+COUNTIFS($L$2:$L433,"ET",$B$2:$B433,$B433,$A$2:$A433,$A433)&amp;":"&amp;COUNTIFS($L$2:$L433,"Tor",$B$2:$B433,"&lt;&gt;"&amp;$B433,$A$2:$A433,$A433)+COUNTIFS($L$2:$L433,"ET",$B$2:$B433,"&lt;&gt;"&amp;$B433,$A$2:$A433,$A433),COUNTIFS($L$2:$L433,"Tor",$B$2:$B433,"&lt;&gt;"&amp;$B433,$A$2:$A433,$A433)+COUNTIFS($L$2:$L433,"ET",$B$2:$B433,"&lt;&gt;"&amp;$B433,$A$2:$A433,$A433)&amp;":"&amp;COUNTIFS($L$2:$L433,"Tor",$B$2:$B433,$B433,$A$2:$A433,$A433)+COUNTIFS($L$2:$L433,"ET",$B$2:$B433,$B433,$A$2:$A433,$A433)),""),"")</f>
        <v>5:2</v>
      </c>
      <c r="J433" s="18">
        <f>_xlfn.IFNA(IF(VLOOKUP($A433,Spiele!$A$2:$D$17,3,FALSE)=$B433,(COUNTIFS($L$1:$L432,"Tor",$B$1:$B432,$B433,$A$1:$A432,$A433)+COUNTIFS($L$1:$L432,"ET",$B$1:$B432,$B433,$A$1:$A432,$A433))-(COUNTIFS($L$1:$L432,"Tor",$B$1:$B432,"&lt;&gt;"&amp;$B433,$A$1:$A432,$A433)+COUNTIFS($L$1:$L432,"ET",$B$1:$B432,"&lt;&gt;"&amp;$B433,$A$1:$A432,$A433)),(COUNTIFS($L$1:$L432,"Tor",$B$1:$B432,$B433,$A$1:$A432,$A433)+COUNTIFS($L$1:$L432,"ET",$B$1:$B432,$B433,$A$1:$A432,$A433))-(COUNTIFS($L$1:$L432,"Tor",$B$1:$B432,"&lt;&gt;"&amp;$B433,$A$1:$A432,$A433)+COUNTIFS($L$1:$L432,"ET",$B$1:$B432,"&lt;&gt;"&amp;$B433,$A$1:$A432,$A433))),"")</f>
        <v>-4</v>
      </c>
      <c r="K433" s="3">
        <v>22</v>
      </c>
      <c r="L433" s="17" t="s">
        <v>0</v>
      </c>
      <c r="M433" s="2" t="s">
        <v>147</v>
      </c>
      <c r="N433" s="2" t="s">
        <v>165</v>
      </c>
      <c r="O433" s="17"/>
      <c r="AA433" s="2" t="s">
        <v>142</v>
      </c>
      <c r="AB433" s="17" t="s">
        <v>143</v>
      </c>
      <c r="AC433" s="14" t="s">
        <v>150</v>
      </c>
      <c r="AD433" s="14" t="s">
        <v>145</v>
      </c>
      <c r="AE433" s="18"/>
      <c r="AF433" s="13">
        <v>9.5</v>
      </c>
      <c r="AG433" s="13">
        <v>5</v>
      </c>
      <c r="AH433" s="19">
        <f t="shared" si="26"/>
        <v>7.6880166493055926</v>
      </c>
      <c r="AI433" s="19">
        <f t="shared" si="27"/>
        <v>19.76521327487772</v>
      </c>
      <c r="AJ433" s="2" t="s">
        <v>166</v>
      </c>
      <c r="AM433" s="19">
        <f>IF(Abschlüsse[[#This Row],[Ergeb]]="ET","",SQRT(($AF433-$AK433)^2+($AG433-$AL433)^2))</f>
        <v>10.735455276791944</v>
      </c>
      <c r="AN433" s="3">
        <v>1</v>
      </c>
      <c r="AO433" s="13">
        <v>7.5</v>
      </c>
      <c r="AP433" s="13">
        <v>5</v>
      </c>
      <c r="AQ433" s="19">
        <f t="shared" si="28"/>
        <v>2</v>
      </c>
      <c r="AR433" s="3">
        <v>0</v>
      </c>
      <c r="AU433" s="19" t="str">
        <f t="shared" si="29"/>
        <v/>
      </c>
    </row>
    <row r="435" spans="1:47" ht="25.05" customHeight="1">
      <c r="AC435" s="14"/>
      <c r="AD435" s="14"/>
    </row>
  </sheetData>
  <phoneticPr fontId="5" type="noConversion"/>
  <conditionalFormatting sqref="A2:E433">
    <cfRule type="expression" dxfId="40" priority="127">
      <formula>$C2="H"</formula>
    </cfRule>
  </conditionalFormatting>
  <conditionalFormatting sqref="K2:K433 M2:M433 AC2:AD433 AF2:AG433 AJ2:AL433 AN2:AN433 AR2:AR433">
    <cfRule type="cellIs" dxfId="39" priority="47" operator="notEqual">
      <formula>""</formula>
    </cfRule>
  </conditionalFormatting>
  <conditionalFormatting sqref="K2:M433 AA2:AG433 AJ2:AL433 AN2:AN433 AR2:AR433">
    <cfRule type="expression" dxfId="38" priority="50">
      <formula>$F2&lt;&gt;""</formula>
    </cfRule>
  </conditionalFormatting>
  <conditionalFormatting sqref="L2:L433 AB2:AB433 AE2:AE433">
    <cfRule type="cellIs" dxfId="37" priority="1" operator="notEqual">
      <formula>""</formula>
    </cfRule>
  </conditionalFormatting>
  <conditionalFormatting sqref="M436">
    <cfRule type="cellIs" dxfId="36" priority="122" operator="notEqual">
      <formula>""</formula>
    </cfRule>
    <cfRule type="expression" dxfId="35" priority="123">
      <formula>$F436&lt;&gt;""</formula>
    </cfRule>
  </conditionalFormatting>
  <conditionalFormatting sqref="M2:AU1048576">
    <cfRule type="expression" dxfId="34" priority="48">
      <formula>$L2="ET"</formula>
    </cfRule>
  </conditionalFormatting>
  <conditionalFormatting sqref="N2:N433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436:Z436">
    <cfRule type="expression" dxfId="23" priority="108">
      <formula>$M436="nFS"</formula>
    </cfRule>
    <cfRule type="expression" dxfId="22" priority="107">
      <formula>$M436="n11M"</formula>
    </cfRule>
    <cfRule type="expression" dxfId="21" priority="106">
      <formula>$M436="EW"</formula>
    </cfRule>
    <cfRule type="expression" dxfId="20" priority="105">
      <formula>$M436="nEW"</formula>
    </cfRule>
    <cfRule type="expression" dxfId="19" priority="109">
      <formula>$M436="nE"</formula>
    </cfRule>
    <cfRule type="expression" dxfId="18" priority="110">
      <formula>$M436="FSF"</formula>
    </cfRule>
    <cfRule type="expression" dxfId="17" priority="111">
      <formula>$M436="E"</formula>
    </cfRule>
    <cfRule type="expression" dxfId="16" priority="112">
      <formula>$M436="USO"</formula>
    </cfRule>
    <cfRule type="expression" dxfId="15" priority="124">
      <formula>$M436="EB"</formula>
    </cfRule>
  </conditionalFormatting>
  <conditionalFormatting sqref="N436:AA436">
    <cfRule type="cellIs" dxfId="14" priority="104" operator="notEqual">
      <formula>""</formula>
    </cfRule>
  </conditionalFormatting>
  <conditionalFormatting sqref="AA2:AA433">
    <cfRule type="expression" dxfId="13" priority="54">
      <formula>#REF!=1</formula>
    </cfRule>
    <cfRule type="cellIs" dxfId="12" priority="16" operator="notEqual">
      <formula>""</formula>
    </cfRule>
  </conditionalFormatting>
  <conditionalFormatting sqref="AA436">
    <cfRule type="expression" dxfId="11" priority="125">
      <formula>#REF!=1</formula>
    </cfRule>
  </conditionalFormatting>
  <conditionalFormatting sqref="AC435:AD435">
    <cfRule type="expression" dxfId="10" priority="100">
      <formula>$L435="ET"</formula>
    </cfRule>
    <cfRule type="cellIs" dxfId="9" priority="101" operator="notEqual">
      <formula>""</formula>
    </cfRule>
    <cfRule type="expression" dxfId="8" priority="102">
      <formula>$F435&lt;&gt;""</formula>
    </cfRule>
  </conditionalFormatting>
  <conditionalFormatting sqref="AE2:AE433">
    <cfRule type="expression" dxfId="7" priority="14">
      <formula>$B2&lt;&gt;"FCN"</formula>
    </cfRule>
    <cfRule type="expression" dxfId="6" priority="3">
      <formula>AND($L2="ET", $D2="FCN")</formula>
    </cfRule>
  </conditionalFormatting>
  <conditionalFormatting sqref="AK2:AL433">
    <cfRule type="expression" dxfId="5" priority="2">
      <formula>$AJ2="niT"</formula>
    </cfRule>
  </conditionalFormatting>
  <conditionalFormatting sqref="AO2:AP433">
    <cfRule type="expression" dxfId="4" priority="21">
      <formula>$AN2&gt;0</formula>
    </cfRule>
    <cfRule type="cellIs" dxfId="3" priority="18" operator="notEqual">
      <formula>""</formula>
    </cfRule>
  </conditionalFormatting>
  <conditionalFormatting sqref="AS2:AT433">
    <cfRule type="expression" dxfId="2" priority="55">
      <formula>$AR2&gt;0</formula>
    </cfRule>
    <cfRule type="cellIs" dxfId="1" priority="15" operator="notEqual">
      <formula>""</formula>
    </cfRule>
  </conditionalFormatting>
  <dataValidations count="17">
    <dataValidation type="list" allowBlank="1" showInputMessage="1" showErrorMessage="1" sqref="M436 M2:M433" xr:uid="{00000000-0002-0000-0000-000001000000}">
      <formula1>"EB, USO, E, FSS, FSF, nE, nFS, 11M, n11M, EW, nEW"</formula1>
    </dataValidation>
    <dataValidation type="list" allowBlank="1" showInputMessage="1" showErrorMessage="1" sqref="AA436" xr:uid="{00000000-0002-0000-0000-000003000000}">
      <formula1>"vB, As, adL"</formula1>
    </dataValidation>
    <dataValidation type="whole" allowBlank="1" showInputMessage="1" showErrorMessage="1" sqref="AA436 K2:K433" xr:uid="{00000000-0002-0000-0000-000009000000}">
      <formula1>1</formula1>
      <formula2>100</formula2>
    </dataValidation>
    <dataValidation type="list" allowBlank="1" showInputMessage="1" showErrorMessage="1" sqref="N436:Z436 N2:N433" xr:uid="{4E7924F3-E1D6-4CEC-89F5-E7EDABA1488E}">
      <formula1>"F, QP, CB, SP, TB, RP, KB, D, AP, NS, E, FSF, EW, ZK, GF"</formula1>
    </dataValidation>
    <dataValidation type="list" allowBlank="1" showInputMessage="1" showErrorMessage="1" sqref="L2:L433" xr:uid="{00000000-0002-0000-0000-000000000000}">
      <formula1>"Tor, Save, Vorbei, Block, Alu, TLK, ET"</formula1>
    </dataValidation>
    <dataValidation type="whole" allowBlank="1" showInputMessage="1" showErrorMessage="1" sqref="AR2:AR433 AN2:AN433" xr:uid="{00000000-0002-0000-0000-000005000000}">
      <formula1>0</formula1>
      <formula2>10</formula2>
    </dataValidation>
    <dataValidation type="list" allowBlank="1" showInputMessage="1" showErrorMessage="1" sqref="AC2:AC433" xr:uid="{00000000-0002-0000-0000-00000C000000}">
      <formula1>"Fuß, Kopf, Son"</formula1>
    </dataValidation>
    <dataValidation type="list" allowBlank="1" showInputMessage="1" showErrorMessage="1" sqref="AJ2:AJ433" xr:uid="{00000000-0002-0000-0000-00000E000000}">
      <formula1>"SB, nSB, niT"</formula1>
    </dataValidation>
    <dataValidation type="list" allowBlank="1" showInputMessage="1" showErrorMessage="1" sqref="AD2:AD433" xr:uid="{3049F233-6ADF-45B9-94F0-18F646E5F55A}">
      <formula1>"BzT, adD, RzT"</formula1>
    </dataValidation>
    <dataValidation type="whole" allowBlank="1" showInputMessage="1" showErrorMessage="1" sqref="A2:A433" xr:uid="{AFD00BA6-6B94-4FB3-9615-957FF7087FE5}">
      <formula1>1</formula1>
      <formula2>56</formula2>
    </dataValidation>
    <dataValidation type="whole" allowBlank="1" showInputMessage="1" showErrorMessage="1" sqref="G2:G433" xr:uid="{CE6964BC-C29C-4028-9295-92BC9841C3F5}">
      <formula1>1</formula1>
      <formula2>2</formula2>
    </dataValidation>
    <dataValidation type="decimal" allowBlank="1" showInputMessage="1" showErrorMessage="1" sqref="AS2:AS433 AO2:AO433 AK2:AK433 AF2:AF433" xr:uid="{1332B1E4-4905-4905-9FEE-DB1E7A56A0CF}">
      <formula1>-34</formula1>
      <formula2>34</formula2>
    </dataValidation>
    <dataValidation type="decimal" allowBlank="1" showInputMessage="1" showErrorMessage="1" sqref="AT2:AT433 AP2:AP433 AL2:AL433 AG2:AG433" xr:uid="{B259DCD2-13D4-4D69-8F35-042F7DB98FA7}">
      <formula1>0</formula1>
      <formula2>105</formula2>
    </dataValidation>
    <dataValidation type="list" allowBlank="1" showInputMessage="1" showErrorMessage="1" sqref="B2:B433" xr:uid="{DCEE5202-63DE-4F4D-821A-027A32C70C2E}">
      <formula1>Abkürzungen</formula1>
    </dataValidation>
    <dataValidation type="list" allowBlank="1" showInputMessage="1" showErrorMessage="1" sqref="AE2:AE433 O2:Z433" xr:uid="{5AE23A0E-4FFA-4979-B8E2-47521AB901D6}">
      <formula1>Nummern</formula1>
    </dataValidation>
    <dataValidation type="list" allowBlank="1" showInputMessage="1" showErrorMessage="1" sqref="AB2:AB433" xr:uid="{E65CAE3E-C5B8-46A3-A647-488F97992444}">
      <formula1>"L, R, K, S"</formula1>
    </dataValidation>
    <dataValidation type="list" allowBlank="1" showInputMessage="1" showErrorMessage="1" sqref="AA2:AA433" xr:uid="{A080DAA6-0E29-415D-B32E-A4D1310943E6}">
      <formula1>"vB, As, adL, nd"</formula1>
    </dataValidation>
  </dataValidations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4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12</v>
      </c>
      <c r="B11" s="23" t="s">
        <v>188</v>
      </c>
      <c r="C11" s="23" t="s">
        <v>189</v>
      </c>
      <c r="D11" s="2" t="s">
        <v>187</v>
      </c>
    </row>
    <row r="12" spans="1:4" ht="25.05" customHeight="1">
      <c r="A12" s="2">
        <v>11</v>
      </c>
      <c r="B12" s="23" t="s">
        <v>94</v>
      </c>
      <c r="C12" s="23" t="s">
        <v>95</v>
      </c>
      <c r="D12" s="2" t="s">
        <v>186</v>
      </c>
    </row>
    <row r="13" spans="1:4" ht="25.05" customHeight="1">
      <c r="A13" s="2">
        <v>13</v>
      </c>
      <c r="B13" s="23" t="s">
        <v>92</v>
      </c>
      <c r="C13" s="23" t="s">
        <v>93</v>
      </c>
      <c r="D13" s="2" t="s">
        <v>185</v>
      </c>
    </row>
    <row r="14" spans="1:4" ht="25.05" customHeight="1">
      <c r="A14" s="2">
        <v>14</v>
      </c>
      <c r="B14" s="23" t="s">
        <v>100</v>
      </c>
      <c r="C14" s="23" t="s">
        <v>101</v>
      </c>
      <c r="D14" s="2" t="s">
        <v>187</v>
      </c>
    </row>
    <row r="15" spans="1:4" ht="25.05" customHeight="1">
      <c r="A15" s="2">
        <v>16</v>
      </c>
      <c r="B15" s="23" t="s">
        <v>96</v>
      </c>
      <c r="C15" s="23" t="s">
        <v>97</v>
      </c>
      <c r="D15" s="2" t="s">
        <v>185</v>
      </c>
    </row>
    <row r="16" spans="1:4" ht="25.05" customHeight="1">
      <c r="A16" s="2">
        <v>18</v>
      </c>
      <c r="B16" s="23" t="s">
        <v>121</v>
      </c>
      <c r="C16" s="23" t="s">
        <v>122</v>
      </c>
      <c r="D16" s="2" t="s">
        <v>187</v>
      </c>
    </row>
    <row r="17" spans="1:4" ht="25.05" customHeight="1">
      <c r="A17" s="2">
        <v>19</v>
      </c>
      <c r="B17" s="23" t="s">
        <v>90</v>
      </c>
      <c r="C17" s="23" t="s">
        <v>91</v>
      </c>
      <c r="D17" s="2" t="s">
        <v>186</v>
      </c>
    </row>
    <row r="18" spans="1:4" ht="25.05" customHeight="1">
      <c r="A18" s="2">
        <v>20</v>
      </c>
      <c r="B18" s="23" t="s">
        <v>98</v>
      </c>
      <c r="C18" s="23" t="s">
        <v>99</v>
      </c>
      <c r="D18" s="2" t="s">
        <v>185</v>
      </c>
    </row>
    <row r="19" spans="1:4" ht="25.05" customHeight="1">
      <c r="A19" s="2">
        <v>21</v>
      </c>
      <c r="B19" s="23" t="s">
        <v>114</v>
      </c>
      <c r="C19" s="23" t="s">
        <v>113</v>
      </c>
      <c r="D19" s="2" t="s">
        <v>184</v>
      </c>
    </row>
    <row r="20" spans="1:4" ht="25.05" customHeight="1">
      <c r="A20" s="2">
        <v>22</v>
      </c>
      <c r="B20" s="23" t="s">
        <v>90</v>
      </c>
      <c r="C20" s="23" t="s">
        <v>127</v>
      </c>
      <c r="D20" s="2" t="s">
        <v>184</v>
      </c>
    </row>
    <row r="21" spans="1:4" ht="25.05" customHeight="1">
      <c r="A21" s="2">
        <v>23</v>
      </c>
      <c r="B21" s="23" t="s">
        <v>130</v>
      </c>
      <c r="C21" s="23" t="s">
        <v>131</v>
      </c>
      <c r="D21" s="2" t="s">
        <v>185</v>
      </c>
    </row>
    <row r="22" spans="1:4" ht="25.05" customHeight="1">
      <c r="A22" s="2">
        <v>25</v>
      </c>
      <c r="B22" s="23" t="s">
        <v>102</v>
      </c>
      <c r="C22" s="23" t="s">
        <v>103</v>
      </c>
      <c r="D22" s="2" t="s">
        <v>187</v>
      </c>
    </row>
    <row r="23" spans="1:4" ht="25.05" customHeight="1">
      <c r="A23" s="2">
        <v>26</v>
      </c>
      <c r="B23" s="23" t="s">
        <v>108</v>
      </c>
      <c r="C23" s="23" t="s">
        <v>109</v>
      </c>
      <c r="D23" s="2" t="s">
        <v>186</v>
      </c>
    </row>
    <row r="24" spans="1:4" ht="25.05" customHeight="1">
      <c r="A24" s="2">
        <v>27</v>
      </c>
      <c r="B24" s="23" t="s">
        <v>104</v>
      </c>
      <c r="C24" s="23" t="s">
        <v>105</v>
      </c>
      <c r="D24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2026-03-02T12:10:21Z</dcterms:modified>
</cp:coreProperties>
</file>