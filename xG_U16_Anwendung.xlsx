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9E63D6D0-13BE-4566-8FBB-18FA14C6C27B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9" i="2" l="1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H308" i="2"/>
  <c r="I308" i="2"/>
  <c r="J308" i="2"/>
  <c r="H309" i="2"/>
  <c r="I309" i="2"/>
  <c r="J309" i="2"/>
  <c r="H310" i="2"/>
  <c r="I310" i="2"/>
  <c r="J310" i="2"/>
  <c r="H311" i="2"/>
  <c r="I311" i="2"/>
  <c r="J311" i="2"/>
  <c r="H312" i="2"/>
  <c r="I312" i="2"/>
  <c r="J312" i="2"/>
  <c r="H313" i="2"/>
  <c r="I313" i="2"/>
  <c r="J313" i="2"/>
  <c r="H314" i="2"/>
  <c r="I314" i="2"/>
  <c r="J314" i="2"/>
  <c r="H315" i="2"/>
  <c r="I315" i="2"/>
  <c r="J315" i="2"/>
  <c r="H316" i="2"/>
  <c r="I316" i="2"/>
  <c r="J316" i="2"/>
  <c r="H317" i="2"/>
  <c r="I317" i="2"/>
  <c r="J317" i="2"/>
  <c r="H318" i="2"/>
  <c r="I318" i="2"/>
  <c r="J318" i="2"/>
  <c r="H319" i="2"/>
  <c r="I319" i="2"/>
  <c r="J319" i="2"/>
  <c r="H320" i="2"/>
  <c r="I320" i="2"/>
  <c r="J320" i="2"/>
  <c r="H321" i="2"/>
  <c r="I321" i="2"/>
  <c r="J321" i="2"/>
  <c r="H322" i="2"/>
  <c r="I322" i="2"/>
  <c r="J322" i="2"/>
  <c r="H323" i="2"/>
  <c r="I323" i="2"/>
  <c r="J323" i="2"/>
  <c r="H324" i="2"/>
  <c r="I324" i="2"/>
  <c r="J324" i="2"/>
  <c r="H325" i="2"/>
  <c r="I325" i="2"/>
  <c r="J325" i="2"/>
  <c r="H326" i="2"/>
  <c r="I326" i="2"/>
  <c r="J326" i="2"/>
  <c r="H327" i="2"/>
  <c r="I327" i="2"/>
  <c r="J327" i="2"/>
  <c r="H328" i="2"/>
  <c r="I328" i="2"/>
  <c r="J328" i="2"/>
  <c r="H329" i="2"/>
  <c r="I329" i="2"/>
  <c r="J329" i="2"/>
  <c r="H330" i="2"/>
  <c r="I330" i="2"/>
  <c r="J330" i="2"/>
  <c r="H331" i="2"/>
  <c r="I331" i="2"/>
  <c r="J331" i="2"/>
  <c r="H332" i="2"/>
  <c r="I332" i="2"/>
  <c r="J332" i="2"/>
  <c r="H333" i="2"/>
  <c r="I333" i="2"/>
  <c r="J333" i="2"/>
  <c r="H334" i="2"/>
  <c r="I334" i="2"/>
  <c r="J334" i="2"/>
  <c r="H335" i="2"/>
  <c r="I335" i="2"/>
  <c r="J335" i="2"/>
  <c r="H336" i="2"/>
  <c r="I336" i="2"/>
  <c r="J336" i="2"/>
  <c r="H337" i="2"/>
  <c r="I337" i="2"/>
  <c r="J337" i="2"/>
  <c r="H338" i="2"/>
  <c r="I338" i="2"/>
  <c r="J338" i="2"/>
  <c r="H339" i="2"/>
  <c r="I339" i="2"/>
  <c r="J339" i="2"/>
  <c r="H340" i="2"/>
  <c r="I340" i="2"/>
  <c r="J340" i="2"/>
  <c r="H341" i="2"/>
  <c r="I341" i="2"/>
  <c r="J341" i="2"/>
  <c r="H342" i="2"/>
  <c r="I342" i="2"/>
  <c r="J342" i="2"/>
  <c r="H343" i="2"/>
  <c r="I343" i="2"/>
  <c r="J343" i="2"/>
  <c r="H344" i="2"/>
  <c r="I344" i="2"/>
  <c r="J344" i="2"/>
  <c r="H345" i="2"/>
  <c r="I345" i="2"/>
  <c r="J345" i="2"/>
  <c r="H346" i="2"/>
  <c r="I346" i="2"/>
  <c r="J346" i="2"/>
  <c r="H347" i="2"/>
  <c r="I347" i="2"/>
  <c r="J347" i="2"/>
  <c r="H348" i="2"/>
  <c r="I348" i="2"/>
  <c r="J348" i="2"/>
  <c r="H349" i="2"/>
  <c r="I349" i="2"/>
  <c r="J349" i="2"/>
  <c r="H350" i="2"/>
  <c r="I350" i="2"/>
  <c r="J350" i="2"/>
  <c r="H351" i="2"/>
  <c r="I351" i="2"/>
  <c r="J351" i="2"/>
  <c r="H352" i="2"/>
  <c r="I352" i="2"/>
  <c r="J352" i="2"/>
  <c r="H353" i="2"/>
  <c r="I353" i="2"/>
  <c r="J353" i="2"/>
  <c r="H354" i="2"/>
  <c r="I354" i="2"/>
  <c r="J354" i="2"/>
  <c r="H355" i="2"/>
  <c r="I355" i="2"/>
  <c r="J355" i="2"/>
  <c r="H356" i="2"/>
  <c r="I356" i="2"/>
  <c r="J356" i="2"/>
  <c r="H357" i="2"/>
  <c r="I357" i="2"/>
  <c r="J357" i="2"/>
  <c r="H358" i="2"/>
  <c r="I358" i="2"/>
  <c r="J358" i="2"/>
  <c r="H359" i="2"/>
  <c r="I359" i="2"/>
  <c r="J359" i="2"/>
  <c r="H360" i="2"/>
  <c r="I360" i="2"/>
  <c r="J360" i="2"/>
  <c r="H361" i="2"/>
  <c r="I361" i="2"/>
  <c r="J361" i="2"/>
  <c r="H362" i="2"/>
  <c r="I362" i="2"/>
  <c r="J362" i="2"/>
  <c r="H363" i="2"/>
  <c r="I363" i="2"/>
  <c r="J363" i="2"/>
  <c r="H364" i="2"/>
  <c r="I364" i="2"/>
  <c r="J364" i="2"/>
  <c r="H365" i="2"/>
  <c r="I365" i="2"/>
  <c r="J365" i="2"/>
  <c r="H366" i="2"/>
  <c r="I366" i="2"/>
  <c r="J366" i="2"/>
  <c r="H367" i="2"/>
  <c r="I367" i="2"/>
  <c r="J367" i="2"/>
  <c r="H368" i="2"/>
  <c r="I368" i="2"/>
  <c r="J368" i="2"/>
  <c r="H369" i="2"/>
  <c r="I369" i="2"/>
  <c r="J369" i="2"/>
  <c r="H370" i="2"/>
  <c r="I370" i="2"/>
  <c r="J370" i="2"/>
  <c r="H371" i="2"/>
  <c r="I371" i="2"/>
  <c r="J371" i="2"/>
  <c r="H372" i="2"/>
  <c r="I372" i="2"/>
  <c r="J372" i="2"/>
  <c r="H373" i="2"/>
  <c r="I373" i="2"/>
  <c r="J373" i="2"/>
  <c r="H374" i="2"/>
  <c r="I374" i="2"/>
  <c r="J374" i="2"/>
  <c r="H375" i="2"/>
  <c r="I375" i="2"/>
  <c r="J375" i="2"/>
  <c r="H376" i="2"/>
  <c r="I376" i="2"/>
  <c r="J376" i="2"/>
  <c r="H377" i="2"/>
  <c r="I377" i="2"/>
  <c r="J377" i="2"/>
  <c r="H378" i="2"/>
  <c r="I378" i="2"/>
  <c r="J378" i="2"/>
  <c r="H379" i="2"/>
  <c r="I379" i="2"/>
  <c r="J379" i="2"/>
  <c r="H380" i="2"/>
  <c r="I380" i="2"/>
  <c r="J380" i="2"/>
  <c r="H381" i="2"/>
  <c r="I381" i="2"/>
  <c r="J381" i="2"/>
  <c r="H382" i="2"/>
  <c r="I382" i="2"/>
  <c r="J382" i="2"/>
  <c r="H383" i="2"/>
  <c r="I383" i="2"/>
  <c r="J383" i="2"/>
  <c r="H384" i="2"/>
  <c r="I384" i="2"/>
  <c r="J384" i="2"/>
  <c r="H385" i="2"/>
  <c r="I385" i="2"/>
  <c r="J385" i="2"/>
  <c r="H386" i="2"/>
  <c r="I386" i="2"/>
  <c r="J386" i="2"/>
  <c r="H387" i="2"/>
  <c r="I387" i="2"/>
  <c r="J387" i="2"/>
  <c r="H388" i="2"/>
  <c r="I388" i="2"/>
  <c r="J388" i="2"/>
  <c r="H389" i="2"/>
  <c r="I389" i="2"/>
  <c r="J389" i="2"/>
  <c r="H390" i="2"/>
  <c r="I390" i="2"/>
  <c r="J390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D2" i="2"/>
  <c r="C2" i="2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<sst xmlns="http://schemas.openxmlformats.org/spreadsheetml/2006/main" count="3659" uniqueCount="188">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</sst>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SUM(COUNTIFS(Abschlüsse!$A$2:$A$390,$A2,Abschlüsse!$B$2:$B$390,$C2,Abschlüsse!$L$2:$L$390,"Tor"),COUNTIFS(Abschlüsse!$A$2:$A$390,$A2,Abschlüsse!$B$2:$B$390,$C2,Abschlüsse!$L$2:$L$390,"ET"))</calculatedColumnFormula>
    </tableColumn>
    <tableColumn id="14" xr3:uid="{C91559F3-290E-4254-BCA6-0153E99BEA95}" name="TG" dataDxfId="121">
      <calculatedColumnFormula>SUM(COUNTIFS(Abschlüsse!$A$2:$A$390,$A2,Abschlüsse!$B$2:$B$390,$D2,Abschlüsse!$L$2:$L$390,"Tor"),COUNTIFS(Abschlüsse!$A$2:$A$390,$A2,Abschlüsse!$B$2:$B$390,$D2,Abschlüsse!$L$2:$L$390,"ET"))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390" totalsRowShown="0" headerRowDxfId="103" dataDxfId="102" headerRowCellStyle="Standard 2">
  <autoFilter ref="A1:AU390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 activeCell="A16" sqref="A16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SUM(COUNTIFS(Abschlüsse!$A$2:$A$390,$A2,Abschlüsse!$B$2:$B$390,$C2,Abschlüsse!$L$2:$L$390,"Tor"),COUNTIFS(Abschlüsse!$A$2:$A$390,$A2,Abschlüsse!$B$2:$B$390,$C2,Abschlüsse!$L$2:$L$390,"ET"))</f>
        <v>4</v>
      </c>
      <c r="H2" s="18">
        <f>SUM(COUNTIFS(Abschlüsse!$A$2:$A$390,$A2,Abschlüsse!$B$2:$B$390,$D2,Abschlüsse!$L$2:$L$390,"Tor"),COUNTIFS(Abschlüsse!$A$2:$A$390,$A2,Abschlüsse!$B$2:$B$390,$D2,Abschlüsse!$L$2:$L$390,"ET"))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SUM(COUNTIFS(Abschlüsse!$A$2:$A$390,$A3,Abschlüsse!$B$2:$B$390,$C3,Abschlüsse!$L$2:$L$390,"Tor"),COUNTIFS(Abschlüsse!$A$2:$A$390,$A3,Abschlüsse!$B$2:$B$390,$C3,Abschlüsse!$L$2:$L$390,"ET"))</f>
        <v>2</v>
      </c>
      <c r="H3" s="18">
        <f>SUM(COUNTIFS(Abschlüsse!$A$2:$A$390,$A3,Abschlüsse!$B$2:$B$390,$D3,Abschlüsse!$L$2:$L$390,"Tor"),COUNTIFS(Abschlüsse!$A$2:$A$390,$A3,Abschlüsse!$B$2:$B$390,$D3,Abschlüsse!$L$2:$L$390,"ET"))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SUM(COUNTIFS(Abschlüsse!$A$2:$A$390,$A4,Abschlüsse!$B$2:$B$390,$C4,Abschlüsse!$L$2:$L$390,"Tor"),COUNTIFS(Abschlüsse!$A$2:$A$390,$A4,Abschlüsse!$B$2:$B$390,$C4,Abschlüsse!$L$2:$L$390,"ET"))</f>
        <v>4</v>
      </c>
      <c r="H4" s="18">
        <f>SUM(COUNTIFS(Abschlüsse!$A$2:$A$390,$A4,Abschlüsse!$B$2:$B$390,$D4,Abschlüsse!$L$2:$L$390,"Tor"),COUNTIFS(Abschlüsse!$A$2:$A$390,$A4,Abschlüsse!$B$2:$B$390,$D4,Abschlüsse!$L$2:$L$390,"ET"))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SUM(COUNTIFS(Abschlüsse!$A$2:$A$390,$A5,Abschlüsse!$B$2:$B$390,$C5,Abschlüsse!$L$2:$L$390,"Tor"),COUNTIFS(Abschlüsse!$A$2:$A$390,$A5,Abschlüsse!$B$2:$B$390,$C5,Abschlüsse!$L$2:$L$390,"ET"))</f>
        <v>0</v>
      </c>
      <c r="H5" s="18">
        <f>SUM(COUNTIFS(Abschlüsse!$A$2:$A$390,$A5,Abschlüsse!$B$2:$B$390,$D5,Abschlüsse!$L$2:$L$390,"Tor"),COUNTIFS(Abschlüsse!$A$2:$A$390,$A5,Abschlüsse!$B$2:$B$390,$D5,Abschlüsse!$L$2:$L$390,"ET"))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SUM(COUNTIFS(Abschlüsse!$A$2:$A$390,$A6,Abschlüsse!$B$2:$B$390,$C6,Abschlüsse!$L$2:$L$390,"Tor"),COUNTIFS(Abschlüsse!$A$2:$A$390,$A6,Abschlüsse!$B$2:$B$390,$C6,Abschlüsse!$L$2:$L$390,"ET"))</f>
        <v>2</v>
      </c>
      <c r="H6" s="18">
        <f>SUM(COUNTIFS(Abschlüsse!$A$2:$A$390,$A6,Abschlüsse!$B$2:$B$390,$D6,Abschlüsse!$L$2:$L$390,"Tor"),COUNTIFS(Abschlüsse!$A$2:$A$390,$A6,Abschlüsse!$B$2:$B$390,$D6,Abschlüsse!$L$2:$L$390,"ET"))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SUM(COUNTIFS(Abschlüsse!$A$2:$A$390,$A7,Abschlüsse!$B$2:$B$390,$C7,Abschlüsse!$L$2:$L$390,"Tor"),COUNTIFS(Abschlüsse!$A$2:$A$390,$A7,Abschlüsse!$B$2:$B$390,$C7,Abschlüsse!$L$2:$L$390,"ET"))</f>
        <v>4</v>
      </c>
      <c r="H7" s="18">
        <f>SUM(COUNTIFS(Abschlüsse!$A$2:$A$390,$A7,Abschlüsse!$B$2:$B$390,$D7,Abschlüsse!$L$2:$L$390,"Tor"),COUNTIFS(Abschlüsse!$A$2:$A$390,$A7,Abschlüsse!$B$2:$B$390,$D7,Abschlüsse!$L$2:$L$390,"ET"))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SUM(COUNTIFS(Abschlüsse!$A$2:$A$390,$A8,Abschlüsse!$B$2:$B$390,$C8,Abschlüsse!$L$2:$L$390,"Tor"),COUNTIFS(Abschlüsse!$A$2:$A$390,$A8,Abschlüsse!$B$2:$B$390,$C8,Abschlüsse!$L$2:$L$390,"ET"))</f>
        <v>2</v>
      </c>
      <c r="H8" s="18">
        <f>SUM(COUNTIFS(Abschlüsse!$A$2:$A$390,$A8,Abschlüsse!$B$2:$B$390,$D8,Abschlüsse!$L$2:$L$390,"Tor"),COUNTIFS(Abschlüsse!$A$2:$A$390,$A8,Abschlüsse!$B$2:$B$390,$D8,Abschlüsse!$L$2:$L$390,"ET"))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SUM(COUNTIFS(Abschlüsse!$A$2:$A$390,$A9,Abschlüsse!$B$2:$B$390,$C9,Abschlüsse!$L$2:$L$390,"Tor"),COUNTIFS(Abschlüsse!$A$2:$A$390,$A9,Abschlüsse!$B$2:$B$390,$C9,Abschlüsse!$L$2:$L$390,"ET"))</f>
        <v>2</v>
      </c>
      <c r="H9" s="18">
        <f>SUM(COUNTIFS(Abschlüsse!$A$2:$A$390,$A9,Abschlüsse!$B$2:$B$390,$D9,Abschlüsse!$L$2:$L$390,"Tor"),COUNTIFS(Abschlüsse!$A$2:$A$390,$A9,Abschlüsse!$B$2:$B$390,$D9,Abschlüsse!$L$2:$L$390,"ET"))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SUM(COUNTIFS(Abschlüsse!$A$2:$A$390,$A10,Abschlüsse!$B$2:$B$390,$C10,Abschlüsse!$L$2:$L$390,"Tor"),COUNTIFS(Abschlüsse!$A$2:$A$390,$A10,Abschlüsse!$B$2:$B$390,$C10,Abschlüsse!$L$2:$L$390,"ET"))</f>
        <v>2</v>
      </c>
      <c r="H10" s="18">
        <f>SUM(COUNTIFS(Abschlüsse!$A$2:$A$390,$A10,Abschlüsse!$B$2:$B$390,$D10,Abschlüsse!$L$2:$L$390,"Tor"),COUNTIFS(Abschlüsse!$A$2:$A$390,$A10,Abschlüsse!$B$2:$B$390,$D10,Abschlüsse!$L$2:$L$390,"ET"))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SUM(COUNTIFS(Abschlüsse!$A$2:$A$390,$A11,Abschlüsse!$B$2:$B$390,$C11,Abschlüsse!$L$2:$L$390,"Tor"),COUNTIFS(Abschlüsse!$A$2:$A$390,$A11,Abschlüsse!$B$2:$B$390,$C11,Abschlüsse!$L$2:$L$390,"ET"))</f>
        <v>2</v>
      </c>
      <c r="H11" s="18">
        <f>SUM(COUNTIFS(Abschlüsse!$A$2:$A$390,$A11,Abschlüsse!$B$2:$B$390,$D11,Abschlüsse!$L$2:$L$390,"Tor"),COUNTIFS(Abschlüsse!$A$2:$A$390,$A11,Abschlüsse!$B$2:$B$390,$D11,Abschlüsse!$L$2:$L$390,"ET"))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SUM(COUNTIFS(Abschlüsse!$A$2:$A$390,$A12,Abschlüsse!$B$2:$B$390,$C12,Abschlüsse!$L$2:$L$390,"Tor"),COUNTIFS(Abschlüsse!$A$2:$A$390,$A12,Abschlüsse!$B$2:$B$390,$C12,Abschlüsse!$L$2:$L$390,"ET"))</f>
        <v>3</v>
      </c>
      <c r="H12" s="18">
        <f>SUM(COUNTIFS(Abschlüsse!$A$2:$A$390,$A12,Abschlüsse!$B$2:$B$390,$D12,Abschlüsse!$L$2:$L$390,"Tor"),COUNTIFS(Abschlüsse!$A$2:$A$390,$A12,Abschlüsse!$B$2:$B$390,$D12,Abschlüsse!$L$2:$L$390,"ET"))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SUM(COUNTIFS(Abschlüsse!$A$2:$A$390,$A13,Abschlüsse!$B$2:$B$390,$C13,Abschlüsse!$L$2:$L$390,"Tor"),COUNTIFS(Abschlüsse!$A$2:$A$390,$A13,Abschlüsse!$B$2:$B$390,$C13,Abschlüsse!$L$2:$L$390,"ET"))</f>
        <v>5</v>
      </c>
      <c r="H13" s="18">
        <f>SUM(COUNTIFS(Abschlüsse!$A$2:$A$390,$A13,Abschlüsse!$B$2:$B$390,$D13,Abschlüsse!$L$2:$L$390,"Tor"),COUNTIFS(Abschlüsse!$A$2:$A$390,$A13,Abschlüsse!$B$2:$B$390,$D13,Abschlüsse!$L$2:$L$390,"ET"))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SUM(COUNTIFS(Abschlüsse!$A$2:$A$390,$A14,Abschlüsse!$B$2:$B$390,$C14,Abschlüsse!$L$2:$L$390,"Tor"),COUNTIFS(Abschlüsse!$A$2:$A$390,$A14,Abschlüsse!$B$2:$B$390,$C14,Abschlüsse!$L$2:$L$390,"ET"))</f>
        <v>1</v>
      </c>
      <c r="H14" s="18">
        <f>SUM(COUNTIFS(Abschlüsse!$A$2:$A$390,$A14,Abschlüsse!$B$2:$B$390,$D14,Abschlüsse!$L$2:$L$390,"Tor"),COUNTIFS(Abschlüsse!$A$2:$A$390,$A14,Abschlüsse!$B$2:$B$390,$D14,Abschlüsse!$L$2:$L$390,"ET"))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SUM(COUNTIFS(Abschlüsse!$A$2:$A$390,$A15,Abschlüsse!$B$2:$B$390,$C15,Abschlüsse!$L$2:$L$390,"Tor"),COUNTIFS(Abschlüsse!$A$2:$A$390,$A15,Abschlüsse!$B$2:$B$390,$C15,Abschlüsse!$L$2:$L$390,"ET"))</f>
        <v>2</v>
      </c>
      <c r="H15" s="18">
        <f>SUM(COUNTIFS(Abschlüsse!$A$2:$A$390,$A15,Abschlüsse!$B$2:$B$390,$D15,Abschlüsse!$L$2:$L$390,"Tor"),COUNTIFS(Abschlüsse!$A$2:$A$390,$A15,Abschlüsse!$B$2:$B$390,$D15,Abschlüsse!$L$2:$L$390,"ET"))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</sheetData>
  <conditionalFormatting sqref="A2:J15">
    <cfRule type="expression" dxfId="44" priority="112">
      <formula>ISEVEN($A2)</formula>
    </cfRule>
  </conditionalFormatting>
  <dataValidations count="1">
    <dataValidation type="list" allowBlank="1" showInputMessage="1" showErrorMessage="1" sqref="C2:D15" xr:uid="{E461B5C0-A978-448E-A692-E753847D78BA}">
      <formula1>Abkürzungen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 activeCell="A210" sqref="A210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dataValidations count="2">
    <dataValidation type="list" allowBlank="1" showInputMessage="1" showErrorMessage="1" sqref="B2:B209" xr:uid="{ABD24230-2887-408D-9108-696CE962B847}">
      <formula1>Nummern</formula1>
    </dataValidation>
    <dataValidation type="whole" allowBlank="1" showInputMessage="1" showErrorMessage="1" sqref="C2:F209" xr:uid="{C19F9332-95DD-4695-BBD1-852568F9BA39}">
      <formula1>1</formula1>
      <formula2>90</formula2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 activeCell="A5" sqref="A5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dataValidations count="1">
    <dataValidation type="list" allowBlank="1" showInputMessage="1" showErrorMessage="1" sqref="E2:E4" xr:uid="{BAF3CC5E-5D9F-4B3F-9A83-D05CF220C5DB}">
      <formula1>Nummern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717B19-C050-4B35-BEF7-89AC01D64064}">
          <x14:formula1>
            <xm:f>Teams!$A$2:$A$16</xm:f>
          </x14:formula1>
          <xm:sqref>D2:D4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92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162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162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6</v>
      </c>
      <c r="AG247" s="13">
        <v>1</v>
      </c>
      <c r="AH247" s="19">
        <f t="shared" si="12"/>
        <v>2.5447200238926087</v>
      </c>
      <c r="AI247" s="19">
        <f t="shared" si="13"/>
        <v>17.229273479884245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IF($A254="","",IF(VLOOKUP($A254,Spiele!$A$2:$D$15,3,FALSE)=$B254,"H","G"))</f>
        <v>H</v>
      </c>
      <c r="D254" s="17" t="str">
        <f>IF($B254="","",IF(VLOOKUP($A254,Spiele!$A$2:$F$15,3,FALSE)=$B254,VLOOKUP($A254,Spiele!$A$2:$F$15,4,FALSE),VLOOKUP($A254,Spiele!$A$2:$F$15,3,FALSE)))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IF($A255="","",IF(VLOOKUP($A255,Spiele!$A$2:$D$15,3,FALSE)=$B255,"H","G"))</f>
        <v>H</v>
      </c>
      <c r="D255" s="17" t="str">
        <f>IF($B255="","",IF(VLOOKUP($A255,Spiele!$A$2:$F$15,3,FALSE)=$B255,VLOOKUP($A255,Spiele!$A$2:$F$15,4,FALSE),VLOOKUP($A255,Spiele!$A$2:$F$15,3,FALSE)))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IF($A256="","",IF(VLOOKUP($A256,Spiele!$A$2:$D$15,3,FALSE)=$B256,"H","G"))</f>
        <v>G</v>
      </c>
      <c r="D256" s="17" t="str">
        <f>IF($B256="","",IF(VLOOKUP($A256,Spiele!$A$2:$F$15,3,FALSE)=$B256,VLOOKUP($A256,Spiele!$A$2:$F$15,4,FALSE),VLOOKUP($A256,Spiele!$A$2:$F$15,3,FALSE)))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IF($A257="","",IF(VLOOKUP($A257,Spiele!$A$2:$D$15,3,FALSE)=$B257,"H","G"))</f>
        <v>H</v>
      </c>
      <c r="D257" s="17" t="str">
        <f>IF($B257="","",IF(VLOOKUP($A257,Spiele!$A$2:$F$15,3,FALSE)=$B257,VLOOKUP($A257,Spiele!$A$2:$F$15,4,FALSE),VLOOKUP($A257,Spiele!$A$2:$F$15,3,FALSE)))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IF($A258="","",IF(VLOOKUP($A258,Spiele!$A$2:$D$15,3,FALSE)=$B258,"H","G"))</f>
        <v>G</v>
      </c>
      <c r="D258" s="17" t="str">
        <f>IF($B258="","",IF(VLOOKUP($A258,Spiele!$A$2:$F$15,3,FALSE)=$B258,VLOOKUP($A258,Spiele!$A$2:$F$15,4,FALSE),VLOOKUP($A258,Spiele!$A$2:$F$15,3,FALSE)))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IF($A263="","",IF(VLOOKUP($A263,Spiele!$A$2:$D$15,3,FALSE)=$B263,"H","G"))</f>
        <v>G</v>
      </c>
      <c r="D263" s="17" t="str">
        <f>IF($B263="","",IF(VLOOKUP($A263,Spiele!$A$2:$F$15,3,FALSE)=$B263,VLOOKUP($A263,Spiele!$A$2:$F$15,4,FALSE),VLOOKUP($A263,Spiele!$A$2:$F$15,3,FALSE)))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IF($A265="","",IF(VLOOKUP($A265,Spiele!$A$2:$D$15,3,FALSE)=$B265,"H","G"))</f>
        <v>H</v>
      </c>
      <c r="D265" s="17" t="str">
        <f>IF($B265="","",IF(VLOOKUP($A265,Spiele!$A$2:$F$15,3,FALSE)=$B265,VLOOKUP($A265,Spiele!$A$2:$F$15,4,FALSE),VLOOKUP($A265,Spiele!$A$2:$F$15,3,FALSE)))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IF($A267="","",IF(VLOOKUP($A267,Spiele!$A$2:$D$15,3,FALSE)=$B267,"H","G"))</f>
        <v>H</v>
      </c>
      <c r="D267" s="17" t="str">
        <f>IF($B267="","",IF(VLOOKUP($A267,Spiele!$A$2:$F$15,3,FALSE)=$B267,VLOOKUP($A267,Spiele!$A$2:$F$15,4,FALSE),VLOOKUP($A267,Spiele!$A$2:$F$15,3,FALSE)))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IF($A268="","",IF(VLOOKUP($A268,Spiele!$A$2:$D$15,3,FALSE)=$B268,"H","G"))</f>
        <v>H</v>
      </c>
      <c r="D268" s="17" t="str">
        <f>IF($B268="","",IF(VLOOKUP($A268,Spiele!$A$2:$F$15,3,FALSE)=$B268,VLOOKUP($A268,Spiele!$A$2:$F$15,4,FALSE),VLOOKUP($A268,Spiele!$A$2:$F$15,3,FALSE)))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IF($A271="","",IF(VLOOKUP($A271,Spiele!$A$2:$D$15,3,FALSE)=$B271,"H","G"))</f>
        <v>H</v>
      </c>
      <c r="D271" s="17" t="str">
        <f>IF($B271="","",IF(VLOOKUP($A271,Spiele!$A$2:$F$15,3,FALSE)=$B271,VLOOKUP($A271,Spiele!$A$2:$F$15,4,FALSE),VLOOKUP($A271,Spiele!$A$2:$F$15,3,FALSE)))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IF($A274="","",IF(VLOOKUP($A274,Spiele!$A$2:$D$15,3,FALSE)=$B274,"H","G"))</f>
        <v>G</v>
      </c>
      <c r="D274" s="17" t="str">
        <f>IF($B274="","",IF(VLOOKUP($A274,Spiele!$A$2:$F$15,3,FALSE)=$B274,VLOOKUP($A274,Spiele!$A$2:$F$15,4,FALSE),VLOOKUP($A274,Spiele!$A$2:$F$15,3,FALSE)))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IF($A276="","",IF(VLOOKUP($A276,Spiele!$A$2:$D$15,3,FALSE)=$B276,"H","G"))</f>
        <v>H</v>
      </c>
      <c r="D276" s="17" t="str">
        <f>IF($B276="","",IF(VLOOKUP($A276,Spiele!$A$2:$F$15,3,FALSE)=$B276,VLOOKUP($A276,Spiele!$A$2:$F$15,4,FALSE),VLOOKUP($A276,Spiele!$A$2:$F$15,3,FALSE)))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IF($A278="","",IF(VLOOKUP($A278,Spiele!$A$2:$D$15,3,FALSE)=$B278,"H","G"))</f>
        <v>G</v>
      </c>
      <c r="D278" s="17" t="str">
        <f>IF($B278="","",IF(VLOOKUP($A278,Spiele!$A$2:$F$15,3,FALSE)=$B278,VLOOKUP($A278,Spiele!$A$2:$F$15,4,FALSE),VLOOKUP($A278,Spiele!$A$2:$F$15,3,FALSE)))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IF($A279="","",IF(VLOOKUP($A279,Spiele!$A$2:$D$15,3,FALSE)=$B279,"H","G"))</f>
        <v>G</v>
      </c>
      <c r="D279" s="17" t="str">
        <f>IF($B279="","",IF(VLOOKUP($A279,Spiele!$A$2:$F$15,3,FALSE)=$B279,VLOOKUP($A279,Spiele!$A$2:$F$15,4,FALSE),VLOOKUP($A279,Spiele!$A$2:$F$15,3,FALSE)))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IF($A280="","",IF(VLOOKUP($A280,Spiele!$A$2:$D$15,3,FALSE)=$B280,"H","G"))</f>
        <v>H</v>
      </c>
      <c r="D280" s="17" t="str">
        <f>IF($B280="","",IF(VLOOKUP($A280,Spiele!$A$2:$F$15,3,FALSE)=$B280,VLOOKUP($A280,Spiele!$A$2:$F$15,4,FALSE),VLOOKUP($A280,Spiele!$A$2:$F$15,3,FALSE)))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IF($A281="","",IF(VLOOKUP($A281,Spiele!$A$2:$D$15,3,FALSE)=$B281,"H","G"))</f>
        <v>G</v>
      </c>
      <c r="D281" s="17" t="str">
        <f>IF($B281="","",IF(VLOOKUP($A281,Spiele!$A$2:$F$15,3,FALSE)=$B281,VLOOKUP($A281,Spiele!$A$2:$F$15,4,FALSE),VLOOKUP($A281,Spiele!$A$2:$F$15,3,FALSE)))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IF($A282="","",IF(VLOOKUP($A282,Spiele!$A$2:$D$15,3,FALSE)=$B282,"H","G"))</f>
        <v>H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IF($A283="","",IF(VLOOKUP($A283,Spiele!$A$2:$D$15,3,FALSE)=$B283,"H","G"))</f>
        <v>G</v>
      </c>
      <c r="D283" s="17" t="str">
        <f>IF($B283="","",IF(VLOOKUP($A283,Spiele!$A$2:$F$15,3,FALSE)=$B283,VLOOKUP($A283,Spiele!$A$2:$F$15,4,FALSE),VLOOKUP($A283,Spiele!$A$2:$F$15,3,FALSE)))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$15,3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$15,3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IF($A284="","",IF(VLOOKUP($A284,Spiele!$A$2:$D$15,3,FALSE)=$B284,"H","G"))</f>
        <v>G</v>
      </c>
      <c r="D284" s="17" t="str">
        <f>IF($B284="","",IF(VLOOKUP($A284,Spiele!$A$2:$F$15,3,FALSE)=$B284,VLOOKUP($A284,Spiele!$A$2:$F$15,4,FALSE),VLOOKUP($A284,Spiele!$A$2:$F$15,3,FALSE)))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$15,3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$15,3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IF($A285="","",IF(VLOOKUP($A285,Spiele!$A$2:$D$15,3,FALSE)=$B285,"H","G"))</f>
        <v>G</v>
      </c>
      <c r="D285" s="17" t="str">
        <f>IF($B285="","",IF(VLOOKUP($A285,Spiele!$A$2:$F$15,3,FALSE)=$B285,VLOOKUP($A285,Spiele!$A$2:$F$15,4,FALSE),VLOOKUP($A285,Spiele!$A$2:$F$15,3,FALSE)))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$15,3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$15,3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IF($A286="","",IF(VLOOKUP($A286,Spiele!$A$2:$D$15,3,FALSE)=$B286,"H","G"))</f>
        <v>G</v>
      </c>
      <c r="D286" s="17" t="str">
        <f>IF($B286="","",IF(VLOOKUP($A286,Spiele!$A$2:$F$15,3,FALSE)=$B286,VLOOKUP($A286,Spiele!$A$2:$F$15,4,FALSE),VLOOKUP($A286,Spiele!$A$2:$F$15,3,FALSE)))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$15,3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$15,3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IF($A287="","",IF(VLOOKUP($A287,Spiele!$A$2:$D$15,3,FALSE)=$B287,"H","G"))</f>
        <v>H</v>
      </c>
      <c r="D287" s="17" t="str">
        <f>IF($B287="","",IF(VLOOKUP($A287,Spiele!$A$2:$F$15,3,FALSE)=$B287,VLOOKUP($A287,Spiele!$A$2:$F$15,4,FALSE),VLOOKUP($A287,Spiele!$A$2:$F$15,3,FALSE)))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$15,3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$15,3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IF($A288="","",IF(VLOOKUP($A288,Spiele!$A$2:$D$15,3,FALSE)=$B288,"H","G"))</f>
        <v>G</v>
      </c>
      <c r="D288" s="17" t="str">
        <f>IF($B288="","",IF(VLOOKUP($A288,Spiele!$A$2:$F$15,3,FALSE)=$B288,VLOOKUP($A288,Spiele!$A$2:$F$15,4,FALSE),VLOOKUP($A288,Spiele!$A$2:$F$15,3,FALSE)))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$15,3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$15,3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IF($A289="","",IF(VLOOKUP($A289,Spiele!$A$2:$D$15,3,FALSE)=$B289,"H","G"))</f>
        <v>H</v>
      </c>
      <c r="D289" s="17" t="str">
        <f>IF($B289="","",IF(VLOOKUP($A289,Spiele!$A$2:$F$15,3,FALSE)=$B289,VLOOKUP($A289,Spiele!$A$2:$F$15,4,FALSE),VLOOKUP($A289,Spiele!$A$2:$F$15,3,FALSE)))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$15,3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$15,3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IF($A290="","",IF(VLOOKUP($A290,Spiele!$A$2:$D$15,3,FALSE)=$B290,"H","G"))</f>
        <v>H</v>
      </c>
      <c r="D290" s="17" t="str">
        <f>IF($B290="","",IF(VLOOKUP($A290,Spiele!$A$2:$F$15,3,FALSE)=$B290,VLOOKUP($A290,Spiele!$A$2:$F$15,4,FALSE),VLOOKUP($A290,Spiele!$A$2:$F$15,3,FALSE)))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$15,3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$15,3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IF($A291="","",IF(VLOOKUP($A291,Spiele!$A$2:$D$15,3,FALSE)=$B291,"H","G"))</f>
        <v>G</v>
      </c>
      <c r="D291" s="17" t="str">
        <f>IF($B291="","",IF(VLOOKUP($A291,Spiele!$A$2:$F$15,3,FALSE)=$B291,VLOOKUP($A291,Spiele!$A$2:$F$15,4,FALSE),VLOOKUP($A291,Spiele!$A$2:$F$15,3,FALSE)))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$15,3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$15,3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IF($A292="","",IF(VLOOKUP($A292,Spiele!$A$2:$D$15,3,FALSE)=$B292,"H","G"))</f>
        <v>G</v>
      </c>
      <c r="D292" s="17" t="str">
        <f>IF($B292="","",IF(VLOOKUP($A292,Spiele!$A$2:$F$15,3,FALSE)=$B292,VLOOKUP($A292,Spiele!$A$2:$F$15,4,FALSE),VLOOKUP($A292,Spiele!$A$2:$F$15,3,FALSE)))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$15,3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$15,3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IF($A293="","",IF(VLOOKUP($A293,Spiele!$A$2:$D$15,3,FALSE)=$B293,"H","G"))</f>
        <v>H</v>
      </c>
      <c r="D293" s="17" t="str">
        <f>IF($B293="","",IF(VLOOKUP($A293,Spiele!$A$2:$F$15,3,FALSE)=$B293,VLOOKUP($A293,Spiele!$A$2:$F$15,4,FALSE),VLOOKUP($A293,Spiele!$A$2:$F$15,3,FALSE)))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$15,3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$15,3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IF($A294="","",IF(VLOOKUP($A294,Spiele!$A$2:$D$15,3,FALSE)=$B294,"H","G"))</f>
        <v>G</v>
      </c>
      <c r="D294" s="17" t="str">
        <f>IF($B294="","",IF(VLOOKUP($A294,Spiele!$A$2:$F$15,3,FALSE)=$B294,VLOOKUP($A294,Spiele!$A$2:$F$15,4,FALSE),VLOOKUP($A294,Spiele!$A$2:$F$15,3,FALSE)))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$15,3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$15,3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IF($A295="","",IF(VLOOKUP($A295,Spiele!$A$2:$D$15,3,FALSE)=$B295,"H","G"))</f>
        <v>H</v>
      </c>
      <c r="D295" s="17" t="str">
        <f>IF($B295="","",IF(VLOOKUP($A295,Spiele!$A$2:$F$15,3,FALSE)=$B295,VLOOKUP($A295,Spiele!$A$2:$F$15,4,FALSE),VLOOKUP($A295,Spiele!$A$2:$F$15,3,FALSE)))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$15,3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$15,3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IF($A296="","",IF(VLOOKUP($A296,Spiele!$A$2:$D$15,3,FALSE)=$B296,"H","G"))</f>
        <v>H</v>
      </c>
      <c r="D296" s="17" t="str">
        <f>IF($B296="","",IF(VLOOKUP($A296,Spiele!$A$2:$F$15,3,FALSE)=$B296,VLOOKUP($A296,Spiele!$A$2:$F$15,4,FALSE),VLOOKUP($A296,Spiele!$A$2:$F$15,3,FALSE)))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$15,3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$15,3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IF($A297="","",IF(VLOOKUP($A297,Spiele!$A$2:$D$15,3,FALSE)=$B297,"H","G"))</f>
        <v>H</v>
      </c>
      <c r="D297" s="17" t="str">
        <f>IF($B297="","",IF(VLOOKUP($A297,Spiele!$A$2:$F$15,3,FALSE)=$B297,VLOOKUP($A297,Spiele!$A$2:$F$15,4,FALSE),VLOOKUP($A297,Spiele!$A$2:$F$15,3,FALSE)))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$15,3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$15,3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IF($A298="","",IF(VLOOKUP($A298,Spiele!$A$2:$D$15,3,FALSE)=$B298,"H","G"))</f>
        <v>H</v>
      </c>
      <c r="D298" s="17" t="str">
        <f>IF($B298="","",IF(VLOOKUP($A298,Spiele!$A$2:$F$15,3,FALSE)=$B298,VLOOKUP($A298,Spiele!$A$2:$F$15,4,FALSE),VLOOKUP($A298,Spiele!$A$2:$F$15,3,FALSE)))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$15,3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$15,3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IF($A299="","",IF(VLOOKUP($A299,Spiele!$A$2:$D$15,3,FALSE)=$B299,"H","G"))</f>
        <v>H</v>
      </c>
      <c r="D299" s="17" t="str">
        <f>IF($B299="","",IF(VLOOKUP($A299,Spiele!$A$2:$F$15,3,FALSE)=$B299,VLOOKUP($A299,Spiele!$A$2:$F$15,4,FALSE),VLOOKUP($A299,Spiele!$A$2:$F$15,3,FALSE)))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$15,3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$15,3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IF($A300="","",IF(VLOOKUP($A300,Spiele!$A$2:$D$15,3,FALSE)=$B300,"H","G"))</f>
        <v>G</v>
      </c>
      <c r="D300" s="17" t="str">
        <f>IF($B300="","",IF(VLOOKUP($A300,Spiele!$A$2:$F$15,3,FALSE)=$B300,VLOOKUP($A300,Spiele!$A$2:$F$15,4,FALSE),VLOOKUP($A300,Spiele!$A$2:$F$15,3,FALSE)))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$15,3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$15,3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IF($A301="","",IF(VLOOKUP($A301,Spiele!$A$2:$D$15,3,FALSE)=$B301,"H","G"))</f>
        <v>G</v>
      </c>
      <c r="D301" s="17" t="str">
        <f>IF($B301="","",IF(VLOOKUP($A301,Spiele!$A$2:$F$15,3,FALSE)=$B301,VLOOKUP($A301,Spiele!$A$2:$F$15,4,FALSE),VLOOKUP($A301,Spiele!$A$2:$F$15,3,FALSE)))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$15,3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$15,3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IF($A302="","",IF(VLOOKUP($A302,Spiele!$A$2:$D$15,3,FALSE)=$B302,"H","G"))</f>
        <v>G</v>
      </c>
      <c r="D302" s="17" t="str">
        <f>IF($B302="","",IF(VLOOKUP($A302,Spiele!$A$2:$F$15,3,FALSE)=$B302,VLOOKUP($A302,Spiele!$A$2:$F$15,4,FALSE),VLOOKUP($A302,Spiele!$A$2:$F$15,3,FALSE)))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$15,3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$15,3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IF($A303="","",IF(VLOOKUP($A303,Spiele!$A$2:$D$15,3,FALSE)=$B303,"H","G"))</f>
        <v>H</v>
      </c>
      <c r="D303" s="17" t="str">
        <f>IF($B303="","",IF(VLOOKUP($A303,Spiele!$A$2:$F$15,3,FALSE)=$B303,VLOOKUP($A303,Spiele!$A$2:$F$15,4,FALSE),VLOOKUP($A303,Spiele!$A$2:$F$15,3,FALSE)))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$15,3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$15,3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IF($A304="","",IF(VLOOKUP($A304,Spiele!$A$2:$D$15,3,FALSE)=$B304,"H","G"))</f>
        <v>G</v>
      </c>
      <c r="D304" s="17" t="str">
        <f>IF($B304="","",IF(VLOOKUP($A304,Spiele!$A$2:$F$15,3,FALSE)=$B304,VLOOKUP($A304,Spiele!$A$2:$F$15,4,FALSE),VLOOKUP($A304,Spiele!$A$2:$F$15,3,FALSE)))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$15,3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$15,3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IF($A305="","",IF(VLOOKUP($A305,Spiele!$A$2:$D$15,3,FALSE)=$B305,"H","G"))</f>
        <v>G</v>
      </c>
      <c r="D305" s="17" t="str">
        <f>IF($B305="","",IF(VLOOKUP($A305,Spiele!$A$2:$F$15,3,FALSE)=$B305,VLOOKUP($A305,Spiele!$A$2:$F$15,4,FALSE),VLOOKUP($A305,Spiele!$A$2:$F$15,3,FALSE)))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$15,3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$15,3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IF($A306="","",IF(VLOOKUP($A306,Spiele!$A$2:$D$15,3,FALSE)=$B306,"H","G"))</f>
        <v>H</v>
      </c>
      <c r="D306" s="17" t="str">
        <f>IF($B306="","",IF(VLOOKUP($A306,Spiele!$A$2:$F$15,3,FALSE)=$B306,VLOOKUP($A306,Spiele!$A$2:$F$15,4,FALSE),VLOOKUP($A306,Spiele!$A$2:$F$15,3,FALSE)))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$15,3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$15,3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IF($A307="","",IF(VLOOKUP($A307,Spiele!$A$2:$D$15,3,FALSE)=$B307,"H","G"))</f>
        <v>G</v>
      </c>
      <c r="D307" s="17" t="str">
        <f>IF($B307="","",IF(VLOOKUP($A307,Spiele!$A$2:$F$15,3,FALSE)=$B307,VLOOKUP($A307,Spiele!$A$2:$F$15,4,FALSE),VLOOKUP($A307,Spiele!$A$2:$F$15,3,FALSE)))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$15,3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$15,3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IF($A308="","",IF(VLOOKUP($A308,Spiele!$A$2:$D$15,3,FALSE)=$B308,"H","G"))</f>
        <v>H</v>
      </c>
      <c r="D308" s="17" t="str">
        <f>IF($B308="","",IF(VLOOKUP($A308,Spiele!$A$2:$F$15,3,FALSE)=$B308,VLOOKUP($A308,Spiele!$A$2:$F$15,4,FALSE),VLOOKUP($A308,Spiele!$A$2:$F$15,3,FALSE)))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$15,3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$15,3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IF($A309="","",IF(VLOOKUP($A309,Spiele!$A$2:$D$15,3,FALSE)=$B309,"H","G"))</f>
        <v>H</v>
      </c>
      <c r="D309" s="17" t="str">
        <f>IF($B309="","",IF(VLOOKUP($A309,Spiele!$A$2:$F$15,3,FALSE)=$B309,VLOOKUP($A309,Spiele!$A$2:$F$15,4,FALSE),VLOOKUP($A309,Spiele!$A$2:$F$15,3,FALSE)))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$15,3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$15,3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IF($A310="","",IF(VLOOKUP($A310,Spiele!$A$2:$D$15,3,FALSE)=$B310,"H","G"))</f>
        <v>G</v>
      </c>
      <c r="D310" s="17" t="str">
        <f>IF($B310="","",IF(VLOOKUP($A310,Spiele!$A$2:$F$15,3,FALSE)=$B310,VLOOKUP($A310,Spiele!$A$2:$F$15,4,FALSE),VLOOKUP($A310,Spiele!$A$2:$F$15,3,FALSE)))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$15,3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$15,3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IF($A311="","",IF(VLOOKUP($A311,Spiele!$A$2:$D$15,3,FALSE)=$B311,"H","G"))</f>
        <v>G</v>
      </c>
      <c r="D311" s="17" t="str">
        <f>IF($B311="","",IF(VLOOKUP($A311,Spiele!$A$2:$F$15,3,FALSE)=$B311,VLOOKUP($A311,Spiele!$A$2:$F$15,4,FALSE),VLOOKUP($A311,Spiele!$A$2:$F$15,3,FALSE)))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$15,3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$15,3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IF($A312="","",IF(VLOOKUP($A312,Spiele!$A$2:$D$15,3,FALSE)=$B312,"H","G"))</f>
        <v>H</v>
      </c>
      <c r="D312" s="17" t="str">
        <f>IF($B312="","",IF(VLOOKUP($A312,Spiele!$A$2:$F$15,3,FALSE)=$B312,VLOOKUP($A312,Spiele!$A$2:$F$15,4,FALSE),VLOOKUP($A312,Spiele!$A$2:$F$15,3,FALSE)))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$15,3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$15,3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IF($A313="","",IF(VLOOKUP($A313,Spiele!$A$2:$D$15,3,FALSE)=$B313,"H","G"))</f>
        <v>H</v>
      </c>
      <c r="D313" s="17" t="str">
        <f>IF($B313="","",IF(VLOOKUP($A313,Spiele!$A$2:$F$15,3,FALSE)=$B313,VLOOKUP($A313,Spiele!$A$2:$F$15,4,FALSE),VLOOKUP($A313,Spiele!$A$2:$F$15,3,FALSE)))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$15,3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$15,3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IF($A314="","",IF(VLOOKUP($A314,Spiele!$A$2:$D$15,3,FALSE)=$B314,"H","G"))</f>
        <v>H</v>
      </c>
      <c r="D314" s="17" t="str">
        <f>IF($B314="","",IF(VLOOKUP($A314,Spiele!$A$2:$F$15,3,FALSE)=$B314,VLOOKUP($A314,Spiele!$A$2:$F$15,4,FALSE),VLOOKUP($A314,Spiele!$A$2:$F$15,3,FALSE)))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$15,3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$15,3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IF($A315="","",IF(VLOOKUP($A315,Spiele!$A$2:$D$15,3,FALSE)=$B315,"H","G"))</f>
        <v>G</v>
      </c>
      <c r="D315" s="17" t="str">
        <f>IF($B315="","",IF(VLOOKUP($A315,Spiele!$A$2:$F$15,3,FALSE)=$B315,VLOOKUP($A315,Spiele!$A$2:$F$15,4,FALSE),VLOOKUP($A315,Spiele!$A$2:$F$15,3,FALSE)))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$15,3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$15,3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IF($A316="","",IF(VLOOKUP($A316,Spiele!$A$2:$D$15,3,FALSE)=$B316,"H","G"))</f>
        <v>G</v>
      </c>
      <c r="D316" s="17" t="str">
        <f>IF($B316="","",IF(VLOOKUP($A316,Spiele!$A$2:$F$15,3,FALSE)=$B316,VLOOKUP($A316,Spiele!$A$2:$F$15,4,FALSE),VLOOKUP($A316,Spiele!$A$2:$F$15,3,FALSE)))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$15,3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$15,3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IF($A317="","",IF(VLOOKUP($A317,Spiele!$A$2:$D$15,3,FALSE)=$B317,"H","G"))</f>
        <v>H</v>
      </c>
      <c r="D317" s="17" t="str">
        <f>IF($B317="","",IF(VLOOKUP($A317,Spiele!$A$2:$F$15,3,FALSE)=$B317,VLOOKUP($A317,Spiele!$A$2:$F$15,4,FALSE),VLOOKUP($A317,Spiele!$A$2:$F$15,3,FALSE)))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$15,3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$15,3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IF($A318="","",IF(VLOOKUP($A318,Spiele!$A$2:$D$15,3,FALSE)=$B318,"H","G"))</f>
        <v>G</v>
      </c>
      <c r="D318" s="17" t="str">
        <f>IF($B318="","",IF(VLOOKUP($A318,Spiele!$A$2:$F$15,3,FALSE)=$B318,VLOOKUP($A318,Spiele!$A$2:$F$15,4,FALSE),VLOOKUP($A318,Spiele!$A$2:$F$15,3,FALSE)))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$15,3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$15,3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IF($A319="","",IF(VLOOKUP($A319,Spiele!$A$2:$D$15,3,FALSE)=$B319,"H","G"))</f>
        <v>G</v>
      </c>
      <c r="D319" s="17" t="str">
        <f>IF($B319="","",IF(VLOOKUP($A319,Spiele!$A$2:$F$15,3,FALSE)=$B319,VLOOKUP($A319,Spiele!$A$2:$F$15,4,FALSE),VLOOKUP($A319,Spiele!$A$2:$F$15,3,FALSE)))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$15,3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$15,3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IF($A320="","",IF(VLOOKUP($A320,Spiele!$A$2:$D$15,3,FALSE)=$B320,"H","G"))</f>
        <v>G</v>
      </c>
      <c r="D320" s="17" t="str">
        <f>IF($B320="","",IF(VLOOKUP($A320,Spiele!$A$2:$F$15,3,FALSE)=$B320,VLOOKUP($A320,Spiele!$A$2:$F$15,4,FALSE),VLOOKUP($A320,Spiele!$A$2:$F$15,3,FALSE)))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$15,3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$15,3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IF($A321="","",IF(VLOOKUP($A321,Spiele!$A$2:$D$15,3,FALSE)=$B321,"H","G"))</f>
        <v>H</v>
      </c>
      <c r="D321" s="17" t="str">
        <f>IF($B321="","",IF(VLOOKUP($A321,Spiele!$A$2:$F$15,3,FALSE)=$B321,VLOOKUP($A321,Spiele!$A$2:$F$15,4,FALSE),VLOOKUP($A321,Spiele!$A$2:$F$15,3,FALSE)))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$15,3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$15,3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IF($A322="","",IF(VLOOKUP($A322,Spiele!$A$2:$D$15,3,FALSE)=$B322,"H","G"))</f>
        <v>H</v>
      </c>
      <c r="D322" s="17" t="str">
        <f>IF($B322="","",IF(VLOOKUP($A322,Spiele!$A$2:$F$15,3,FALSE)=$B322,VLOOKUP($A322,Spiele!$A$2:$F$15,4,FALSE),VLOOKUP($A322,Spiele!$A$2:$F$15,3,FALSE)))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$15,3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$15,3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IF($A323="","",IF(VLOOKUP($A323,Spiele!$A$2:$D$15,3,FALSE)=$B323,"H","G"))</f>
        <v>H</v>
      </c>
      <c r="D323" s="17" t="str">
        <f>IF($B323="","",IF(VLOOKUP($A323,Spiele!$A$2:$F$15,3,FALSE)=$B323,VLOOKUP($A323,Spiele!$A$2:$F$15,4,FALSE),VLOOKUP($A323,Spiele!$A$2:$F$15,3,FALSE)))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$15,3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$15,3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IF($A324="","",IF(VLOOKUP($A324,Spiele!$A$2:$D$15,3,FALSE)=$B324,"H","G"))</f>
        <v>G</v>
      </c>
      <c r="D324" s="17" t="str">
        <f>IF($B324="","",IF(VLOOKUP($A324,Spiele!$A$2:$F$15,3,FALSE)=$B324,VLOOKUP($A324,Spiele!$A$2:$F$15,4,FALSE),VLOOKUP($A324,Spiele!$A$2:$F$15,3,FALSE)))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$15,3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$15,3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IF($A325="","",IF(VLOOKUP($A325,Spiele!$A$2:$D$15,3,FALSE)=$B325,"H","G"))</f>
        <v>H</v>
      </c>
      <c r="D325" s="17" t="str">
        <f>IF($B325="","",IF(VLOOKUP($A325,Spiele!$A$2:$F$15,3,FALSE)=$B325,VLOOKUP($A325,Spiele!$A$2:$F$15,4,FALSE),VLOOKUP($A325,Spiele!$A$2:$F$15,3,FALSE)))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$15,3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$15,3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IF($A326="","",IF(VLOOKUP($A326,Spiele!$A$2:$D$15,3,FALSE)=$B326,"H","G"))</f>
        <v>G</v>
      </c>
      <c r="D326" s="17" t="str">
        <f>IF($B326="","",IF(VLOOKUP($A326,Spiele!$A$2:$F$15,3,FALSE)=$B326,VLOOKUP($A326,Spiele!$A$2:$F$15,4,FALSE),VLOOKUP($A326,Spiele!$A$2:$F$15,3,FALSE)))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$15,3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$15,3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IF($A327="","",IF(VLOOKUP($A327,Spiele!$A$2:$D$15,3,FALSE)=$B327,"H","G"))</f>
        <v>G</v>
      </c>
      <c r="D327" s="17" t="str">
        <f>IF($B327="","",IF(VLOOKUP($A327,Spiele!$A$2:$F$15,3,FALSE)=$B327,VLOOKUP($A327,Spiele!$A$2:$F$15,4,FALSE),VLOOKUP($A327,Spiele!$A$2:$F$15,3,FALSE)))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$15,3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$15,3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IF($A328="","",IF(VLOOKUP($A328,Spiele!$A$2:$D$15,3,FALSE)=$B328,"H","G"))</f>
        <v>H</v>
      </c>
      <c r="D328" s="17" t="str">
        <f>IF($B328="","",IF(VLOOKUP($A328,Spiele!$A$2:$F$15,3,FALSE)=$B328,VLOOKUP($A328,Spiele!$A$2:$F$15,4,FALSE),VLOOKUP($A328,Spiele!$A$2:$F$15,3,FALSE)))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$15,3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$15,3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IF($A329="","",IF(VLOOKUP($A329,Spiele!$A$2:$D$15,3,FALSE)=$B329,"H","G"))</f>
        <v>G</v>
      </c>
      <c r="D329" s="17" t="str">
        <f>IF($B329="","",IF(VLOOKUP($A329,Spiele!$A$2:$F$15,3,FALSE)=$B329,VLOOKUP($A329,Spiele!$A$2:$F$15,4,FALSE),VLOOKUP($A329,Spiele!$A$2:$F$15,3,FALSE)))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$15,3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$15,3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IF($A330="","",IF(VLOOKUP($A330,Spiele!$A$2:$D$15,3,FALSE)=$B330,"H","G"))</f>
        <v>G</v>
      </c>
      <c r="D330" s="17" t="str">
        <f>IF($B330="","",IF(VLOOKUP($A330,Spiele!$A$2:$F$15,3,FALSE)=$B330,VLOOKUP($A330,Spiele!$A$2:$F$15,4,FALSE),VLOOKUP($A330,Spiele!$A$2:$F$15,3,FALSE)))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$15,3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$15,3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IF($A331="","",IF(VLOOKUP($A331,Spiele!$A$2:$D$15,3,FALSE)=$B331,"H","G"))</f>
        <v>H</v>
      </c>
      <c r="D331" s="17" t="str">
        <f>IF($B331="","",IF(VLOOKUP($A331,Spiele!$A$2:$F$15,3,FALSE)=$B331,VLOOKUP($A331,Spiele!$A$2:$F$15,4,FALSE),VLOOKUP($A331,Spiele!$A$2:$F$15,3,FALSE)))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$15,3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$15,3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IF($A332="","",IF(VLOOKUP($A332,Spiele!$A$2:$D$15,3,FALSE)=$B332,"H","G"))</f>
        <v>G</v>
      </c>
      <c r="D332" s="17" t="str">
        <f>IF($B332="","",IF(VLOOKUP($A332,Spiele!$A$2:$F$15,3,FALSE)=$B332,VLOOKUP($A332,Spiele!$A$2:$F$15,4,FALSE),VLOOKUP($A332,Spiele!$A$2:$F$15,3,FALSE)))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$15,3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$15,3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IF($A333="","",IF(VLOOKUP($A333,Spiele!$A$2:$D$15,3,FALSE)=$B333,"H","G"))</f>
        <v>G</v>
      </c>
      <c r="D333" s="17" t="str">
        <f>IF($B333="","",IF(VLOOKUP($A333,Spiele!$A$2:$F$15,3,FALSE)=$B333,VLOOKUP($A333,Spiele!$A$2:$F$15,4,FALSE),VLOOKUP($A333,Spiele!$A$2:$F$15,3,FALSE)))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$15,3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$15,3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IF($A334="","",IF(VLOOKUP($A334,Spiele!$A$2:$D$15,3,FALSE)=$B334,"H","G"))</f>
        <v>H</v>
      </c>
      <c r="D334" s="17" t="str">
        <f>IF($B334="","",IF(VLOOKUP($A334,Spiele!$A$2:$F$15,3,FALSE)=$B334,VLOOKUP($A334,Spiele!$A$2:$F$15,4,FALSE),VLOOKUP($A334,Spiele!$A$2:$F$15,3,FALSE)))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$15,3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$15,3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IF($A335="","",IF(VLOOKUP($A335,Spiele!$A$2:$D$15,3,FALSE)=$B335,"H","G"))</f>
        <v>H</v>
      </c>
      <c r="D335" s="17" t="str">
        <f>IF($B335="","",IF(VLOOKUP($A335,Spiele!$A$2:$F$15,3,FALSE)=$B335,VLOOKUP($A335,Spiele!$A$2:$F$15,4,FALSE),VLOOKUP($A335,Spiele!$A$2:$F$15,3,FALSE)))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$15,3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$15,3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IF($A336="","",IF(VLOOKUP($A336,Spiele!$A$2:$D$15,3,FALSE)=$B336,"H","G"))</f>
        <v>H</v>
      </c>
      <c r="D336" s="17" t="str">
        <f>IF($B336="","",IF(VLOOKUP($A336,Spiele!$A$2:$F$15,3,FALSE)=$B336,VLOOKUP($A336,Spiele!$A$2:$F$15,4,FALSE),VLOOKUP($A336,Spiele!$A$2:$F$15,3,FALSE)))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$15,3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$15,3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IF($A337="","",IF(VLOOKUP($A337,Spiele!$A$2:$D$15,3,FALSE)=$B337,"H","G"))</f>
        <v>H</v>
      </c>
      <c r="D337" s="17" t="str">
        <f>IF($B337="","",IF(VLOOKUP($A337,Spiele!$A$2:$F$15,3,FALSE)=$B337,VLOOKUP($A337,Spiele!$A$2:$F$15,4,FALSE),VLOOKUP($A337,Spiele!$A$2:$F$15,3,FALSE)))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$15,3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$15,3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IF($A338="","",IF(VLOOKUP($A338,Spiele!$A$2:$D$15,3,FALSE)=$B338,"H","G"))</f>
        <v>G</v>
      </c>
      <c r="D338" s="17" t="str">
        <f>IF($B338="","",IF(VLOOKUP($A338,Spiele!$A$2:$F$15,3,FALSE)=$B338,VLOOKUP($A338,Spiele!$A$2:$F$15,4,FALSE),VLOOKUP($A338,Spiele!$A$2:$F$15,3,FALSE)))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$15,3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$15,3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IF($A339="","",IF(VLOOKUP($A339,Spiele!$A$2:$D$15,3,FALSE)=$B339,"H","G"))</f>
        <v>G</v>
      </c>
      <c r="D339" s="17" t="str">
        <f>IF($B339="","",IF(VLOOKUP($A339,Spiele!$A$2:$F$15,3,FALSE)=$B339,VLOOKUP($A339,Spiele!$A$2:$F$15,4,FALSE),VLOOKUP($A339,Spiele!$A$2:$F$15,3,FALSE)))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$15,3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$15,3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IF($A340="","",IF(VLOOKUP($A340,Spiele!$A$2:$D$15,3,FALSE)=$B340,"H","G"))</f>
        <v>H</v>
      </c>
      <c r="D340" s="17" t="str">
        <f>IF($B340="","",IF(VLOOKUP($A340,Spiele!$A$2:$F$15,3,FALSE)=$B340,VLOOKUP($A340,Spiele!$A$2:$F$15,4,FALSE),VLOOKUP($A340,Spiele!$A$2:$F$15,3,FALSE)))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$15,3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$15,3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IF($A341="","",IF(VLOOKUP($A341,Spiele!$A$2:$D$15,3,FALSE)=$B341,"H","G"))</f>
        <v>G</v>
      </c>
      <c r="D341" s="17" t="str">
        <f>IF($B341="","",IF(VLOOKUP($A341,Spiele!$A$2:$F$15,3,FALSE)=$B341,VLOOKUP($A341,Spiele!$A$2:$F$15,4,FALSE),VLOOKUP($A341,Spiele!$A$2:$F$15,3,FALSE)))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$15,3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$15,3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IF($A342="","",IF(VLOOKUP($A342,Spiele!$A$2:$D$15,3,FALSE)=$B342,"H","G"))</f>
        <v>G</v>
      </c>
      <c r="D342" s="17" t="str">
        <f>IF($B342="","",IF(VLOOKUP($A342,Spiele!$A$2:$F$15,3,FALSE)=$B342,VLOOKUP($A342,Spiele!$A$2:$F$15,4,FALSE),VLOOKUP($A342,Spiele!$A$2:$F$15,3,FALSE)))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$15,3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$15,3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IF($A343="","",IF(VLOOKUP($A343,Spiele!$A$2:$D$15,3,FALSE)=$B343,"H","G"))</f>
        <v>H</v>
      </c>
      <c r="D343" s="17" t="str">
        <f>IF($B343="","",IF(VLOOKUP($A343,Spiele!$A$2:$F$15,3,FALSE)=$B343,VLOOKUP($A343,Spiele!$A$2:$F$15,4,FALSE),VLOOKUP($A343,Spiele!$A$2:$F$15,3,FALSE)))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$15,3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$15,3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IF($A344="","",IF(VLOOKUP($A344,Spiele!$A$2:$D$15,3,FALSE)=$B344,"H","G"))</f>
        <v>G</v>
      </c>
      <c r="D344" s="17" t="str">
        <f>IF($B344="","",IF(VLOOKUP($A344,Spiele!$A$2:$F$15,3,FALSE)=$B344,VLOOKUP($A344,Spiele!$A$2:$F$15,4,FALSE),VLOOKUP($A344,Spiele!$A$2:$F$15,3,FALSE)))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$15,3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$15,3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IF($A345="","",IF(VLOOKUP($A345,Spiele!$A$2:$D$15,3,FALSE)=$B345,"H","G"))</f>
        <v>H</v>
      </c>
      <c r="D345" s="17" t="str">
        <f>IF($B345="","",IF(VLOOKUP($A345,Spiele!$A$2:$F$15,3,FALSE)=$B345,VLOOKUP($A345,Spiele!$A$2:$F$15,4,FALSE),VLOOKUP($A345,Spiele!$A$2:$F$15,3,FALSE)))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$15,3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$15,3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IF($A346="","",IF(VLOOKUP($A346,Spiele!$A$2:$D$15,3,FALSE)=$B346,"H","G"))</f>
        <v>G</v>
      </c>
      <c r="D346" s="17" t="str">
        <f>IF($B346="","",IF(VLOOKUP($A346,Spiele!$A$2:$F$15,3,FALSE)=$B346,VLOOKUP($A346,Spiele!$A$2:$F$15,4,FALSE),VLOOKUP($A346,Spiele!$A$2:$F$15,3,FALSE)))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$15,3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$15,3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IF($A347="","",IF(VLOOKUP($A347,Spiele!$A$2:$D$15,3,FALSE)=$B347,"H","G"))</f>
        <v>G</v>
      </c>
      <c r="D347" s="17" t="str">
        <f>IF($B347="","",IF(VLOOKUP($A347,Spiele!$A$2:$F$15,3,FALSE)=$B347,VLOOKUP($A347,Spiele!$A$2:$F$15,4,FALSE),VLOOKUP($A347,Spiele!$A$2:$F$15,3,FALSE)))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$15,3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$15,3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IF($A348="","",IF(VLOOKUP($A348,Spiele!$A$2:$D$15,3,FALSE)=$B348,"H","G"))</f>
        <v>G</v>
      </c>
      <c r="D348" s="17" t="str">
        <f>IF($B348="","",IF(VLOOKUP($A348,Spiele!$A$2:$F$15,3,FALSE)=$B348,VLOOKUP($A348,Spiele!$A$2:$F$15,4,FALSE),VLOOKUP($A348,Spiele!$A$2:$F$15,3,FALSE)))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$15,3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$15,3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IF($A349="","",IF(VLOOKUP($A349,Spiele!$A$2:$D$15,3,FALSE)=$B349,"H","G"))</f>
        <v>H</v>
      </c>
      <c r="D349" s="17" t="str">
        <f>IF($B349="","",IF(VLOOKUP($A349,Spiele!$A$2:$F$15,3,FALSE)=$B349,VLOOKUP($A349,Spiele!$A$2:$F$15,4,FALSE),VLOOKUP($A349,Spiele!$A$2:$F$15,3,FALSE)))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$15,3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$15,3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IF($A350="","",IF(VLOOKUP($A350,Spiele!$A$2:$D$15,3,FALSE)=$B350,"H","G"))</f>
        <v>H</v>
      </c>
      <c r="D350" s="17" t="str">
        <f>IF($B350="","",IF(VLOOKUP($A350,Spiele!$A$2:$F$15,3,FALSE)=$B350,VLOOKUP($A350,Spiele!$A$2:$F$15,4,FALSE),VLOOKUP($A350,Spiele!$A$2:$F$15,3,FALSE)))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$15,3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$15,3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IF($A351="","",IF(VLOOKUP($A351,Spiele!$A$2:$D$15,3,FALSE)=$B351,"H","G"))</f>
        <v>H</v>
      </c>
      <c r="D351" s="17" t="str">
        <f>IF($B351="","",IF(VLOOKUP($A351,Spiele!$A$2:$F$15,3,FALSE)=$B351,VLOOKUP($A351,Spiele!$A$2:$F$15,4,FALSE),VLOOKUP($A351,Spiele!$A$2:$F$15,3,FALSE)))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$15,3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$15,3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IF($A352="","",IF(VLOOKUP($A352,Spiele!$A$2:$D$15,3,FALSE)=$B352,"H","G"))</f>
        <v>G</v>
      </c>
      <c r="D352" s="17" t="str">
        <f>IF($B352="","",IF(VLOOKUP($A352,Spiele!$A$2:$F$15,3,FALSE)=$B352,VLOOKUP($A352,Spiele!$A$2:$F$15,4,FALSE),VLOOKUP($A352,Spiele!$A$2:$F$15,3,FALSE)))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$15,3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$15,3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IF($A353="","",IF(VLOOKUP($A353,Spiele!$A$2:$D$15,3,FALSE)=$B353,"H","G"))</f>
        <v>H</v>
      </c>
      <c r="D353" s="17" t="str">
        <f>IF($B353="","",IF(VLOOKUP($A353,Spiele!$A$2:$F$15,3,FALSE)=$B353,VLOOKUP($A353,Spiele!$A$2:$F$15,4,FALSE),VLOOKUP($A353,Spiele!$A$2:$F$15,3,FALSE)))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$15,3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$15,3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IF($A354="","",IF(VLOOKUP($A354,Spiele!$A$2:$D$15,3,FALSE)=$B354,"H","G"))</f>
        <v>G</v>
      </c>
      <c r="D354" s="17" t="str">
        <f>IF($B354="","",IF(VLOOKUP($A354,Spiele!$A$2:$F$15,3,FALSE)=$B354,VLOOKUP($A354,Spiele!$A$2:$F$15,4,FALSE),VLOOKUP($A354,Spiele!$A$2:$F$15,3,FALSE)))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$15,3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$15,3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IF($A355="","",IF(VLOOKUP($A355,Spiele!$A$2:$D$15,3,FALSE)=$B355,"H","G"))</f>
        <v>G</v>
      </c>
      <c r="D355" s="17" t="str">
        <f>IF($B355="","",IF(VLOOKUP($A355,Spiele!$A$2:$F$15,3,FALSE)=$B355,VLOOKUP($A355,Spiele!$A$2:$F$15,4,FALSE),VLOOKUP($A355,Spiele!$A$2:$F$15,3,FALSE)))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$15,3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$15,3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IF($A356="","",IF(VLOOKUP($A356,Spiele!$A$2:$D$15,3,FALSE)=$B356,"H","G"))</f>
        <v>H</v>
      </c>
      <c r="D356" s="17" t="str">
        <f>IF($B356="","",IF(VLOOKUP($A356,Spiele!$A$2:$F$15,3,FALSE)=$B356,VLOOKUP($A356,Spiele!$A$2:$F$15,4,FALSE),VLOOKUP($A356,Spiele!$A$2:$F$15,3,FALSE)))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$15,3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$15,3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IF($A357="","",IF(VLOOKUP($A357,Spiele!$A$2:$D$15,3,FALSE)=$B357,"H","G"))</f>
        <v>H</v>
      </c>
      <c r="D357" s="17" t="str">
        <f>IF($B357="","",IF(VLOOKUP($A357,Spiele!$A$2:$F$15,3,FALSE)=$B357,VLOOKUP($A357,Spiele!$A$2:$F$15,4,FALSE),VLOOKUP($A357,Spiele!$A$2:$F$15,3,FALSE)))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$15,3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$15,3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IF($A358="","",IF(VLOOKUP($A358,Spiele!$A$2:$D$15,3,FALSE)=$B358,"H","G"))</f>
        <v>G</v>
      </c>
      <c r="D358" s="17" t="str">
        <f>IF($B358="","",IF(VLOOKUP($A358,Spiele!$A$2:$F$15,3,FALSE)=$B358,VLOOKUP($A358,Spiele!$A$2:$F$15,4,FALSE),VLOOKUP($A358,Spiele!$A$2:$F$15,3,FALSE)))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$15,3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$15,3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IF($A359="","",IF(VLOOKUP($A359,Spiele!$A$2:$D$15,3,FALSE)=$B359,"H","G"))</f>
        <v>H</v>
      </c>
      <c r="D359" s="17" t="str">
        <f>IF($B359="","",IF(VLOOKUP($A359,Spiele!$A$2:$F$15,3,FALSE)=$B359,VLOOKUP($A359,Spiele!$A$2:$F$15,4,FALSE),VLOOKUP($A359,Spiele!$A$2:$F$15,3,FALSE)))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$15,3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$15,3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IF($A360="","",IF(VLOOKUP($A360,Spiele!$A$2:$D$15,3,FALSE)=$B360,"H","G"))</f>
        <v>G</v>
      </c>
      <c r="D360" s="17" t="str">
        <f>IF($B360="","",IF(VLOOKUP($A360,Spiele!$A$2:$F$15,3,FALSE)=$B360,VLOOKUP($A360,Spiele!$A$2:$F$15,4,FALSE),VLOOKUP($A360,Spiele!$A$2:$F$15,3,FALSE)))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$15,3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$15,3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IF($A361="","",IF(VLOOKUP($A361,Spiele!$A$2:$D$15,3,FALSE)=$B361,"H","G"))</f>
        <v>H</v>
      </c>
      <c r="D361" s="17" t="str">
        <f>IF($B361="","",IF(VLOOKUP($A361,Spiele!$A$2:$F$15,3,FALSE)=$B361,VLOOKUP($A361,Spiele!$A$2:$F$15,4,FALSE),VLOOKUP($A361,Spiele!$A$2:$F$15,3,FALSE)))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$15,3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$15,3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IF($A362="","",IF(VLOOKUP($A362,Spiele!$A$2:$D$15,3,FALSE)=$B362,"H","G"))</f>
        <v>H</v>
      </c>
      <c r="D362" s="17" t="str">
        <f>IF($B362="","",IF(VLOOKUP($A362,Spiele!$A$2:$F$15,3,FALSE)=$B362,VLOOKUP($A362,Spiele!$A$2:$F$15,4,FALSE),VLOOKUP($A362,Spiele!$A$2:$F$15,3,FALSE)))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$15,3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$15,3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IF($A363="","",IF(VLOOKUP($A363,Spiele!$A$2:$D$15,3,FALSE)=$B363,"H","G"))</f>
        <v>G</v>
      </c>
      <c r="D363" s="17" t="str">
        <f>IF($B363="","",IF(VLOOKUP($A363,Spiele!$A$2:$F$15,3,FALSE)=$B363,VLOOKUP($A363,Spiele!$A$2:$F$15,4,FALSE),VLOOKUP($A363,Spiele!$A$2:$F$15,3,FALSE)))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$15,3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$15,3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IF($A364="","",IF(VLOOKUP($A364,Spiele!$A$2:$D$15,3,FALSE)=$B364,"H","G"))</f>
        <v>G</v>
      </c>
      <c r="D364" s="17" t="str">
        <f>IF($B364="","",IF(VLOOKUP($A364,Spiele!$A$2:$F$15,3,FALSE)=$B364,VLOOKUP($A364,Spiele!$A$2:$F$15,4,FALSE),VLOOKUP($A364,Spiele!$A$2:$F$15,3,FALSE)))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$15,3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$15,3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IF($A365="","",IF(VLOOKUP($A365,Spiele!$A$2:$D$15,3,FALSE)=$B365,"H","G"))</f>
        <v>H</v>
      </c>
      <c r="D365" s="17" t="str">
        <f>IF($B365="","",IF(VLOOKUP($A365,Spiele!$A$2:$F$15,3,FALSE)=$B365,VLOOKUP($A365,Spiele!$A$2:$F$15,4,FALSE),VLOOKUP($A365,Spiele!$A$2:$F$15,3,FALSE)))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$15,3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$15,3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IF($A366="","",IF(VLOOKUP($A366,Spiele!$A$2:$D$15,3,FALSE)=$B366,"H","G"))</f>
        <v>H</v>
      </c>
      <c r="D366" s="17" t="str">
        <f>IF($B366="","",IF(VLOOKUP($A366,Spiele!$A$2:$F$15,3,FALSE)=$B366,VLOOKUP($A366,Spiele!$A$2:$F$15,4,FALSE),VLOOKUP($A366,Spiele!$A$2:$F$15,3,FALSE)))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$15,3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$15,3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IF($A367="","",IF(VLOOKUP($A367,Spiele!$A$2:$D$15,3,FALSE)=$B367,"H","G"))</f>
        <v>H</v>
      </c>
      <c r="D367" s="17" t="str">
        <f>IF($B367="","",IF(VLOOKUP($A367,Spiele!$A$2:$F$15,3,FALSE)=$B367,VLOOKUP($A367,Spiele!$A$2:$F$15,4,FALSE),VLOOKUP($A367,Spiele!$A$2:$F$15,3,FALSE)))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$15,3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$15,3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IF($A368="","",IF(VLOOKUP($A368,Spiele!$A$2:$D$15,3,FALSE)=$B368,"H","G"))</f>
        <v>H</v>
      </c>
      <c r="D368" s="17" t="str">
        <f>IF($B368="","",IF(VLOOKUP($A368,Spiele!$A$2:$F$15,3,FALSE)=$B368,VLOOKUP($A368,Spiele!$A$2:$F$15,4,FALSE),VLOOKUP($A368,Spiele!$A$2:$F$15,3,FALSE)))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$15,3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$15,3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IF($A369="","",IF(VLOOKUP($A369,Spiele!$A$2:$D$15,3,FALSE)=$B369,"H","G"))</f>
        <v>G</v>
      </c>
      <c r="D369" s="17" t="str">
        <f>IF($B369="","",IF(VLOOKUP($A369,Spiele!$A$2:$F$15,3,FALSE)=$B369,VLOOKUP($A369,Spiele!$A$2:$F$15,4,FALSE),VLOOKUP($A369,Spiele!$A$2:$F$15,3,FALSE)))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$15,3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$15,3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IF($A370="","",IF(VLOOKUP($A370,Spiele!$A$2:$D$15,3,FALSE)=$B370,"H","G"))</f>
        <v>H</v>
      </c>
      <c r="D370" s="17" t="str">
        <f>IF($B370="","",IF(VLOOKUP($A370,Spiele!$A$2:$F$15,3,FALSE)=$B370,VLOOKUP($A370,Spiele!$A$2:$F$15,4,FALSE),VLOOKUP($A370,Spiele!$A$2:$F$15,3,FALSE)))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$15,3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$15,3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390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390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IF($A371="","",IF(VLOOKUP($A371,Spiele!$A$2:$D$15,3,FALSE)=$B371,"H","G"))</f>
        <v>G</v>
      </c>
      <c r="D371" s="17" t="str">
        <f>IF($B371="","",IF(VLOOKUP($A371,Spiele!$A$2:$F$15,3,FALSE)=$B371,VLOOKUP($A371,Spiele!$A$2:$F$15,4,FALSE),VLOOKUP($A371,Spiele!$A$2:$F$15,3,FALSE)))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$15,3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$15,3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IF($A372="","",IF(VLOOKUP($A372,Spiele!$A$2:$D$15,3,FALSE)=$B372,"H","G"))</f>
        <v>G</v>
      </c>
      <c r="D372" s="17" t="str">
        <f>IF($B372="","",IF(VLOOKUP($A372,Spiele!$A$2:$F$15,3,FALSE)=$B372,VLOOKUP($A372,Spiele!$A$2:$F$15,4,FALSE),VLOOKUP($A372,Spiele!$A$2:$F$15,3,FALSE)))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$15,3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$15,3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IF($A373="","",IF(VLOOKUP($A373,Spiele!$A$2:$D$15,3,FALSE)=$B373,"H","G"))</f>
        <v>G</v>
      </c>
      <c r="D373" s="17" t="str">
        <f>IF($B373="","",IF(VLOOKUP($A373,Spiele!$A$2:$F$15,3,FALSE)=$B373,VLOOKUP($A373,Spiele!$A$2:$F$15,4,FALSE),VLOOKUP($A373,Spiele!$A$2:$F$15,3,FALSE)))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$15,3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$15,3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IF($A374="","",IF(VLOOKUP($A374,Spiele!$A$2:$D$15,3,FALSE)=$B374,"H","G"))</f>
        <v>H</v>
      </c>
      <c r="D374" s="17" t="str">
        <f>IF($B374="","",IF(VLOOKUP($A374,Spiele!$A$2:$F$15,3,FALSE)=$B374,VLOOKUP($A374,Spiele!$A$2:$F$15,4,FALSE),VLOOKUP($A374,Spiele!$A$2:$F$15,3,FALSE)))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$15,3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$15,3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IF($A375="","",IF(VLOOKUP($A375,Spiele!$A$2:$D$15,3,FALSE)=$B375,"H","G"))</f>
        <v>H</v>
      </c>
      <c r="D375" s="17" t="str">
        <f>IF($B375="","",IF(VLOOKUP($A375,Spiele!$A$2:$F$15,3,FALSE)=$B375,VLOOKUP($A375,Spiele!$A$2:$F$15,4,FALSE),VLOOKUP($A375,Spiele!$A$2:$F$15,3,FALSE)))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$15,3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$15,3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IF($A376="","",IF(VLOOKUP($A376,Spiele!$A$2:$D$15,3,FALSE)=$B376,"H","G"))</f>
        <v>H</v>
      </c>
      <c r="D376" s="17" t="str">
        <f>IF($B376="","",IF(VLOOKUP($A376,Spiele!$A$2:$F$15,3,FALSE)=$B376,VLOOKUP($A376,Spiele!$A$2:$F$15,4,FALSE),VLOOKUP($A376,Spiele!$A$2:$F$15,3,FALSE)))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$15,3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$15,3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IF($A377="","",IF(VLOOKUP($A377,Spiele!$A$2:$D$15,3,FALSE)=$B377,"H","G"))</f>
        <v>G</v>
      </c>
      <c r="D377" s="17" t="str">
        <f>IF($B377="","",IF(VLOOKUP($A377,Spiele!$A$2:$F$15,3,FALSE)=$B377,VLOOKUP($A377,Spiele!$A$2:$F$15,4,FALSE),VLOOKUP($A377,Spiele!$A$2:$F$15,3,FALSE)))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$15,3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$15,3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IF($A378="","",IF(VLOOKUP($A378,Spiele!$A$2:$D$15,3,FALSE)=$B378,"H","G"))</f>
        <v>H</v>
      </c>
      <c r="D378" s="17" t="str">
        <f>IF($B378="","",IF(VLOOKUP($A378,Spiele!$A$2:$F$15,3,FALSE)=$B378,VLOOKUP($A378,Spiele!$A$2:$F$15,4,FALSE),VLOOKUP($A378,Spiele!$A$2:$F$15,3,FALSE)))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$15,3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$15,3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IF($A379="","",IF(VLOOKUP($A379,Spiele!$A$2:$D$15,3,FALSE)=$B379,"H","G"))</f>
        <v>G</v>
      </c>
      <c r="D379" s="17" t="str">
        <f>IF($B379="","",IF(VLOOKUP($A379,Spiele!$A$2:$F$15,3,FALSE)=$B379,VLOOKUP($A379,Spiele!$A$2:$F$15,4,FALSE),VLOOKUP($A379,Spiele!$A$2:$F$15,3,FALSE)))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$15,3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$15,3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IF($A380="","",IF(VLOOKUP($A380,Spiele!$A$2:$D$15,3,FALSE)=$B380,"H","G"))</f>
        <v>G</v>
      </c>
      <c r="D380" s="17" t="str">
        <f>IF($B380="","",IF(VLOOKUP($A380,Spiele!$A$2:$F$15,3,FALSE)=$B380,VLOOKUP($A380,Spiele!$A$2:$F$15,4,FALSE),VLOOKUP($A380,Spiele!$A$2:$F$15,3,FALSE)))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$15,3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$15,3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IF($A381="","",IF(VLOOKUP($A381,Spiele!$A$2:$D$15,3,FALSE)=$B381,"H","G"))</f>
        <v>H</v>
      </c>
      <c r="D381" s="17" t="str">
        <f>IF($B381="","",IF(VLOOKUP($A381,Spiele!$A$2:$F$15,3,FALSE)=$B381,VLOOKUP($A381,Spiele!$A$2:$F$15,4,FALSE),VLOOKUP($A381,Spiele!$A$2:$F$15,3,FALSE)))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$15,3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$15,3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4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IF($A382="","",IF(VLOOKUP($A382,Spiele!$A$2:$D$15,3,FALSE)=$B382,"H","G"))</f>
        <v>H</v>
      </c>
      <c r="D382" s="17" t="str">
        <f>IF($B382="","",IF(VLOOKUP($A382,Spiele!$A$2:$F$15,3,FALSE)=$B382,VLOOKUP($A382,Spiele!$A$2:$F$15,4,FALSE),VLOOKUP($A382,Spiele!$A$2:$F$15,3,FALSE)))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$15,3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$15,3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IF($A383="","",IF(VLOOKUP($A383,Spiele!$A$2:$D$15,3,FALSE)=$B383,"H","G"))</f>
        <v>G</v>
      </c>
      <c r="D383" s="17" t="str">
        <f>IF($B383="","",IF(VLOOKUP($A383,Spiele!$A$2:$F$15,3,FALSE)=$B383,VLOOKUP($A383,Spiele!$A$2:$F$15,4,FALSE),VLOOKUP($A383,Spiele!$A$2:$F$15,3,FALSE)))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$15,3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$15,3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IF($A384="","",IF(VLOOKUP($A384,Spiele!$A$2:$D$15,3,FALSE)=$B384,"H","G"))</f>
        <v>H</v>
      </c>
      <c r="D384" s="17" t="str">
        <f>IF($B384="","",IF(VLOOKUP($A384,Spiele!$A$2:$F$15,3,FALSE)=$B384,VLOOKUP($A384,Spiele!$A$2:$F$15,4,FALSE),VLOOKUP($A384,Spiele!$A$2:$F$15,3,FALSE)))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$15,3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$15,3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IF($A385="","",IF(VLOOKUP($A385,Spiele!$A$2:$D$15,3,FALSE)=$B385,"H","G"))</f>
        <v>G</v>
      </c>
      <c r="D385" s="17" t="str">
        <f>IF($B385="","",IF(VLOOKUP($A385,Spiele!$A$2:$F$15,3,FALSE)=$B385,VLOOKUP($A385,Spiele!$A$2:$F$15,4,FALSE),VLOOKUP($A385,Spiele!$A$2:$F$15,3,FALSE)))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$15,3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$15,3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IF($A386="","",IF(VLOOKUP($A386,Spiele!$A$2:$D$15,3,FALSE)=$B386,"H","G"))</f>
        <v>H</v>
      </c>
      <c r="D386" s="17" t="str">
        <f>IF($B386="","",IF(VLOOKUP($A386,Spiele!$A$2:$F$15,3,FALSE)=$B386,VLOOKUP($A386,Spiele!$A$2:$F$15,4,FALSE),VLOOKUP($A386,Spiele!$A$2:$F$15,3,FALSE)))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$15,3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$15,3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390" si="26">IF($L386="ET","",IF($AF386&gt;3.66,SQRT($AG386^2+($AF386-(7.32/2))^2),IF($AF386&lt;-3.66,SQRT($AG386^2+($AF386+(7.32/2))^2),$AG386)))</f>
        <v>5.7996206772512284</v>
      </c>
      <c r="AI386" s="19">
        <f t="shared" ref="AI386:AI390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IF($A387="","",IF(VLOOKUP($A387,Spiele!$A$2:$D$15,3,FALSE)=$B387,"H","G"))</f>
        <v>G</v>
      </c>
      <c r="D387" s="17" t="str">
        <f>IF($B387="","",IF(VLOOKUP($A387,Spiele!$A$2:$F$15,3,FALSE)=$B387,VLOOKUP($A387,Spiele!$A$2:$F$15,4,FALSE),VLOOKUP($A387,Spiele!$A$2:$F$15,3,FALSE)))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$15,3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$15,3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IF($A388="","",IF(VLOOKUP($A388,Spiele!$A$2:$D$15,3,FALSE)=$B388,"H","G"))</f>
        <v>G</v>
      </c>
      <c r="D388" s="17" t="str">
        <f>IF($B388="","",IF(VLOOKUP($A388,Spiele!$A$2:$F$15,3,FALSE)=$B388,VLOOKUP($A388,Spiele!$A$2:$F$15,4,FALSE),VLOOKUP($A388,Spiele!$A$2:$F$15,3,FALSE)))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$15,3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$15,3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IF($A389="","",IF(VLOOKUP($A389,Spiele!$A$2:$D$15,3,FALSE)=$B389,"H","G"))</f>
        <v>G</v>
      </c>
      <c r="D389" s="17" t="str">
        <f>IF($B389="","",IF(VLOOKUP($A389,Spiele!$A$2:$F$15,3,FALSE)=$B389,VLOOKUP($A389,Spiele!$A$2:$F$15,4,FALSE),VLOOKUP($A389,Spiele!$A$2:$F$15,3,FALSE)))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$15,3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$15,3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IF($A390="","",IF(VLOOKUP($A390,Spiele!$A$2:$D$15,3,FALSE)=$B390,"H","G"))</f>
        <v>G</v>
      </c>
      <c r="D390" s="17" t="str">
        <f>IF($B390="","",IF(VLOOKUP($A390,Spiele!$A$2:$F$15,3,FALSE)=$B390,VLOOKUP($A390,Spiele!$A$2:$F$15,4,FALSE),VLOOKUP($A390,Spiele!$A$2:$F$15,3,FALSE)))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$15,3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$15,3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2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2" spans="1:47" ht="25.05" customHeight="1">
      <c r="AC392" s="14"/>
      <c r="AD392" s="14"/>
    </row>
  </sheetData>
  <phoneticPr fontId="5" type="noConversion"/>
  <conditionalFormatting sqref="A2:E390">
    <cfRule type="expression" dxfId="40" priority="127">
      <formula>$C2="H"</formula>
    </cfRule>
  </conditionalFormatting>
  <conditionalFormatting sqref="K2:K390 M2:M390 AC2:AD390 AF2:AG390 AJ2:AL390 AN2:AN390 AR2:AR390">
    <cfRule type="cellIs" dxfId="39" priority="47" operator="notEqual">
      <formula>""</formula>
    </cfRule>
  </conditionalFormatting>
  <conditionalFormatting sqref="K2:M390 AA2:AG390 AJ2:AL390 AN2:AN390 AR2:AR390">
    <cfRule type="expression" dxfId="38" priority="50">
      <formula>$F2&lt;&gt;""</formula>
    </cfRule>
  </conditionalFormatting>
  <conditionalFormatting sqref="L2:L390 AB2:AB390 AE2:AE390">
    <cfRule type="cellIs" dxfId="37" priority="1" operator="notEqual">
      <formula>""</formula>
    </cfRule>
  </conditionalFormatting>
  <conditionalFormatting sqref="M393">
    <cfRule type="cellIs" dxfId="36" priority="122" operator="notEqual">
      <formula>""</formula>
    </cfRule>
    <cfRule type="expression" dxfId="35" priority="123">
      <formula>$F393&lt;&gt;""</formula>
    </cfRule>
  </conditionalFormatting>
  <conditionalFormatting sqref="M2:AU1048576">
    <cfRule type="expression" dxfId="34" priority="48">
      <formula>$L2="ET"</formula>
    </cfRule>
  </conditionalFormatting>
  <conditionalFormatting sqref="N2:N390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393:Z393">
    <cfRule type="expression" dxfId="23" priority="105">
      <formula>$M393="nEW"</formula>
    </cfRule>
    <cfRule type="expression" dxfId="22" priority="106">
      <formula>$M393="EW"</formula>
    </cfRule>
    <cfRule type="expression" dxfId="21" priority="107">
      <formula>$M393="n11M"</formula>
    </cfRule>
    <cfRule type="expression" dxfId="20" priority="108">
      <formula>$M393="nFS"</formula>
    </cfRule>
    <cfRule type="expression" dxfId="19" priority="109">
      <formula>$M393="nE"</formula>
    </cfRule>
    <cfRule type="expression" dxfId="18" priority="110">
      <formula>$M393="FSF"</formula>
    </cfRule>
    <cfRule type="expression" dxfId="17" priority="111">
      <formula>$M393="E"</formula>
    </cfRule>
    <cfRule type="expression" dxfId="16" priority="112">
      <formula>$M393="USO"</formula>
    </cfRule>
    <cfRule type="expression" dxfId="15" priority="124">
      <formula>$M393="EB"</formula>
    </cfRule>
  </conditionalFormatting>
  <conditionalFormatting sqref="N393:AA393">
    <cfRule type="cellIs" dxfId="14" priority="104" operator="notEqual">
      <formula>""</formula>
    </cfRule>
  </conditionalFormatting>
  <conditionalFormatting sqref="AA2:AA390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393">
    <cfRule type="expression" dxfId="11" priority="125">
      <formula>#REF!=1</formula>
    </cfRule>
  </conditionalFormatting>
  <conditionalFormatting sqref="AC392:AD392">
    <cfRule type="expression" dxfId="10" priority="100">
      <formula>$L392="ET"</formula>
    </cfRule>
    <cfRule type="cellIs" dxfId="9" priority="101" operator="notEqual">
      <formula>""</formula>
    </cfRule>
    <cfRule type="expression" dxfId="8" priority="102">
      <formula>$F392&lt;&gt;""</formula>
    </cfRule>
  </conditionalFormatting>
  <conditionalFormatting sqref="AE2:AE390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390">
    <cfRule type="expression" dxfId="5" priority="2">
      <formula>$AJ2="niT"</formula>
    </cfRule>
  </conditionalFormatting>
  <conditionalFormatting sqref="AO2:AP390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390">
    <cfRule type="cellIs" dxfId="2" priority="15" operator="notEqual">
      <formula>""</formula>
    </cfRule>
    <cfRule type="expression" dxfId="1" priority="55">
      <formula>$AR2&gt;0</formula>
    </cfRule>
  </conditionalFormatting>
  <dataValidations count="17">
    <dataValidation type="list" allowBlank="1" showInputMessage="1" showErrorMessage="1" sqref="M393 M2:M390" xr:uid="{00000000-0002-0000-0000-000001000000}">
      <formula1>"EB, USO, E, FSS, FSF, nE, nFS, 11M, n11M, EW, nEW"</formula1>
    </dataValidation>
    <dataValidation type="list" allowBlank="1" showInputMessage="1" showErrorMessage="1" sqref="AA393" xr:uid="{00000000-0002-0000-0000-000003000000}">
      <formula1>"vB, As, adL"</formula1>
    </dataValidation>
    <dataValidation type="whole" allowBlank="1" showInputMessage="1" showErrorMessage="1" sqref="AA393 K2:K390" xr:uid="{00000000-0002-0000-0000-000009000000}">
      <formula1>1</formula1>
      <formula2>100</formula2>
    </dataValidation>
    <dataValidation type="list" allowBlank="1" showInputMessage="1" showErrorMessage="1" sqref="N393:Z393 N2:N390" xr:uid="{4E7924F3-E1D6-4CEC-89F5-E7EDABA1488E}">
      <formula1>"F, QP, CB, SP, TB, RP, KB, D, AP, NS, E, FSF, EW, ZK, GF"</formula1>
    </dataValidation>
    <dataValidation type="list" allowBlank="1" showInputMessage="1" showErrorMessage="1" sqref="L2:L390" xr:uid="{00000000-0002-0000-0000-000000000000}">
      <formula1>"Tor, Save, Vorbei, Block, Alu, TLK, ET"</formula1>
    </dataValidation>
    <dataValidation type="whole" allowBlank="1" showInputMessage="1" showErrorMessage="1" sqref="AR2:AR390 AN2:AN390" xr:uid="{00000000-0002-0000-0000-000005000000}">
      <formula1>0</formula1>
      <formula2>10</formula2>
    </dataValidation>
    <dataValidation type="list" allowBlank="1" showInputMessage="1" showErrorMessage="1" sqref="AC2:AC390" xr:uid="{00000000-0002-0000-0000-00000C000000}">
      <formula1>"Fuß, Kopf, Son"</formula1>
    </dataValidation>
    <dataValidation type="list" allowBlank="1" showInputMessage="1" showErrorMessage="1" sqref="AJ2:AJ390" xr:uid="{00000000-0002-0000-0000-00000E000000}">
      <formula1>"SB, nSB, niT"</formula1>
    </dataValidation>
    <dataValidation type="list" allowBlank="1" showInputMessage="1" showErrorMessage="1" sqref="AD2:AD390" xr:uid="{3049F233-6ADF-45B9-94F0-18F646E5F55A}">
      <formula1>"BzT, adD, RzT"</formula1>
    </dataValidation>
    <dataValidation type="whole" allowBlank="1" showInputMessage="1" showErrorMessage="1" sqref="A2:A390" xr:uid="{AFD00BA6-6B94-4FB3-9615-957FF7087FE5}">
      <formula1>1</formula1>
      <formula2>56</formula2>
    </dataValidation>
    <dataValidation type="whole" allowBlank="1" showInputMessage="1" showErrorMessage="1" sqref="G2:G390" xr:uid="{CE6964BC-C29C-4028-9295-92BC9841C3F5}">
      <formula1>1</formula1>
      <formula2>2</formula2>
    </dataValidation>
    <dataValidation type="decimal" allowBlank="1" showInputMessage="1" showErrorMessage="1" sqref="AS2:AS390 AO2:AO390 AK2:AK390 AF2:AF390" xr:uid="{1332B1E4-4905-4905-9FEE-DB1E7A56A0CF}">
      <formula1>-34</formula1>
      <formula2>34</formula2>
    </dataValidation>
    <dataValidation type="decimal" allowBlank="1" showInputMessage="1" showErrorMessage="1" sqref="AT2:AT390 AP2:AP390 AL2:AL390 AG2:AG390" xr:uid="{B259DCD2-13D4-4D69-8F35-042F7DB98FA7}">
      <formula1>0</formula1>
      <formula2>105</formula2>
    </dataValidation>
    <dataValidation type="list" allowBlank="1" showInputMessage="1" showErrorMessage="1" sqref="B2:B390" xr:uid="{DCEE5202-63DE-4F4D-821A-027A32C70C2E}">
      <formula1>Abkürzungen</formula1>
    </dataValidation>
    <dataValidation type="list" allowBlank="1" showInputMessage="1" showErrorMessage="1" sqref="AE2:AE390 O2:Z390" xr:uid="{5AE23A0E-4FFA-4979-B8E2-47521AB901D6}">
      <formula1>Nummern</formula1>
    </dataValidation>
    <dataValidation type="list" allowBlank="1" showInputMessage="1" showErrorMessage="1" sqref="AB2:AB390" xr:uid="{E65CAE3E-C5B8-46A3-A647-488F97992444}">
      <formula1>"L, R, K, S"</formula1>
    </dataValidation>
    <dataValidation type="list" allowBlank="1" showInputMessage="1" showErrorMessage="1" sqref="AA2:AA390" xr:uid="{A080DAA6-0E29-415D-B32E-A4D1310943E6}">
      <formula1>"vB, As, adL, nd"</formula1>
    </dataValidation>
  </dataValidations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2025-12-13T09:00:25Z</dcterms:modified>
</cp:coreProperties>
</file>