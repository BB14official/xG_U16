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7D4DE108-979F-40A6-AE0F-4A80479F4DE3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72" i="2"/>
  <c r="D272" i="2"/>
  <c r="C260" i="2"/>
  <c r="C258" i="2"/>
  <c r="J2" i="2"/>
  <c r="I2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7" i="2"/>
  <c r="D257" i="2"/>
  <c r="D258" i="2"/>
  <c r="C259" i="2"/>
  <c r="D259" i="2"/>
  <c r="D260" i="2"/>
  <c r="C261" i="2"/>
  <c r="D261" i="2"/>
  <c r="C262" i="2"/>
  <c r="D262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1" i="2"/>
  <c r="D271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79" i="2"/>
  <c r="D279" i="2"/>
  <c r="C280" i="2"/>
  <c r="D280" i="2"/>
  <c r="C281" i="2"/>
  <c r="D281" i="2"/>
  <c r="C282" i="2"/>
  <c r="D282" i="2"/>
  <c r="D2" i="2"/>
  <c r="C2" i="2"/>
  <c r="H15" i="35"/>
  <c r="AQ190" i="2"/>
  <c r="AM168" i="2"/>
  <c r="AH155" i="2"/>
  <c r="AU271" i="2"/>
  <c r="AU257" i="2"/>
  <c r="AH272" i="2"/>
  <c r="AI272" i="2"/>
  <c r="AM272" i="2"/>
  <c r="AQ272" i="2"/>
  <c r="AU272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3" i="2"/>
  <c r="AM274" i="2"/>
  <c r="AM275" i="2"/>
  <c r="AM276" i="2"/>
  <c r="AM277" i="2"/>
  <c r="AM278" i="2"/>
  <c r="AM279" i="2"/>
  <c r="AM280" i="2"/>
  <c r="AM281" i="2"/>
  <c r="AM282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3" i="2"/>
  <c r="AU274" i="2"/>
  <c r="AU275" i="2"/>
  <c r="AU276" i="2"/>
  <c r="AU277" i="2"/>
  <c r="AU278" i="2"/>
  <c r="AU279" i="2"/>
  <c r="AU280" i="2"/>
  <c r="AU281" i="2"/>
  <c r="AU282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3" i="2"/>
  <c r="AQ274" i="2"/>
  <c r="AQ275" i="2"/>
  <c r="AQ276" i="2"/>
  <c r="AQ277" i="2"/>
  <c r="AQ278" i="2"/>
  <c r="AQ279" i="2"/>
  <c r="AQ280" i="2"/>
  <c r="AQ281" i="2"/>
  <c r="AQ282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7" i="2"/>
  <c r="AI257" i="2"/>
  <c r="AH258" i="2"/>
  <c r="AI258" i="2"/>
  <c r="AH259" i="2"/>
  <c r="AI259" i="2"/>
  <c r="AH260" i="2"/>
  <c r="AI260" i="2"/>
  <c r="AH261" i="2"/>
  <c r="AI261" i="2"/>
  <c r="AH262" i="2"/>
  <c r="AI262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1" i="2"/>
  <c r="AI271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79" i="2"/>
  <c r="AI279" i="2"/>
  <c r="AH280" i="2"/>
  <c r="AI280" i="2"/>
  <c r="AH281" i="2"/>
  <c r="AI281" i="2"/>
  <c r="AH282" i="2"/>
  <c r="AI282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<sst xmlns="http://schemas.openxmlformats.org/spreadsheetml/2006/main" count="2699" uniqueCount="188">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</sst>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SUM(COUNTIFS(Abschlüsse!$A$2:$A$282,$A2,Abschlüsse!$B$2:$B$282,$C2,Abschlüsse!$L$2:$L$282,"Tor"),COUNTIFS(Abschlüsse!$A$2:$A$282,$A2,Abschlüsse!$B$2:$B$282,$C2,Abschlüsse!$L$2:$L$282,"ET"))</calculatedColumnFormula>
    </tableColumn>
    <tableColumn id="14" xr3:uid="{C91559F3-290E-4254-BCA6-0153E99BEA95}" name="TG" dataDxfId="121">
      <calculatedColumnFormula>SUM(COUNTIFS(Abschlüsse!$A$2:$A$282,$A2,Abschlüsse!$B$2:$B$282,$D2,Abschlüsse!$L$2:$L$282,"Tor"),COUNTIFS(Abschlüsse!$A$2:$A$282,$A2,Abschlüsse!$B$2:$B$282,$D2,Abschlüsse!$L$2:$L$282,"ET"))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82" totalsRowShown="0" headerRowDxfId="103" dataDxfId="102" headerRowCellStyle="Standard 2">
  <autoFilter ref="A1:AU282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SUM(COUNTIFS(Abschlüsse!$A$2:$A$282,$A2,Abschlüsse!$B$2:$B$282,$C2,Abschlüsse!$L$2:$L$282,"Tor"),COUNTIFS(Abschlüsse!$A$2:$A$282,$A2,Abschlüsse!$B$2:$B$282,$C2,Abschlüsse!$L$2:$L$282,"ET"))</f>
        <v>4</v>
      </c>
      <c r="H2" s="18">
        <f>SUM(COUNTIFS(Abschlüsse!$A$2:$A$282,$A2,Abschlüsse!$B$2:$B$282,$D2,Abschlüsse!$L$2:$L$282,"Tor"),COUNTIFS(Abschlüsse!$A$2:$A$282,$A2,Abschlüsse!$B$2:$B$282,$D2,Abschlüsse!$L$2:$L$282,"ET"))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SUM(COUNTIFS(Abschlüsse!$A$2:$A$282,$A3,Abschlüsse!$B$2:$B$282,$C3,Abschlüsse!$L$2:$L$282,"Tor"),COUNTIFS(Abschlüsse!$A$2:$A$282,$A3,Abschlüsse!$B$2:$B$282,$C3,Abschlüsse!$L$2:$L$282,"ET"))</f>
        <v>2</v>
      </c>
      <c r="H3" s="18">
        <f>SUM(COUNTIFS(Abschlüsse!$A$2:$A$282,$A3,Abschlüsse!$B$2:$B$282,$D3,Abschlüsse!$L$2:$L$282,"Tor"),COUNTIFS(Abschlüsse!$A$2:$A$282,$A3,Abschlüsse!$B$2:$B$282,$D3,Abschlüsse!$L$2:$L$282,"ET"))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SUM(COUNTIFS(Abschlüsse!$A$2:$A$282,$A4,Abschlüsse!$B$2:$B$282,$C4,Abschlüsse!$L$2:$L$282,"Tor"),COUNTIFS(Abschlüsse!$A$2:$A$282,$A4,Abschlüsse!$B$2:$B$282,$C4,Abschlüsse!$L$2:$L$282,"ET"))</f>
        <v>4</v>
      </c>
      <c r="H4" s="18">
        <f>SUM(COUNTIFS(Abschlüsse!$A$2:$A$282,$A4,Abschlüsse!$B$2:$B$282,$D4,Abschlüsse!$L$2:$L$282,"Tor"),COUNTIFS(Abschlüsse!$A$2:$A$282,$A4,Abschlüsse!$B$2:$B$282,$D4,Abschlüsse!$L$2:$L$282,"ET"))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SUM(COUNTIFS(Abschlüsse!$A$2:$A$282,$A5,Abschlüsse!$B$2:$B$282,$C5,Abschlüsse!$L$2:$L$282,"Tor"),COUNTIFS(Abschlüsse!$A$2:$A$282,$A5,Abschlüsse!$B$2:$B$282,$C5,Abschlüsse!$L$2:$L$282,"ET"))</f>
        <v>0</v>
      </c>
      <c r="H5" s="18">
        <f>SUM(COUNTIFS(Abschlüsse!$A$2:$A$282,$A5,Abschlüsse!$B$2:$B$282,$D5,Abschlüsse!$L$2:$L$282,"Tor"),COUNTIFS(Abschlüsse!$A$2:$A$282,$A5,Abschlüsse!$B$2:$B$282,$D5,Abschlüsse!$L$2:$L$282,"ET"))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SUM(COUNTIFS(Abschlüsse!$A$2:$A$282,$A6,Abschlüsse!$B$2:$B$282,$C6,Abschlüsse!$L$2:$L$282,"Tor"),COUNTIFS(Abschlüsse!$A$2:$A$282,$A6,Abschlüsse!$B$2:$B$282,$C6,Abschlüsse!$L$2:$L$282,"ET"))</f>
        <v>2</v>
      </c>
      <c r="H6" s="18">
        <f>SUM(COUNTIFS(Abschlüsse!$A$2:$A$282,$A6,Abschlüsse!$B$2:$B$282,$D6,Abschlüsse!$L$2:$L$282,"Tor"),COUNTIFS(Abschlüsse!$A$2:$A$282,$A6,Abschlüsse!$B$2:$B$282,$D6,Abschlüsse!$L$2:$L$282,"ET"))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SUM(COUNTIFS(Abschlüsse!$A$2:$A$282,$A7,Abschlüsse!$B$2:$B$282,$C7,Abschlüsse!$L$2:$L$282,"Tor"),COUNTIFS(Abschlüsse!$A$2:$A$282,$A7,Abschlüsse!$B$2:$B$282,$C7,Abschlüsse!$L$2:$L$282,"ET"))</f>
        <v>4</v>
      </c>
      <c r="H7" s="18">
        <f>SUM(COUNTIFS(Abschlüsse!$A$2:$A$282,$A7,Abschlüsse!$B$2:$B$282,$D7,Abschlüsse!$L$2:$L$282,"Tor"),COUNTIFS(Abschlüsse!$A$2:$A$282,$A7,Abschlüsse!$B$2:$B$282,$D7,Abschlüsse!$L$2:$L$282,"ET"))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SUM(COUNTIFS(Abschlüsse!$A$2:$A$282,$A8,Abschlüsse!$B$2:$B$282,$C8,Abschlüsse!$L$2:$L$282,"Tor"),COUNTIFS(Abschlüsse!$A$2:$A$282,$A8,Abschlüsse!$B$2:$B$282,$C8,Abschlüsse!$L$2:$L$282,"ET"))</f>
        <v>2</v>
      </c>
      <c r="H8" s="18">
        <f>SUM(COUNTIFS(Abschlüsse!$A$2:$A$282,$A8,Abschlüsse!$B$2:$B$282,$D8,Abschlüsse!$L$2:$L$282,"Tor"),COUNTIFS(Abschlüsse!$A$2:$A$282,$A8,Abschlüsse!$B$2:$B$282,$D8,Abschlüsse!$L$2:$L$282,"ET"))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SUM(COUNTIFS(Abschlüsse!$A$2:$A$282,$A9,Abschlüsse!$B$2:$B$282,$C9,Abschlüsse!$L$2:$L$282,"Tor"),COUNTIFS(Abschlüsse!$A$2:$A$282,$A9,Abschlüsse!$B$2:$B$282,$C9,Abschlüsse!$L$2:$L$282,"ET"))</f>
        <v>2</v>
      </c>
      <c r="H9" s="18">
        <f>SUM(COUNTIFS(Abschlüsse!$A$2:$A$282,$A9,Abschlüsse!$B$2:$B$282,$D9,Abschlüsse!$L$2:$L$282,"Tor"),COUNTIFS(Abschlüsse!$A$2:$A$282,$A9,Abschlüsse!$B$2:$B$282,$D9,Abschlüsse!$L$2:$L$282,"ET"))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SUM(COUNTIFS(Abschlüsse!$A$2:$A$282,$A10,Abschlüsse!$B$2:$B$282,$C10,Abschlüsse!$L$2:$L$282,"Tor"),COUNTIFS(Abschlüsse!$A$2:$A$282,$A10,Abschlüsse!$B$2:$B$282,$C10,Abschlüsse!$L$2:$L$282,"ET"))</f>
        <v>2</v>
      </c>
      <c r="H10" s="18">
        <f>SUM(COUNTIFS(Abschlüsse!$A$2:$A$282,$A10,Abschlüsse!$B$2:$B$282,$D10,Abschlüsse!$L$2:$L$282,"Tor"),COUNTIFS(Abschlüsse!$A$2:$A$282,$A10,Abschlüsse!$B$2:$B$282,$D10,Abschlüsse!$L$2:$L$282,"ET"))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SUM(COUNTIFS(Abschlüsse!$A$2:$A$282,$A11,Abschlüsse!$B$2:$B$282,$C11,Abschlüsse!$L$2:$L$282,"Tor"),COUNTIFS(Abschlüsse!$A$2:$A$282,$A11,Abschlüsse!$B$2:$B$282,$C11,Abschlüsse!$L$2:$L$282,"ET"))</f>
        <v>0</v>
      </c>
      <c r="H11" s="18">
        <f>SUM(COUNTIFS(Abschlüsse!$A$2:$A$282,$A11,Abschlüsse!$B$2:$B$282,$D11,Abschlüsse!$L$2:$L$282,"Tor"),COUNTIFS(Abschlüsse!$A$2:$A$282,$A11,Abschlüsse!$B$2:$B$282,$D11,Abschlüsse!$L$2:$L$282,"ET"))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SUM(COUNTIFS(Abschlüsse!$A$2:$A$282,$A12,Abschlüsse!$B$2:$B$282,$C12,Abschlüsse!$L$2:$L$282,"Tor"),COUNTIFS(Abschlüsse!$A$2:$A$282,$A12,Abschlüsse!$B$2:$B$282,$C12,Abschlüsse!$L$2:$L$282,"ET"))</f>
        <v>0</v>
      </c>
      <c r="H12" s="18">
        <f>SUM(COUNTIFS(Abschlüsse!$A$2:$A$282,$A12,Abschlüsse!$B$2:$B$282,$D12,Abschlüsse!$L$2:$L$282,"Tor"),COUNTIFS(Abschlüsse!$A$2:$A$282,$A12,Abschlüsse!$B$2:$B$282,$D12,Abschlüsse!$L$2:$L$282,"ET"))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SUM(COUNTIFS(Abschlüsse!$A$2:$A$282,$A13,Abschlüsse!$B$2:$B$282,$C13,Abschlüsse!$L$2:$L$282,"Tor"),COUNTIFS(Abschlüsse!$A$2:$A$282,$A13,Abschlüsse!$B$2:$B$282,$C13,Abschlüsse!$L$2:$L$282,"ET"))</f>
        <v>0</v>
      </c>
      <c r="H13" s="18">
        <f>SUM(COUNTIFS(Abschlüsse!$A$2:$A$282,$A13,Abschlüsse!$B$2:$B$282,$D13,Abschlüsse!$L$2:$L$282,"Tor"),COUNTIFS(Abschlüsse!$A$2:$A$282,$A13,Abschlüsse!$B$2:$B$282,$D13,Abschlüsse!$L$2:$L$282,"ET"))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SUM(COUNTIFS(Abschlüsse!$A$2:$A$282,$A14,Abschlüsse!$B$2:$B$282,$C14,Abschlüsse!$L$2:$L$282,"Tor"),COUNTIFS(Abschlüsse!$A$2:$A$282,$A14,Abschlüsse!$B$2:$B$282,$C14,Abschlüsse!$L$2:$L$282,"ET"))</f>
        <v>1</v>
      </c>
      <c r="H14" s="18">
        <f>SUM(COUNTIFS(Abschlüsse!$A$2:$A$282,$A14,Abschlüsse!$B$2:$B$282,$D14,Abschlüsse!$L$2:$L$282,"Tor"),COUNTIFS(Abschlüsse!$A$2:$A$282,$A14,Abschlüsse!$B$2:$B$282,$D14,Abschlüsse!$L$2:$L$282,"ET"))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SUM(COUNTIFS(Abschlüsse!$A$2:$A$282,$A15,Abschlüsse!$B$2:$B$282,$C15,Abschlüsse!$L$2:$L$282,"Tor"),COUNTIFS(Abschlüsse!$A$2:$A$282,$A15,Abschlüsse!$B$2:$B$282,$C15,Abschlüsse!$L$2:$L$282,"ET"))</f>
        <v>0</v>
      </c>
      <c r="H15" s="18">
        <f>SUM(COUNTIFS(Abschlüsse!$A$2:$A$282,$A15,Abschlüsse!$B$2:$B$282,$D15,Abschlüsse!$L$2:$L$282,"Tor"),COUNTIFS(Abschlüsse!$A$2:$A$282,$A15,Abschlüsse!$B$2:$B$282,$D15,Abschlüsse!$L$2:$L$282,"ET"))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84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3" si="12">IF($L194="ET","",IF($AF194&gt;3.66,SQRT($AG194^2+($AF194-(7.32/2))^2),IF($AF194&lt;-3.66,SQRT($AG194^2+($AF194+(7.32/2))^2),$AG194)))</f>
        <v>15</v>
      </c>
      <c r="AI194" s="19">
        <f t="shared" ref="AI194:AI253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53" si="14">IF(AN203=0,"",SQRT(($AF203-$AO203)^2+($AG203-$AP203)^2))</f>
        <v>2.5</v>
      </c>
      <c r="AR203" s="3">
        <v>0</v>
      </c>
      <c r="AU203" s="19" t="str">
        <f t="shared" ref="AU203:AU253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</v>
      </c>
      <c r="F254" s="11">
        <v>7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20</v>
      </c>
      <c r="M254" s="2" t="s">
        <v>163</v>
      </c>
      <c r="N254" s="2" t="s">
        <v>158</v>
      </c>
      <c r="O254" s="17"/>
      <c r="AA254" s="2" t="s">
        <v>142</v>
      </c>
      <c r="AB254" s="17" t="s">
        <v>149</v>
      </c>
      <c r="AC254" s="14" t="s">
        <v>150</v>
      </c>
      <c r="AD254" s="14" t="s">
        <v>156</v>
      </c>
      <c r="AE254" s="18"/>
      <c r="AF254" s="13">
        <v>-2</v>
      </c>
      <c r="AG254" s="13">
        <v>17.5</v>
      </c>
      <c r="AH254" s="19">
        <f t="shared" ref="AH254:AH282" si="16">IF($L254="ET","",IF($AF254&gt;3.66,SQRT($AG254^2+($AF254-(7.32/2))^2),IF($AF254&lt;-3.66,SQRT($AG254^2+($AF254+(7.32/2))^2),$AG254)))</f>
        <v>17.5</v>
      </c>
      <c r="AI254" s="19">
        <f t="shared" ref="AI254:AI282" si="17">IF($L254="ET","",IF(DEGREES(ATAN((7.32*$AG254)/($AG254^2+$AF254^2-(7.32/2)^2)))&lt;=0,180+DEGREES(ATAN((7.32*$AG254)/($AG254^2+$AF254^2-(7.32/2)^2))),DEGREES(ATAN((7.32*$AG254)/($AG254^2+$AF254^2-(7.32/2)^2)))))</f>
        <v>23.341389828691302</v>
      </c>
      <c r="AJ254" s="2" t="s">
        <v>146</v>
      </c>
      <c r="AK254" s="13">
        <v>-0.5</v>
      </c>
      <c r="AL254" s="13">
        <v>0.5</v>
      </c>
      <c r="AM254" s="19">
        <f>IF(Abschlüsse[[#This Row],[Ergeb]]="ET","",SQRT(($AF254-$AK254)^2+($AG254-$AL254)^2))</f>
        <v>17.066048165876012</v>
      </c>
      <c r="AN254" s="3">
        <v>1</v>
      </c>
      <c r="AO254" s="13">
        <v>-2.5</v>
      </c>
      <c r="AP254" s="13">
        <v>17</v>
      </c>
      <c r="AQ254" s="19">
        <f t="shared" ref="AQ254:AQ282" si="18">IF(AN254=0,"",SQRT(($AF254-$AO254)^2+($AG254-$AP254)^2))</f>
        <v>0.70710678118654757</v>
      </c>
      <c r="AR254" s="3">
        <v>2</v>
      </c>
      <c r="AS254" s="13">
        <v>-2</v>
      </c>
      <c r="AT254" s="13">
        <v>14</v>
      </c>
      <c r="AU254" s="19">
        <f t="shared" ref="AU254:AU282" si="19">IF(AR254=0,"",SQRT(($AF254-$AS254)^2+($AG254-$AT254)^2))</f>
        <v>3.5</v>
      </c>
    </row>
    <row r="255" spans="1:47" ht="25.05" customHeight="1">
      <c r="A255" s="3">
        <v>13</v>
      </c>
      <c r="B255" s="2" t="s">
        <v>76</v>
      </c>
      <c r="C255" s="17" t="str">
        <f>IF($A255="","",IF(VLOOKUP($A255,Spiele!$A$2:$D$15,3,FALSE)=$B255,"H","G"))</f>
        <v>G</v>
      </c>
      <c r="D255" s="17" t="str">
        <f>IF($B255="","",IF(VLOOKUP($A255,Spiele!$A$2:$F$15,3,FALSE)=$B255,VLOOKUP($A255,Spiele!$A$2:$F$15,4,FALSE),VLOOKUP($A255,Spiele!$A$2:$F$15,3,FALSE)))</f>
        <v>FCN</v>
      </c>
      <c r="E255" s="18">
        <f>IF(Abschlüsse[[#This Row],[Ergeb]]="ET",0,COUNTIFS($A$2:$A255,$A255,$B$2:$B255,$B255,$L$2:$L255,"&lt;&gt;ET"))</f>
        <v>2</v>
      </c>
      <c r="F255" s="11">
        <v>7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1</v>
      </c>
      <c r="L255" s="17" t="s">
        <v>19</v>
      </c>
      <c r="M255" s="2" t="s">
        <v>163</v>
      </c>
      <c r="N255" s="2" t="s">
        <v>165</v>
      </c>
      <c r="O255" s="17"/>
      <c r="AA255" s="2" t="s">
        <v>154</v>
      </c>
      <c r="AB255" s="17" t="s">
        <v>143</v>
      </c>
      <c r="AC255" s="14" t="s">
        <v>161</v>
      </c>
      <c r="AD255" s="14" t="s">
        <v>162</v>
      </c>
      <c r="AE255" s="18"/>
      <c r="AF255" s="13">
        <v>-12</v>
      </c>
      <c r="AG255" s="13">
        <v>15.5</v>
      </c>
      <c r="AH255" s="19">
        <f t="shared" si="16"/>
        <v>17.601295406872758</v>
      </c>
      <c r="AI255" s="19">
        <f t="shared" si="17"/>
        <v>17.011080950867086</v>
      </c>
      <c r="AJ255" s="2" t="s">
        <v>146</v>
      </c>
      <c r="AK255" s="13">
        <v>-2</v>
      </c>
      <c r="AL255" s="13">
        <v>1</v>
      </c>
      <c r="AM255" s="19">
        <f>IF(Abschlüsse[[#This Row],[Ergeb]]="ET","",SQRT(($AF255-$AK255)^2+($AG255-$AL255)^2))</f>
        <v>17.613914953808536</v>
      </c>
      <c r="AN255" s="3">
        <v>0</v>
      </c>
      <c r="AO255" s="13"/>
      <c r="AP255" s="13"/>
      <c r="AQ255" s="19" t="str">
        <f t="shared" si="18"/>
        <v/>
      </c>
      <c r="AR255" s="3">
        <v>2</v>
      </c>
      <c r="AS255" s="13">
        <v>-10.5</v>
      </c>
      <c r="AT255" s="13">
        <v>13.5</v>
      </c>
      <c r="AU255" s="19">
        <f t="shared" si="19"/>
        <v>2.5</v>
      </c>
    </row>
    <row r="256" spans="1:47" ht="25.05" customHeight="1">
      <c r="A256" s="3">
        <v>13</v>
      </c>
      <c r="B256" s="2" t="s">
        <v>8</v>
      </c>
      <c r="C256" s="17" t="str">
        <f>IF($A256="","",IF(VLOOKUP($A256,Spiele!$A$2:$D$15,3,FALSE)=$B256,"H","G"))</f>
        <v>H</v>
      </c>
      <c r="D256" s="17" t="str">
        <f>IF($B256="","",IF(VLOOKUP($A256,Spiele!$A$2:$F$15,3,FALSE)=$B256,VLOOKUP($A256,Spiele!$A$2:$F$15,4,FALSE),VLOOKUP($A256,Spiele!$A$2:$F$15,3,FALSE)))</f>
        <v>60M</v>
      </c>
      <c r="E256" s="18">
        <f>IF(Abschlüsse[[#This Row],[Ergeb]]="ET",0,COUNTIFS($A$2:$A256,$A256,$B$2:$B256,$B256,$L$2:$L256,"&lt;&gt;ET"))</f>
        <v>1</v>
      </c>
      <c r="F256" s="11">
        <v>8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2</v>
      </c>
      <c r="L256" s="17" t="s">
        <v>19</v>
      </c>
      <c r="M256" s="2" t="s">
        <v>163</v>
      </c>
      <c r="N256" s="2" t="s">
        <v>164</v>
      </c>
      <c r="O256" s="17">
        <v>8</v>
      </c>
      <c r="AA256" s="2" t="s">
        <v>151</v>
      </c>
      <c r="AB256" s="17" t="s">
        <v>143</v>
      </c>
      <c r="AC256" s="14" t="s">
        <v>150</v>
      </c>
      <c r="AD256" s="14" t="s">
        <v>156</v>
      </c>
      <c r="AE256" s="18">
        <v>9</v>
      </c>
      <c r="AF256" s="13">
        <v>-3.5</v>
      </c>
      <c r="AG256" s="13">
        <v>11.5</v>
      </c>
      <c r="AH256" s="19">
        <f t="shared" si="16"/>
        <v>11.5</v>
      </c>
      <c r="AI256" s="19">
        <f t="shared" si="17"/>
        <v>32.703859314557576</v>
      </c>
      <c r="AJ256" s="2" t="s">
        <v>146</v>
      </c>
      <c r="AK256" s="13">
        <v>-1.5</v>
      </c>
      <c r="AL256" s="13">
        <v>3.5</v>
      </c>
      <c r="AM256" s="19">
        <f>IF(Abschlüsse[[#This Row],[Ergeb]]="ET","",SQRT(($AF256-$AK256)^2+($AG256-$AL256)^2))</f>
        <v>8.2462112512353212</v>
      </c>
      <c r="AN256" s="3">
        <v>0</v>
      </c>
      <c r="AO256" s="13"/>
      <c r="AP256" s="13"/>
      <c r="AQ256" s="19" t="str">
        <f t="shared" si="18"/>
        <v/>
      </c>
      <c r="AR256" s="3">
        <v>1</v>
      </c>
      <c r="AS256" s="13">
        <v>-3.5</v>
      </c>
      <c r="AT256" s="13">
        <v>9.5</v>
      </c>
      <c r="AU256" s="19">
        <f t="shared" si="19"/>
        <v>2</v>
      </c>
    </row>
    <row r="257" spans="1:47" ht="25.05" customHeight="1">
      <c r="A257" s="3">
        <v>13</v>
      </c>
      <c r="B257" s="2" t="s">
        <v>76</v>
      </c>
      <c r="C257" s="17" t="str">
        <f>IF($A257="","",IF(VLOOKUP($A257,Spiele!$A$2:$D$15,3,FALSE)=$B257,"H","G"))</f>
        <v>G</v>
      </c>
      <c r="D257" s="17" t="str">
        <f>IF($B257="","",IF(VLOOKUP($A257,Spiele!$A$2:$F$15,3,FALSE)=$B257,VLOOKUP($A257,Spiele!$A$2:$F$15,4,FALSE),VLOOKUP($A257,Spiele!$A$2:$F$15,3,FALSE)))</f>
        <v>FCN</v>
      </c>
      <c r="E257" s="18">
        <f>IF(Abschlüsse[[#This Row],[Ergeb]]="ET",0,COUNTIFS($A$2:$A257,$A257,$B$2:$B257,$B257,$L$2:$L257,"&lt;&gt;ET"))</f>
        <v>3</v>
      </c>
      <c r="F257" s="11">
        <v>9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3</v>
      </c>
      <c r="L257" s="17" t="s">
        <v>18</v>
      </c>
      <c r="M257" s="2" t="s">
        <v>147</v>
      </c>
      <c r="N257" s="2" t="s">
        <v>158</v>
      </c>
      <c r="O257" s="17"/>
      <c r="AA257" s="2" t="s">
        <v>154</v>
      </c>
      <c r="AB257" s="17" t="s">
        <v>143</v>
      </c>
      <c r="AC257" s="14" t="s">
        <v>144</v>
      </c>
      <c r="AD257" s="14" t="s">
        <v>156</v>
      </c>
      <c r="AE257" s="18"/>
      <c r="AF257" s="13">
        <v>-0.5</v>
      </c>
      <c r="AG257" s="13">
        <v>15.5</v>
      </c>
      <c r="AH257" s="19">
        <f t="shared" si="16"/>
        <v>15.5</v>
      </c>
      <c r="AI257" s="19">
        <f t="shared" si="17"/>
        <v>26.546439371443093</v>
      </c>
      <c r="AJ257" s="2" t="s">
        <v>146</v>
      </c>
      <c r="AK257" s="13">
        <v>0.5</v>
      </c>
      <c r="AL257" s="13">
        <v>0.5</v>
      </c>
      <c r="AM257" s="19">
        <f>IF(Abschlüsse[[#This Row],[Ergeb]]="ET","",SQRT(($AF257-$AK257)^2+($AG257-$AL257)^2))</f>
        <v>15.033296378372908</v>
      </c>
      <c r="AN257" s="3">
        <v>0</v>
      </c>
      <c r="AO257" s="13"/>
      <c r="AP257" s="13"/>
      <c r="AQ257" s="19" t="str">
        <f t="shared" si="18"/>
        <v/>
      </c>
      <c r="AR257" s="3">
        <v>2</v>
      </c>
      <c r="AS257" s="13">
        <v>-1</v>
      </c>
      <c r="AT257" s="13">
        <v>9.5</v>
      </c>
      <c r="AU257" s="19">
        <f t="shared" si="19"/>
        <v>6.0207972893961479</v>
      </c>
    </row>
    <row r="258" spans="1:47" ht="25.05" customHeight="1">
      <c r="A258" s="3">
        <v>13</v>
      </c>
      <c r="B258" s="2" t="s">
        <v>8</v>
      </c>
      <c r="C258" s="17" t="str">
        <f>IF($A258="","",IF(VLOOKUP($A258,Spiele!$A$2:$D$15,3,FALSE)=$B258,"H","G"))</f>
        <v>H</v>
      </c>
      <c r="D258" s="17" t="str">
        <f>IF($B258="","",IF(VLOOKUP($A258,Spiele!$A$2:$F$15,3,FALSE)=$B258,VLOOKUP($A258,Spiele!$A$2:$F$15,4,FALSE),VLOOKUP($A258,Spiele!$A$2:$F$15,3,FALSE)))</f>
        <v>60M</v>
      </c>
      <c r="E258" s="18">
        <f>IF(Abschlüsse[[#This Row],[Ergeb]]="ET",0,COUNTIFS($A$2:$A258,$A258,$B$2:$B258,$B258,$L$2:$L258,"&lt;&gt;ET"))</f>
        <v>2</v>
      </c>
      <c r="F258" s="11">
        <v>10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4</v>
      </c>
      <c r="L258" s="17" t="s">
        <v>19</v>
      </c>
      <c r="M258" s="2" t="s">
        <v>163</v>
      </c>
      <c r="N258" s="2" t="s">
        <v>152</v>
      </c>
      <c r="O258" s="17">
        <v>9</v>
      </c>
      <c r="P258" s="2">
        <v>6</v>
      </c>
      <c r="Q258" s="2">
        <v>7</v>
      </c>
      <c r="R258" s="2">
        <v>23</v>
      </c>
      <c r="AA258" s="2" t="s">
        <v>151</v>
      </c>
      <c r="AB258" s="17" t="s">
        <v>143</v>
      </c>
      <c r="AC258" s="14" t="s">
        <v>150</v>
      </c>
      <c r="AD258" s="14" t="s">
        <v>145</v>
      </c>
      <c r="AE258" s="18">
        <v>7</v>
      </c>
      <c r="AF258" s="13">
        <v>15</v>
      </c>
      <c r="AG258" s="13">
        <v>7.5</v>
      </c>
      <c r="AH258" s="19">
        <f t="shared" si="16"/>
        <v>13.595793467098565</v>
      </c>
      <c r="AI258" s="19">
        <f t="shared" si="17"/>
        <v>11.583042211219654</v>
      </c>
      <c r="AJ258" s="2" t="s">
        <v>146</v>
      </c>
      <c r="AK258" s="13">
        <v>4</v>
      </c>
      <c r="AL258" s="13">
        <v>1.5</v>
      </c>
      <c r="AM258" s="19">
        <f>IF(Abschlüsse[[#This Row],[Ergeb]]="ET","",SQRT(($AF258-$AK258)^2+($AG258-$AL258)^2))</f>
        <v>12.529964086141668</v>
      </c>
      <c r="AN258" s="3">
        <v>1</v>
      </c>
      <c r="AO258" s="13">
        <v>13.5</v>
      </c>
      <c r="AP258" s="13">
        <v>8.5</v>
      </c>
      <c r="AQ258" s="19">
        <f t="shared" si="18"/>
        <v>1.8027756377319946</v>
      </c>
      <c r="AR258" s="3">
        <v>0</v>
      </c>
      <c r="AU258" s="19" t="str">
        <f t="shared" si="19"/>
        <v/>
      </c>
    </row>
    <row r="259" spans="1:47" ht="25.05" customHeight="1">
      <c r="A259" s="3">
        <v>13</v>
      </c>
      <c r="B259" s="2" t="s">
        <v>76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4</v>
      </c>
      <c r="F259" s="11">
        <v>14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20</v>
      </c>
      <c r="M259" s="2" t="s">
        <v>147</v>
      </c>
      <c r="N259" s="2" t="s">
        <v>153</v>
      </c>
      <c r="O259" s="17"/>
      <c r="AA259" s="2" t="s">
        <v>154</v>
      </c>
      <c r="AB259" s="17" t="s">
        <v>160</v>
      </c>
      <c r="AC259" s="14" t="s">
        <v>161</v>
      </c>
      <c r="AD259" s="14" t="s">
        <v>156</v>
      </c>
      <c r="AE259" s="18"/>
      <c r="AF259" s="13">
        <v>7.5</v>
      </c>
      <c r="AG259" s="13">
        <v>13</v>
      </c>
      <c r="AH259" s="19">
        <f t="shared" si="16"/>
        <v>13.555279414309393</v>
      </c>
      <c r="AI259" s="19">
        <f t="shared" si="17"/>
        <v>24.188491715950388</v>
      </c>
      <c r="AJ259" s="2" t="s">
        <v>146</v>
      </c>
      <c r="AK259" s="13">
        <v>1</v>
      </c>
      <c r="AL259" s="13">
        <v>0.5</v>
      </c>
      <c r="AM259" s="19">
        <f>IF(Abschlüsse[[#This Row],[Ergeb]]="ET","",SQRT(($AF259-$AK259)^2+($AG259-$AL259)^2))</f>
        <v>14.089002803605371</v>
      </c>
      <c r="AN259" s="3">
        <v>0</v>
      </c>
      <c r="AO259" s="13"/>
      <c r="AP259" s="13"/>
      <c r="AQ259" s="19" t="str">
        <f t="shared" si="18"/>
        <v/>
      </c>
      <c r="AR259" s="3">
        <v>2</v>
      </c>
      <c r="AS259" s="13">
        <v>7</v>
      </c>
      <c r="AT259" s="13">
        <v>12</v>
      </c>
      <c r="AU259" s="19">
        <f t="shared" si="19"/>
        <v>1.1180339887498949</v>
      </c>
    </row>
    <row r="260" spans="1:47" ht="25.05" customHeight="1">
      <c r="A260" s="3">
        <v>13</v>
      </c>
      <c r="B260" s="2" t="s">
        <v>76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5</v>
      </c>
      <c r="F260" s="11">
        <v>18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3</v>
      </c>
      <c r="O260" s="17"/>
      <c r="AA260" s="2" t="s">
        <v>141</v>
      </c>
      <c r="AB260" s="17" t="s">
        <v>149</v>
      </c>
      <c r="AC260" s="14" t="s">
        <v>150</v>
      </c>
      <c r="AD260" s="14" t="s">
        <v>145</v>
      </c>
      <c r="AE260" s="18"/>
      <c r="AF260" s="13">
        <v>1</v>
      </c>
      <c r="AG260" s="13">
        <v>19</v>
      </c>
      <c r="AH260" s="19">
        <f t="shared" si="16"/>
        <v>19</v>
      </c>
      <c r="AI260" s="19">
        <f t="shared" si="17"/>
        <v>21.750134253188115</v>
      </c>
      <c r="AJ260" s="2" t="s">
        <v>146</v>
      </c>
      <c r="AK260" s="13">
        <v>0</v>
      </c>
      <c r="AL260" s="13">
        <v>0.5</v>
      </c>
      <c r="AM260" s="19">
        <f>IF(Abschlüsse[[#This Row],[Ergeb]]="ET","",SQRT(($AF260-$AK260)^2+($AG260-$AL260)^2))</f>
        <v>18.527007313648905</v>
      </c>
      <c r="AN260" s="3">
        <v>1</v>
      </c>
      <c r="AO260" s="13">
        <v>-1.5</v>
      </c>
      <c r="AP260" s="13">
        <v>18</v>
      </c>
      <c r="AQ260" s="19">
        <f t="shared" si="18"/>
        <v>2.6925824035672519</v>
      </c>
      <c r="AR260" s="3">
        <v>2</v>
      </c>
      <c r="AS260" s="13">
        <v>1</v>
      </c>
      <c r="AT260" s="13">
        <v>14</v>
      </c>
      <c r="AU260" s="19">
        <f t="shared" si="19"/>
        <v>5</v>
      </c>
    </row>
    <row r="261" spans="1:47" ht="25.05" customHeight="1">
      <c r="A261" s="3">
        <v>13</v>
      </c>
      <c r="B261" s="2" t="s">
        <v>76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6</v>
      </c>
      <c r="F261" s="11">
        <v>18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/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20</v>
      </c>
      <c r="M261" s="2" t="s">
        <v>163</v>
      </c>
      <c r="N261" s="2" t="s">
        <v>3</v>
      </c>
      <c r="O261" s="17"/>
      <c r="AA261" s="2" t="s">
        <v>142</v>
      </c>
      <c r="AB261" s="17" t="s">
        <v>149</v>
      </c>
      <c r="AC261" s="14" t="s">
        <v>150</v>
      </c>
      <c r="AD261" s="14" t="s">
        <v>145</v>
      </c>
      <c r="AE261" s="18"/>
      <c r="AF261" s="13">
        <v>6.5</v>
      </c>
      <c r="AG261" s="13">
        <v>14.5</v>
      </c>
      <c r="AH261" s="19">
        <f t="shared" si="16"/>
        <v>14.775506759498978</v>
      </c>
      <c r="AI261" s="19">
        <f t="shared" si="17"/>
        <v>23.936746455580142</v>
      </c>
      <c r="AJ261" s="2" t="s">
        <v>146</v>
      </c>
      <c r="AK261" s="13">
        <v>0.5</v>
      </c>
      <c r="AL261" s="13">
        <v>0.5</v>
      </c>
      <c r="AM261" s="19">
        <f>IF(Abschlüsse[[#This Row],[Ergeb]]="ET","",SQRT(($AF261-$AK261)^2+($AG261-$AL261)^2))</f>
        <v>15.231546211727817</v>
      </c>
      <c r="AN261" s="3">
        <v>2</v>
      </c>
      <c r="AO261" s="13">
        <v>3</v>
      </c>
      <c r="AP261" s="13">
        <v>14.5</v>
      </c>
      <c r="AQ261" s="19">
        <f t="shared" si="18"/>
        <v>3.5</v>
      </c>
      <c r="AR261" s="3">
        <v>2</v>
      </c>
      <c r="AS261" s="13">
        <v>6</v>
      </c>
      <c r="AT261" s="13">
        <v>13.5</v>
      </c>
      <c r="AU261" s="19">
        <f t="shared" si="19"/>
        <v>1.1180339887498949</v>
      </c>
    </row>
    <row r="262" spans="1:47" ht="25.05" customHeight="1">
      <c r="A262" s="3">
        <v>13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60M</v>
      </c>
      <c r="E262" s="18">
        <f>IF(Abschlüsse[[#This Row],[Ergeb]]="ET",0,COUNTIFS($A$2:$A262,$A262,$B$2:$B262,$B262,$L$2:$L262,"&lt;&gt;ET"))</f>
        <v>3</v>
      </c>
      <c r="F262" s="11">
        <v>18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0</v>
      </c>
      <c r="K262" s="3">
        <v>7</v>
      </c>
      <c r="L262" s="17" t="s">
        <v>19</v>
      </c>
      <c r="M262" s="2" t="s">
        <v>163</v>
      </c>
      <c r="N262" s="2" t="s">
        <v>158</v>
      </c>
      <c r="O262" s="17">
        <v>7</v>
      </c>
      <c r="AA262" s="2" t="s">
        <v>151</v>
      </c>
      <c r="AB262" s="17" t="s">
        <v>149</v>
      </c>
      <c r="AC262" s="14" t="s">
        <v>150</v>
      </c>
      <c r="AD262" s="14" t="s">
        <v>145</v>
      </c>
      <c r="AE262" s="18">
        <v>8</v>
      </c>
      <c r="AF262" s="13">
        <v>4.5</v>
      </c>
      <c r="AG262" s="13">
        <v>14.5</v>
      </c>
      <c r="AH262" s="19">
        <f t="shared" si="16"/>
        <v>14.524310654898565</v>
      </c>
      <c r="AI262" s="19">
        <f t="shared" si="17"/>
        <v>26.053510457112758</v>
      </c>
      <c r="AJ262" s="2" t="s">
        <v>146</v>
      </c>
      <c r="AK262" s="13">
        <v>1.5</v>
      </c>
      <c r="AL262" s="13">
        <v>3.5</v>
      </c>
      <c r="AM262" s="19">
        <f>IF(Abschlüsse[[#This Row],[Ergeb]]="ET","",SQRT(($AF262-$AK262)^2+($AG262-$AL262)^2))</f>
        <v>11.401754250991379</v>
      </c>
      <c r="AN262" s="3">
        <v>1</v>
      </c>
      <c r="AO262" s="13">
        <v>7</v>
      </c>
      <c r="AP262" s="13">
        <v>11.5</v>
      </c>
      <c r="AQ262" s="19">
        <f t="shared" si="18"/>
        <v>3.905124837953327</v>
      </c>
      <c r="AR262" s="3">
        <v>2</v>
      </c>
      <c r="AS262" s="13">
        <v>4</v>
      </c>
      <c r="AT262" s="13">
        <v>10.5</v>
      </c>
      <c r="AU262" s="19">
        <f t="shared" si="19"/>
        <v>4.0311288741492746</v>
      </c>
    </row>
    <row r="263" spans="1:47" ht="25.05" customHeight="1">
      <c r="A263" s="3">
        <v>13</v>
      </c>
      <c r="B263" s="2" t="s">
        <v>8</v>
      </c>
      <c r="C263" s="17" t="str">
        <f>IF($A263="","",IF(VLOOKUP($A263,Spiele!$A$2:$D$15,3,FALSE)=$B263,"H","G"))</f>
        <v>H</v>
      </c>
      <c r="D263" s="17" t="str">
        <f>IF($B263="","",IF(VLOOKUP($A263,Spiele!$A$2:$F$15,3,FALSE)=$B263,VLOOKUP($A263,Spiele!$A$2:$F$15,4,FALSE),VLOOKUP($A263,Spiele!$A$2:$F$15,3,FALSE)))</f>
        <v>60M</v>
      </c>
      <c r="E263" s="18">
        <f>IF(Abschlüsse[[#This Row],[Ergeb]]="ET",0,COUNTIFS($A$2:$A263,$A263,$B$2:$B263,$B263,$L$2:$L263,"&lt;&gt;ET"))</f>
        <v>4</v>
      </c>
      <c r="F263" s="11">
        <v>22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0</v>
      </c>
      <c r="K263" s="3">
        <v>8</v>
      </c>
      <c r="L263" s="17" t="s">
        <v>19</v>
      </c>
      <c r="M263" s="2" t="s">
        <v>168</v>
      </c>
      <c r="N263" s="2" t="s">
        <v>3</v>
      </c>
      <c r="O263" s="17"/>
      <c r="AA263" s="2" t="s">
        <v>141</v>
      </c>
      <c r="AB263" s="17" t="s">
        <v>143</v>
      </c>
      <c r="AC263" s="14" t="s">
        <v>144</v>
      </c>
      <c r="AD263" s="14" t="s">
        <v>145</v>
      </c>
      <c r="AE263" s="18">
        <v>6</v>
      </c>
      <c r="AF263" s="13">
        <v>-6.5</v>
      </c>
      <c r="AG263" s="13">
        <v>16.5</v>
      </c>
      <c r="AH263" s="19">
        <f t="shared" si="16"/>
        <v>16.742628228566744</v>
      </c>
      <c r="AI263" s="19">
        <f t="shared" si="17"/>
        <v>21.856872591143812</v>
      </c>
      <c r="AJ263" s="2" t="s">
        <v>146</v>
      </c>
      <c r="AK263" s="13">
        <v>-1.5</v>
      </c>
      <c r="AL263" s="13">
        <v>2</v>
      </c>
      <c r="AM263" s="19">
        <f>IF(Abschlüsse[[#This Row],[Ergeb]]="ET","",SQRT(($AF263-$AK263)^2+($AG263-$AL263)^2))</f>
        <v>15.337861650177967</v>
      </c>
      <c r="AN263" s="3">
        <v>1</v>
      </c>
      <c r="AO263" s="13">
        <v>-3</v>
      </c>
      <c r="AP263" s="13">
        <v>14</v>
      </c>
      <c r="AQ263" s="19">
        <f t="shared" si="18"/>
        <v>4.3011626335213133</v>
      </c>
      <c r="AR263" s="3">
        <v>2</v>
      </c>
      <c r="AS263" s="13">
        <v>-2</v>
      </c>
      <c r="AT263" s="13">
        <v>6</v>
      </c>
      <c r="AU263" s="19">
        <f t="shared" si="19"/>
        <v>11.423659658795863</v>
      </c>
    </row>
    <row r="264" spans="1:47" ht="25.05" customHeight="1">
      <c r="A264" s="3">
        <v>13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60M</v>
      </c>
      <c r="E264" s="18">
        <f>IF(Abschlüsse[[#This Row],[Ergeb]]="ET",0,COUNTIFS($A$2:$A264,$A264,$B$2:$B264,$B264,$L$2:$L264,"&lt;&gt;ET"))</f>
        <v>5</v>
      </c>
      <c r="F264" s="11">
        <v>25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0</v>
      </c>
      <c r="K264" s="3">
        <v>9</v>
      </c>
      <c r="L264" s="17" t="s">
        <v>20</v>
      </c>
      <c r="M264" s="2" t="s">
        <v>157</v>
      </c>
      <c r="N264" s="2" t="s">
        <v>3</v>
      </c>
      <c r="O264" s="17"/>
      <c r="AA264" s="2" t="s">
        <v>151</v>
      </c>
      <c r="AB264" s="17" t="s">
        <v>149</v>
      </c>
      <c r="AC264" s="14" t="s">
        <v>150</v>
      </c>
      <c r="AD264" s="14" t="s">
        <v>156</v>
      </c>
      <c r="AE264" s="18">
        <v>20</v>
      </c>
      <c r="AF264" s="13">
        <v>-13.5</v>
      </c>
      <c r="AG264" s="13">
        <v>21.5</v>
      </c>
      <c r="AH264" s="19">
        <f t="shared" si="16"/>
        <v>23.644779550674606</v>
      </c>
      <c r="AI264" s="19">
        <f t="shared" si="17"/>
        <v>14.002393253988416</v>
      </c>
      <c r="AJ264" s="2" t="s">
        <v>146</v>
      </c>
      <c r="AK264" s="13">
        <v>-0.5</v>
      </c>
      <c r="AL264" s="13">
        <v>3</v>
      </c>
      <c r="AM264" s="19">
        <f>IF(Abschlüsse[[#This Row],[Ergeb]]="ET","",SQRT(($AF264-$AK264)^2+($AG264-$AL264)^2))</f>
        <v>22.610838109190027</v>
      </c>
      <c r="AN264" s="3">
        <v>0</v>
      </c>
      <c r="AO264" s="13"/>
      <c r="AP264" s="13"/>
      <c r="AQ264" s="19" t="str">
        <f t="shared" si="18"/>
        <v/>
      </c>
      <c r="AR264" s="3">
        <v>2</v>
      </c>
      <c r="AS264" s="13">
        <v>-12</v>
      </c>
      <c r="AT264" s="13">
        <v>20.5</v>
      </c>
      <c r="AU264" s="19">
        <f t="shared" si="19"/>
        <v>1.8027756377319946</v>
      </c>
    </row>
    <row r="265" spans="1:47" ht="25.05" customHeight="1">
      <c r="A265" s="3">
        <v>13</v>
      </c>
      <c r="B265" s="2" t="s">
        <v>76</v>
      </c>
      <c r="C265" s="17" t="str">
        <f>IF($A265="","",IF(VLOOKUP($A265,Spiele!$A$2:$D$15,3,FALSE)=$B265,"H","G"))</f>
        <v>G</v>
      </c>
      <c r="D265" s="17" t="str">
        <f>IF($B265="","",IF(VLOOKUP($A265,Spiele!$A$2:$F$15,3,FALSE)=$B265,VLOOKUP($A265,Spiele!$A$2:$F$15,4,FALSE),VLOOKUP($A265,Spiele!$A$2:$F$15,3,FALSE)))</f>
        <v>FCN</v>
      </c>
      <c r="E265" s="18">
        <f>IF(Abschlüsse[[#This Row],[Ergeb]]="ET",0,COUNTIFS($A$2:$A265,$A265,$B$2:$B265,$B265,$L$2:$L265,"&lt;&gt;ET"))</f>
        <v>7</v>
      </c>
      <c r="F265" s="11">
        <v>28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/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0</v>
      </c>
      <c r="K265" s="3">
        <v>10</v>
      </c>
      <c r="L265" s="17" t="s">
        <v>18</v>
      </c>
      <c r="M265" s="2" t="s">
        <v>163</v>
      </c>
      <c r="N265" s="2" t="s">
        <v>158</v>
      </c>
      <c r="O265" s="17"/>
      <c r="AA265" s="2" t="s">
        <v>151</v>
      </c>
      <c r="AB265" s="17" t="s">
        <v>143</v>
      </c>
      <c r="AC265" s="14" t="s">
        <v>150</v>
      </c>
      <c r="AD265" s="14" t="s">
        <v>145</v>
      </c>
      <c r="AE265" s="18"/>
      <c r="AF265" s="13">
        <v>0</v>
      </c>
      <c r="AG265" s="13">
        <v>25.5</v>
      </c>
      <c r="AH265" s="19">
        <f t="shared" si="16"/>
        <v>25.5</v>
      </c>
      <c r="AI265" s="19">
        <f t="shared" si="17"/>
        <v>16.335693207949546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25</v>
      </c>
      <c r="AN265" s="3">
        <v>1</v>
      </c>
      <c r="AO265" s="13">
        <v>-2</v>
      </c>
      <c r="AP265" s="13">
        <v>28</v>
      </c>
      <c r="AQ265" s="19">
        <f t="shared" si="18"/>
        <v>3.2015621187164243</v>
      </c>
      <c r="AR265" s="3">
        <v>1</v>
      </c>
      <c r="AS265" s="13">
        <v>0</v>
      </c>
      <c r="AT265" s="13">
        <v>17</v>
      </c>
      <c r="AU265" s="19">
        <f t="shared" si="19"/>
        <v>8.5</v>
      </c>
    </row>
    <row r="266" spans="1:47" ht="25.05" customHeight="1">
      <c r="A266" s="3">
        <v>13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60M</v>
      </c>
      <c r="E266" s="18">
        <f>IF(Abschlüsse[[#This Row],[Ergeb]]="ET",0,COUNTIFS($A$2:$A266,$A266,$B$2:$B266,$B266,$L$2:$L266,"&lt;&gt;ET"))</f>
        <v>6</v>
      </c>
      <c r="F266" s="11">
        <v>33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/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19</v>
      </c>
      <c r="M266" s="2" t="s">
        <v>163</v>
      </c>
      <c r="N266" s="2" t="s">
        <v>164</v>
      </c>
      <c r="O266" s="17">
        <v>8</v>
      </c>
      <c r="P266" s="2">
        <v>16</v>
      </c>
      <c r="Q266" s="2">
        <v>26</v>
      </c>
      <c r="AA266" s="2" t="s">
        <v>151</v>
      </c>
      <c r="AB266" s="17" t="s">
        <v>149</v>
      </c>
      <c r="AC266" s="14" t="s">
        <v>150</v>
      </c>
      <c r="AD266" s="14" t="s">
        <v>145</v>
      </c>
      <c r="AE266" s="18">
        <v>7</v>
      </c>
      <c r="AF266" s="13">
        <v>5.5</v>
      </c>
      <c r="AG266" s="13">
        <v>17.5</v>
      </c>
      <c r="AH266" s="19">
        <f t="shared" si="16"/>
        <v>17.59646555419582</v>
      </c>
      <c r="AI266" s="19">
        <f t="shared" si="17"/>
        <v>21.626656434445117</v>
      </c>
      <c r="AJ266" s="2" t="s">
        <v>146</v>
      </c>
      <c r="AK266" s="13">
        <v>1</v>
      </c>
      <c r="AL266" s="13">
        <v>3</v>
      </c>
      <c r="AM266" s="19">
        <f>IF(Abschlüsse[[#This Row],[Ergeb]]="ET","",SQRT(($AF266-$AK266)^2+($AG266-$AL266)^2))</f>
        <v>15.182226450688976</v>
      </c>
      <c r="AN266" s="3">
        <v>2</v>
      </c>
      <c r="AO266" s="13">
        <v>6.5</v>
      </c>
      <c r="AP266" s="13">
        <v>18.5</v>
      </c>
      <c r="AQ266" s="19">
        <f t="shared" si="18"/>
        <v>1.4142135623730951</v>
      </c>
      <c r="AR266" s="3">
        <v>0</v>
      </c>
      <c r="AU266" s="19" t="str">
        <f t="shared" si="19"/>
        <v/>
      </c>
    </row>
    <row r="267" spans="1:47" ht="25.05" customHeight="1">
      <c r="A267" s="3">
        <v>13</v>
      </c>
      <c r="B267" s="2" t="s">
        <v>76</v>
      </c>
      <c r="C267" s="17" t="str">
        <f>IF($A267="","",IF(VLOOKUP($A267,Spiele!$A$2:$D$15,3,FALSE)=$B267,"H","G"))</f>
        <v>G</v>
      </c>
      <c r="D267" s="17" t="str">
        <f>IF($B267="","",IF(VLOOKUP($A267,Spiele!$A$2:$F$15,3,FALSE)=$B267,VLOOKUP($A267,Spiele!$A$2:$F$15,4,FALSE),VLOOKUP($A267,Spiele!$A$2:$F$15,3,FALSE)))</f>
        <v>FCN</v>
      </c>
      <c r="E267" s="18">
        <f>IF(Abschlüsse[[#This Row],[Ergeb]]="ET",0,COUNTIFS($A$2:$A267,$A267,$B$2:$B267,$B267,$L$2:$L267,"&lt;&gt;ET"))</f>
        <v>8</v>
      </c>
      <c r="F267" s="11">
        <v>35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0</v>
      </c>
      <c r="K267" s="3">
        <v>12</v>
      </c>
      <c r="L267" s="17" t="s">
        <v>19</v>
      </c>
      <c r="M267" s="2" t="s">
        <v>163</v>
      </c>
      <c r="N267" s="2" t="s">
        <v>153</v>
      </c>
      <c r="O267" s="17"/>
      <c r="AA267" s="2" t="s">
        <v>154</v>
      </c>
      <c r="AB267" s="17" t="s">
        <v>160</v>
      </c>
      <c r="AC267" s="14" t="s">
        <v>161</v>
      </c>
      <c r="AD267" s="14" t="s">
        <v>156</v>
      </c>
      <c r="AE267" s="18"/>
      <c r="AF267" s="13">
        <v>-1</v>
      </c>
      <c r="AG267" s="13">
        <v>9</v>
      </c>
      <c r="AH267" s="19">
        <f t="shared" si="16"/>
        <v>9</v>
      </c>
      <c r="AI267" s="19">
        <f t="shared" si="17"/>
        <v>43.839454439268671</v>
      </c>
      <c r="AJ267" s="2" t="s">
        <v>146</v>
      </c>
      <c r="AK267" s="13">
        <v>-1</v>
      </c>
      <c r="AL267" s="13">
        <v>0.5</v>
      </c>
      <c r="AM267" s="19">
        <f>IF(Abschlüsse[[#This Row],[Ergeb]]="ET","",SQRT(($AF267-$AK267)^2+($AG267-$AL267)^2))</f>
        <v>8.5</v>
      </c>
      <c r="AN267" s="3">
        <v>1</v>
      </c>
      <c r="AO267" s="13">
        <v>0</v>
      </c>
      <c r="AP267" s="13">
        <v>9</v>
      </c>
      <c r="AQ267" s="19">
        <f t="shared" si="18"/>
        <v>1</v>
      </c>
      <c r="AR267" s="3">
        <v>0</v>
      </c>
      <c r="AU267" s="19" t="str">
        <f t="shared" si="19"/>
        <v/>
      </c>
    </row>
    <row r="268" spans="1:47" ht="25.05" customHeight="1">
      <c r="A268" s="3">
        <v>13</v>
      </c>
      <c r="B268" s="2" t="s">
        <v>76</v>
      </c>
      <c r="C268" s="17" t="str">
        <f>IF($A268="","",IF(VLOOKUP($A268,Spiele!$A$2:$D$15,3,FALSE)=$B268,"H","G"))</f>
        <v>G</v>
      </c>
      <c r="D268" s="17" t="str">
        <f>IF($B268="","",IF(VLOOKUP($A268,Spiele!$A$2:$F$15,3,FALSE)=$B268,VLOOKUP($A268,Spiele!$A$2:$F$15,4,FALSE),VLOOKUP($A268,Spiele!$A$2:$F$15,3,FALSE)))</f>
        <v>FCN</v>
      </c>
      <c r="E268" s="18">
        <f>IF(Abschlüsse[[#This Row],[Ergeb]]="ET",0,COUNTIFS($A$2:$A268,$A268,$B$2:$B268,$B268,$L$2:$L268,"&lt;&gt;ET"))</f>
        <v>9</v>
      </c>
      <c r="F268" s="11">
        <v>37</v>
      </c>
      <c r="G268" s="12">
        <v>1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0</v>
      </c>
      <c r="K268" s="3">
        <v>13</v>
      </c>
      <c r="L268" s="17" t="s">
        <v>19</v>
      </c>
      <c r="M268" s="2" t="s">
        <v>173</v>
      </c>
      <c r="N268" s="2" t="s">
        <v>173</v>
      </c>
      <c r="O268" s="17"/>
      <c r="AA268" s="2" t="s">
        <v>154</v>
      </c>
      <c r="AB268" s="17" t="s">
        <v>160</v>
      </c>
      <c r="AC268" s="14" t="s">
        <v>161</v>
      </c>
      <c r="AD268" s="14" t="s">
        <v>145</v>
      </c>
      <c r="AE268" s="18"/>
      <c r="AF268" s="13">
        <v>-6</v>
      </c>
      <c r="AG268" s="13">
        <v>1</v>
      </c>
      <c r="AH268" s="19">
        <f t="shared" si="16"/>
        <v>2.5447200238926087</v>
      </c>
      <c r="AI268" s="19">
        <f t="shared" si="17"/>
        <v>17.229273479884245</v>
      </c>
      <c r="AJ268" s="2" t="s">
        <v>146</v>
      </c>
      <c r="AK268" s="13">
        <v>-4</v>
      </c>
      <c r="AL268" s="13">
        <v>0.5</v>
      </c>
      <c r="AM268" s="19">
        <f>IF(Abschlüsse[[#This Row],[Ergeb]]="ET","",SQRT(($AF268-$AK268)^2+($AG268-$AL268)^2))</f>
        <v>2.0615528128088303</v>
      </c>
      <c r="AN268" s="3">
        <v>1</v>
      </c>
      <c r="AO268" s="13">
        <v>-5</v>
      </c>
      <c r="AP268" s="13">
        <v>1</v>
      </c>
      <c r="AQ268" s="19">
        <f t="shared" si="18"/>
        <v>1</v>
      </c>
      <c r="AR268" s="3">
        <v>1</v>
      </c>
      <c r="AS268" s="13">
        <v>-3.5</v>
      </c>
      <c r="AT268" s="13">
        <v>0.5</v>
      </c>
      <c r="AU268" s="19">
        <f t="shared" si="19"/>
        <v>2.5495097567963922</v>
      </c>
    </row>
    <row r="269" spans="1:47" ht="25.05" customHeight="1">
      <c r="A269" s="3">
        <v>13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60M</v>
      </c>
      <c r="E269" s="18">
        <f>IF(Abschlüsse[[#This Row],[Ergeb]]="ET",0,COUNTIFS($A$2:$A269,$A269,$B$2:$B269,$B269,$L$2:$L269,"&lt;&gt;ET"))</f>
        <v>7</v>
      </c>
      <c r="F269" s="11">
        <v>40</v>
      </c>
      <c r="G269" s="12">
        <v>1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0</v>
      </c>
      <c r="K269" s="3">
        <v>14</v>
      </c>
      <c r="L269" s="17" t="s">
        <v>18</v>
      </c>
      <c r="M269" s="2" t="s">
        <v>163</v>
      </c>
      <c r="N269" s="2" t="s">
        <v>153</v>
      </c>
      <c r="O269" s="17">
        <v>7</v>
      </c>
      <c r="AA269" s="2" t="s">
        <v>154</v>
      </c>
      <c r="AB269" s="17" t="s">
        <v>160</v>
      </c>
      <c r="AC269" s="14" t="s">
        <v>161</v>
      </c>
      <c r="AD269" s="14" t="s">
        <v>156</v>
      </c>
      <c r="AE269" s="18">
        <v>9</v>
      </c>
      <c r="AF269" s="13">
        <v>-2</v>
      </c>
      <c r="AG269" s="13">
        <v>9</v>
      </c>
      <c r="AH269" s="19">
        <f t="shared" si="16"/>
        <v>9</v>
      </c>
      <c r="AI269" s="19">
        <f t="shared" si="17"/>
        <v>42.615768593997174</v>
      </c>
      <c r="AJ269" s="2" t="s">
        <v>146</v>
      </c>
      <c r="AK269" s="13">
        <v>-2</v>
      </c>
      <c r="AL269" s="13">
        <v>2.5</v>
      </c>
      <c r="AM269" s="19">
        <f>IF(Abschlüsse[[#This Row],[Ergeb]]="ET","",SQRT(($AF269-$AK269)^2+($AG269-$AL269)^2))</f>
        <v>6.5</v>
      </c>
      <c r="AN269" s="3">
        <v>2</v>
      </c>
      <c r="AO269" s="13">
        <v>-0.5</v>
      </c>
      <c r="AP269" s="13">
        <v>9</v>
      </c>
      <c r="AQ269" s="19">
        <f t="shared" si="18"/>
        <v>1.5</v>
      </c>
      <c r="AR269" s="3">
        <v>0</v>
      </c>
      <c r="AU269" s="19" t="str">
        <f t="shared" si="19"/>
        <v/>
      </c>
    </row>
    <row r="270" spans="1:47" ht="25.05" customHeight="1">
      <c r="A270" s="3">
        <v>13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60M</v>
      </c>
      <c r="E270" s="18">
        <f>IF(Abschlüsse[[#This Row],[Ergeb]]="ET",0,COUNTIFS($A$2:$A270,$A270,$B$2:$B270,$B270,$L$2:$L270,"&lt;&gt;ET"))</f>
        <v>8</v>
      </c>
      <c r="F270" s="11">
        <v>40</v>
      </c>
      <c r="G270" s="12">
        <v>1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>1:0</v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0</v>
      </c>
      <c r="K270" s="3">
        <v>14</v>
      </c>
      <c r="L270" s="17" t="s">
        <v>0</v>
      </c>
      <c r="M270" s="2" t="s">
        <v>163</v>
      </c>
      <c r="N270" s="2" t="s">
        <v>3</v>
      </c>
      <c r="O270" s="17"/>
      <c r="AA270" s="2" t="s">
        <v>154</v>
      </c>
      <c r="AB270" s="17" t="s">
        <v>160</v>
      </c>
      <c r="AC270" s="14" t="s">
        <v>161</v>
      </c>
      <c r="AD270" s="14" t="s">
        <v>145</v>
      </c>
      <c r="AE270" s="18">
        <v>7</v>
      </c>
      <c r="AF270" s="13">
        <v>-6.5</v>
      </c>
      <c r="AG270" s="13">
        <v>5</v>
      </c>
      <c r="AH270" s="19">
        <f t="shared" si="16"/>
        <v>5.7502695588989567</v>
      </c>
      <c r="AI270" s="19">
        <f t="shared" si="17"/>
        <v>34.200427604672875</v>
      </c>
      <c r="AJ270" s="2" t="s">
        <v>169</v>
      </c>
      <c r="AK270" s="13">
        <v>0.5</v>
      </c>
      <c r="AL270" s="13">
        <v>2</v>
      </c>
      <c r="AM270" s="19">
        <f>IF(Abschlüsse[[#This Row],[Ergeb]]="ET","",SQRT(($AF270-$AK270)^2+($AG270-$AL270)^2))</f>
        <v>7.6157731058639087</v>
      </c>
      <c r="AN270" s="3">
        <v>1</v>
      </c>
      <c r="AO270" s="13">
        <v>-4</v>
      </c>
      <c r="AP270" s="13">
        <v>5.5</v>
      </c>
      <c r="AQ270" s="19">
        <f t="shared" si="18"/>
        <v>2.5495097567963922</v>
      </c>
      <c r="AR270" s="3">
        <v>0</v>
      </c>
      <c r="AU270" s="19" t="str">
        <f t="shared" si="19"/>
        <v/>
      </c>
    </row>
    <row r="271" spans="1:47" ht="25.05" customHeight="1">
      <c r="A271" s="3">
        <v>13</v>
      </c>
      <c r="B271" s="2" t="s">
        <v>76</v>
      </c>
      <c r="C271" s="17" t="str">
        <f>IF($A271="","",IF(VLOOKUP($A271,Spiele!$A$2:$D$15,3,FALSE)=$B271,"H","G"))</f>
        <v>G</v>
      </c>
      <c r="D271" s="17" t="str">
        <f>IF($B271="","",IF(VLOOKUP($A271,Spiele!$A$2:$F$15,3,FALSE)=$B271,VLOOKUP($A271,Spiele!$A$2:$F$15,4,FALSE),VLOOKUP($A271,Spiele!$A$2:$F$15,3,FALSE)))</f>
        <v>FCN</v>
      </c>
      <c r="E271" s="18">
        <f>IF(Abschlüsse[[#This Row],[Ergeb]]="ET",0,COUNTIFS($A$2:$A271,$A271,$B$2:$B271,$B271,$L$2:$L271,"&lt;&gt;ET"))</f>
        <v>10</v>
      </c>
      <c r="F271" s="11">
        <v>44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-1</v>
      </c>
      <c r="K271" s="3">
        <v>15</v>
      </c>
      <c r="L271" s="17" t="s">
        <v>19</v>
      </c>
      <c r="M271" s="2" t="s">
        <v>174</v>
      </c>
      <c r="O271" s="17"/>
      <c r="AA271" s="2" t="s">
        <v>142</v>
      </c>
      <c r="AB271" s="17" t="s">
        <v>143</v>
      </c>
      <c r="AC271" s="14" t="s">
        <v>150</v>
      </c>
      <c r="AD271" s="14" t="s">
        <v>156</v>
      </c>
      <c r="AE271" s="18"/>
      <c r="AF271" s="13">
        <v>-3</v>
      </c>
      <c r="AG271" s="13">
        <v>34</v>
      </c>
      <c r="AH271" s="19">
        <f t="shared" si="16"/>
        <v>34</v>
      </c>
      <c r="AI271" s="19">
        <f t="shared" si="17"/>
        <v>12.194976603981754</v>
      </c>
      <c r="AJ271" s="2" t="s">
        <v>146</v>
      </c>
      <c r="AK271" s="13">
        <v>0.5</v>
      </c>
      <c r="AL271" s="13">
        <v>0.5</v>
      </c>
      <c r="AM271" s="19">
        <f>IF(Abschlüsse[[#This Row],[Ergeb]]="ET","",SQRT(($AF271-$AK271)^2+($AG271-$AL271)^2))</f>
        <v>33.68233958619858</v>
      </c>
      <c r="AN271" s="3">
        <v>0</v>
      </c>
      <c r="AO271" s="13"/>
      <c r="AP271" s="13"/>
      <c r="AQ271" s="19" t="str">
        <f t="shared" si="18"/>
        <v/>
      </c>
      <c r="AR271" s="3">
        <v>3</v>
      </c>
      <c r="AS271" s="13">
        <v>-3.5</v>
      </c>
      <c r="AT271" s="13">
        <v>27</v>
      </c>
      <c r="AU271" s="19">
        <f t="shared" si="19"/>
        <v>7.0178344238090995</v>
      </c>
    </row>
    <row r="272" spans="1:47" ht="25.05" customHeight="1">
      <c r="A272" s="3">
        <v>13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60M</v>
      </c>
      <c r="E272" s="18">
        <f>IF(Abschlüsse[[#This Row],[Ergeb]]="ET",0,COUNTIFS($A$2:$A272,$A272,$B$2:$B272,$B272,$L$2:$L272,"&lt;&gt;ET"))</f>
        <v>9</v>
      </c>
      <c r="F272" s="11">
        <v>51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16</v>
      </c>
      <c r="L272" s="18" t="s">
        <v>18</v>
      </c>
      <c r="M272" s="3" t="s">
        <v>163</v>
      </c>
      <c r="N272" s="2" t="s">
        <v>164</v>
      </c>
      <c r="O272" s="17">
        <v>8</v>
      </c>
      <c r="P272" s="2">
        <v>26</v>
      </c>
      <c r="Q272" s="2">
        <v>6</v>
      </c>
      <c r="AA272" s="22" t="s">
        <v>151</v>
      </c>
      <c r="AB272" s="18" t="s">
        <v>143</v>
      </c>
      <c r="AC272" s="14" t="s">
        <v>150</v>
      </c>
      <c r="AD272" s="14" t="s">
        <v>145</v>
      </c>
      <c r="AE272" s="18">
        <v>10</v>
      </c>
      <c r="AF272" s="13">
        <v>-10.5</v>
      </c>
      <c r="AG272" s="13">
        <v>13</v>
      </c>
      <c r="AH272" s="19">
        <f t="shared" si="16"/>
        <v>14.689642609675703</v>
      </c>
      <c r="AI272" s="19">
        <f t="shared" si="17"/>
        <v>19.694334659050181</v>
      </c>
      <c r="AJ272" s="3" t="s">
        <v>146</v>
      </c>
      <c r="AK272" s="13">
        <v>-3.5</v>
      </c>
      <c r="AL272" s="13">
        <v>2.5</v>
      </c>
      <c r="AM272" s="19">
        <f>IF(Abschlüsse[[#This Row],[Ergeb]]="ET","",SQRT(($AF272-$AK272)^2+($AG272-$AL272)^2))</f>
        <v>12.619429464123963</v>
      </c>
      <c r="AN272" s="3">
        <v>2</v>
      </c>
      <c r="AO272" s="13">
        <v>-10</v>
      </c>
      <c r="AP272" s="13">
        <v>13.5</v>
      </c>
      <c r="AQ272" s="19">
        <f t="shared" si="18"/>
        <v>0.70710678118654757</v>
      </c>
      <c r="AR272" s="3">
        <v>1</v>
      </c>
      <c r="AS272" s="13">
        <v>-3</v>
      </c>
      <c r="AT272" s="13">
        <v>7.5</v>
      </c>
      <c r="AU272" s="19">
        <f t="shared" si="19"/>
        <v>9.3005376188691375</v>
      </c>
    </row>
    <row r="273" spans="1:47" ht="25.05" customHeight="1">
      <c r="A273" s="3">
        <v>13</v>
      </c>
      <c r="B273" s="2" t="s">
        <v>76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11</v>
      </c>
      <c r="F273" s="11">
        <v>57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17</v>
      </c>
      <c r="L273" s="17" t="s">
        <v>19</v>
      </c>
      <c r="M273" s="2" t="s">
        <v>163</v>
      </c>
      <c r="N273" s="2" t="s">
        <v>152</v>
      </c>
      <c r="O273" s="17"/>
      <c r="AA273" s="2" t="s">
        <v>142</v>
      </c>
      <c r="AB273" s="17" t="s">
        <v>143</v>
      </c>
      <c r="AC273" s="14" t="s">
        <v>150</v>
      </c>
      <c r="AD273" s="14" t="s">
        <v>145</v>
      </c>
      <c r="AE273" s="18"/>
      <c r="AF273" s="13">
        <v>12</v>
      </c>
      <c r="AG273" s="13">
        <v>7.5</v>
      </c>
      <c r="AH273" s="19">
        <f t="shared" si="16"/>
        <v>11.216309553502882</v>
      </c>
      <c r="AI273" s="19">
        <f t="shared" si="17"/>
        <v>16.373402664953399</v>
      </c>
      <c r="AJ273" s="2" t="s">
        <v>146</v>
      </c>
      <c r="AK273" s="13">
        <v>3.5</v>
      </c>
      <c r="AL273" s="13">
        <v>0.5</v>
      </c>
      <c r="AM273" s="19">
        <f>IF(Abschlüsse[[#This Row],[Ergeb]]="ET","",SQRT(($AF273-$AK273)^2+($AG273-$AL273)^2))</f>
        <v>11.01135777277262</v>
      </c>
      <c r="AN273" s="3">
        <v>1</v>
      </c>
      <c r="AO273" s="13">
        <v>9</v>
      </c>
      <c r="AP273" s="13">
        <v>8.5</v>
      </c>
      <c r="AQ273" s="19">
        <f t="shared" si="18"/>
        <v>3.1622776601683795</v>
      </c>
      <c r="AR273" s="3">
        <v>0</v>
      </c>
      <c r="AU273" s="19" t="str">
        <f t="shared" si="19"/>
        <v/>
      </c>
    </row>
    <row r="274" spans="1:47" ht="25.05" customHeight="1">
      <c r="A274" s="3">
        <v>13</v>
      </c>
      <c r="B274" s="2" t="s">
        <v>8</v>
      </c>
      <c r="C274" s="17" t="str">
        <f>IF($A274="","",IF(VLOOKUP($A274,Spiele!$A$2:$D$15,3,FALSE)=$B274,"H","G"))</f>
        <v>H</v>
      </c>
      <c r="D274" s="17" t="str">
        <f>IF($B274="","",IF(VLOOKUP($A274,Spiele!$A$2:$F$15,3,FALSE)=$B274,VLOOKUP($A274,Spiele!$A$2:$F$15,4,FALSE),VLOOKUP($A274,Spiele!$A$2:$F$15,3,FALSE)))</f>
        <v>60M</v>
      </c>
      <c r="E274" s="18">
        <f>IF(Abschlüsse[[#This Row],[Ergeb]]="ET",0,COUNTIFS($A$2:$A274,$A274,$B$2:$B274,$B274,$L$2:$L274,"&lt;&gt;ET"))</f>
        <v>10</v>
      </c>
      <c r="F274" s="11">
        <v>59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1</v>
      </c>
      <c r="K274" s="3">
        <v>18</v>
      </c>
      <c r="L274" s="17" t="s">
        <v>18</v>
      </c>
      <c r="M274" s="2" t="s">
        <v>147</v>
      </c>
      <c r="N274" s="2" t="s">
        <v>158</v>
      </c>
      <c r="O274" s="17">
        <v>4</v>
      </c>
      <c r="P274" s="2">
        <v>23</v>
      </c>
      <c r="Q274" s="2">
        <v>6</v>
      </c>
      <c r="R274" s="2">
        <v>8</v>
      </c>
      <c r="S274" s="2">
        <v>20</v>
      </c>
      <c r="T274" s="2">
        <v>4</v>
      </c>
      <c r="AA274" s="2" t="s">
        <v>151</v>
      </c>
      <c r="AB274" s="17" t="s">
        <v>143</v>
      </c>
      <c r="AC274" s="14" t="s">
        <v>150</v>
      </c>
      <c r="AD274" s="14" t="s">
        <v>156</v>
      </c>
      <c r="AE274" s="18">
        <v>18</v>
      </c>
      <c r="AF274" s="13">
        <v>-14</v>
      </c>
      <c r="AG274" s="13">
        <v>19.5</v>
      </c>
      <c r="AH274" s="19">
        <f t="shared" si="16"/>
        <v>22.071828197954062</v>
      </c>
      <c r="AI274" s="19">
        <f t="shared" si="17"/>
        <v>14.230221882728383</v>
      </c>
      <c r="AJ274" s="2" t="s">
        <v>146</v>
      </c>
      <c r="AK274" s="13">
        <v>-1.5</v>
      </c>
      <c r="AL274" s="13">
        <v>2.5</v>
      </c>
      <c r="AM274" s="19">
        <f>IF(Abschlüsse[[#This Row],[Ergeb]]="ET","",SQRT(($AF274-$AK274)^2+($AG274-$AL274)^2))</f>
        <v>21.100947846009191</v>
      </c>
      <c r="AN274" s="3">
        <v>1</v>
      </c>
      <c r="AO274" s="13">
        <v>-14</v>
      </c>
      <c r="AP274" s="13">
        <v>18</v>
      </c>
      <c r="AQ274" s="19">
        <f t="shared" si="18"/>
        <v>1.5</v>
      </c>
      <c r="AR274" s="3">
        <v>2</v>
      </c>
      <c r="AS274" s="13">
        <v>-11</v>
      </c>
      <c r="AT274" s="13">
        <v>14.5</v>
      </c>
      <c r="AU274" s="19">
        <f t="shared" si="19"/>
        <v>5.8309518948453007</v>
      </c>
    </row>
    <row r="275" spans="1:47" ht="25.05" customHeight="1">
      <c r="A275" s="3">
        <v>13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60M</v>
      </c>
      <c r="E275" s="18">
        <f>IF(Abschlüsse[[#This Row],[Ergeb]]="ET",0,COUNTIFS($A$2:$A275,$A275,$B$2:$B275,$B275,$L$2:$L275,"&lt;&gt;ET"))</f>
        <v>11</v>
      </c>
      <c r="F275" s="11">
        <v>60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19</v>
      </c>
      <c r="L275" s="17" t="s">
        <v>18</v>
      </c>
      <c r="M275" s="2" t="s">
        <v>174</v>
      </c>
      <c r="O275" s="17"/>
      <c r="AA275" s="2" t="s">
        <v>142</v>
      </c>
      <c r="AB275" s="17" t="s">
        <v>143</v>
      </c>
      <c r="AC275" s="14" t="s">
        <v>150</v>
      </c>
      <c r="AD275" s="14" t="s">
        <v>145</v>
      </c>
      <c r="AE275" s="18">
        <v>8</v>
      </c>
      <c r="AF275" s="13">
        <v>14</v>
      </c>
      <c r="AG275" s="13">
        <v>23.5</v>
      </c>
      <c r="AH275" s="19">
        <f t="shared" si="16"/>
        <v>25.674220533445606</v>
      </c>
      <c r="AI275" s="19">
        <f t="shared" si="17"/>
        <v>13.174977970680043</v>
      </c>
      <c r="AJ275" s="2" t="s">
        <v>146</v>
      </c>
      <c r="AK275" s="13">
        <v>0</v>
      </c>
      <c r="AL275" s="13">
        <v>2.5</v>
      </c>
      <c r="AM275" s="19">
        <f>IF(Abschlüsse[[#This Row],[Ergeb]]="ET","",SQRT(($AF275-$AK275)^2+($AG275-$AL275)^2))</f>
        <v>25.238858928247925</v>
      </c>
      <c r="AN275" s="3">
        <v>0</v>
      </c>
      <c r="AO275" s="13"/>
      <c r="AP275" s="13"/>
      <c r="AQ275" s="19" t="str">
        <f t="shared" si="18"/>
        <v/>
      </c>
      <c r="AR275" s="3">
        <v>3</v>
      </c>
      <c r="AS275" s="13">
        <v>9</v>
      </c>
      <c r="AT275" s="13">
        <v>16</v>
      </c>
      <c r="AU275" s="19">
        <f t="shared" si="19"/>
        <v>9.013878188659973</v>
      </c>
    </row>
    <row r="276" spans="1:47" ht="25.05" customHeight="1">
      <c r="A276" s="3">
        <v>13</v>
      </c>
      <c r="B276" s="2" t="s">
        <v>76</v>
      </c>
      <c r="C276" s="17" t="str">
        <f>IF($A276="","",IF(VLOOKUP($A276,Spiele!$A$2:$D$15,3,FALSE)=$B276,"H","G"))</f>
        <v>G</v>
      </c>
      <c r="D276" s="17" t="str">
        <f>IF($B276="","",IF(VLOOKUP($A276,Spiele!$A$2:$F$15,3,FALSE)=$B276,VLOOKUP($A276,Spiele!$A$2:$F$15,4,FALSE),VLOOKUP($A276,Spiele!$A$2:$F$15,3,FALSE)))</f>
        <v>FCN</v>
      </c>
      <c r="E276" s="18">
        <f>IF(Abschlüsse[[#This Row],[Ergeb]]="ET",0,COUNTIFS($A$2:$A276,$A276,$B$2:$B276,$B276,$L$2:$L276,"&lt;&gt;ET"))</f>
        <v>12</v>
      </c>
      <c r="F276" s="11">
        <v>61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>1:1</v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-1</v>
      </c>
      <c r="K276" s="3">
        <v>20</v>
      </c>
      <c r="L276" s="17" t="s">
        <v>0</v>
      </c>
      <c r="M276" s="2" t="s">
        <v>163</v>
      </c>
      <c r="N276" s="2" t="s">
        <v>152</v>
      </c>
      <c r="O276" s="17"/>
      <c r="AA276" s="2" t="s">
        <v>151</v>
      </c>
      <c r="AB276" s="17" t="s">
        <v>149</v>
      </c>
      <c r="AC276" s="14" t="s">
        <v>150</v>
      </c>
      <c r="AD276" s="14" t="s">
        <v>156</v>
      </c>
      <c r="AE276" s="18"/>
      <c r="AF276" s="13">
        <v>-8.5</v>
      </c>
      <c r="AG276" s="13">
        <v>7</v>
      </c>
      <c r="AH276" s="19">
        <f t="shared" si="16"/>
        <v>8.5103231431009725</v>
      </c>
      <c r="AI276" s="19">
        <f t="shared" si="17"/>
        <v>25.411688271902904</v>
      </c>
      <c r="AJ276" s="2" t="s">
        <v>146</v>
      </c>
      <c r="AK276" s="13">
        <v>-3</v>
      </c>
      <c r="AL276" s="13">
        <v>0.5</v>
      </c>
      <c r="AM276" s="19">
        <f>IF(Abschlüsse[[#This Row],[Ergeb]]="ET","",SQRT(($AF276-$AK276)^2+($AG276-$AL276)^2))</f>
        <v>8.5146931829632013</v>
      </c>
      <c r="AN276" s="3">
        <v>1</v>
      </c>
      <c r="AO276" s="13">
        <v>-5</v>
      </c>
      <c r="AP276" s="13">
        <v>6.5</v>
      </c>
      <c r="AQ276" s="19">
        <f t="shared" si="18"/>
        <v>3.5355339059327378</v>
      </c>
      <c r="AR276" s="3">
        <v>0</v>
      </c>
      <c r="AU276" s="19" t="str">
        <f t="shared" si="19"/>
        <v/>
      </c>
    </row>
    <row r="277" spans="1:47" ht="25.05" customHeight="1">
      <c r="A277" s="3">
        <v>13</v>
      </c>
      <c r="B277" s="2" t="s">
        <v>76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13</v>
      </c>
      <c r="F277" s="11">
        <v>65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/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0</v>
      </c>
      <c r="K277" s="3">
        <v>21</v>
      </c>
      <c r="L277" s="17" t="s">
        <v>18</v>
      </c>
      <c r="M277" s="2" t="s">
        <v>163</v>
      </c>
      <c r="N277" s="2" t="s">
        <v>3</v>
      </c>
      <c r="O277" s="17"/>
      <c r="AA277" s="2" t="s">
        <v>141</v>
      </c>
      <c r="AB277" s="17" t="s">
        <v>143</v>
      </c>
      <c r="AC277" s="14" t="s">
        <v>150</v>
      </c>
      <c r="AD277" s="14" t="s">
        <v>156</v>
      </c>
      <c r="AE277" s="18"/>
      <c r="AF277" s="13">
        <v>4.5</v>
      </c>
      <c r="AG277" s="13">
        <v>11</v>
      </c>
      <c r="AH277" s="19">
        <f t="shared" si="16"/>
        <v>11.032026105842935</v>
      </c>
      <c r="AI277" s="19">
        <f t="shared" si="17"/>
        <v>32.201857009576806</v>
      </c>
      <c r="AJ277" s="2" t="s">
        <v>146</v>
      </c>
      <c r="AK277" s="13">
        <v>1</v>
      </c>
      <c r="AL277" s="13">
        <v>0.5</v>
      </c>
      <c r="AM277" s="19">
        <f>IF(Abschlüsse[[#This Row],[Ergeb]]="ET","",SQRT(($AF277-$AK277)^2+($AG277-$AL277)^2))</f>
        <v>11.067971810589327</v>
      </c>
      <c r="AN277" s="3">
        <v>1</v>
      </c>
      <c r="AO277" s="13">
        <v>4.5</v>
      </c>
      <c r="AP277" s="13">
        <v>9</v>
      </c>
      <c r="AQ277" s="19">
        <f t="shared" si="18"/>
        <v>2</v>
      </c>
      <c r="AR277" s="3">
        <v>1</v>
      </c>
      <c r="AS277" s="13">
        <v>4</v>
      </c>
      <c r="AT277" s="13">
        <v>5.5</v>
      </c>
      <c r="AU277" s="19">
        <f t="shared" si="19"/>
        <v>5.5226805085936306</v>
      </c>
    </row>
    <row r="278" spans="1:47" ht="25.05" customHeight="1">
      <c r="A278" s="3">
        <v>13</v>
      </c>
      <c r="B278" s="2" t="s">
        <v>8</v>
      </c>
      <c r="C278" s="17" t="str">
        <f>IF($A278="","",IF(VLOOKUP($A278,Spiele!$A$2:$D$15,3,FALSE)=$B278,"H","G"))</f>
        <v>H</v>
      </c>
      <c r="D278" s="17" t="str">
        <f>IF($B278="","",IF(VLOOKUP($A278,Spiele!$A$2:$F$15,3,FALSE)=$B278,VLOOKUP($A278,Spiele!$A$2:$F$15,4,FALSE),VLOOKUP($A278,Spiele!$A$2:$F$15,3,FALSE)))</f>
        <v>60M</v>
      </c>
      <c r="E278" s="18">
        <f>IF(Abschlüsse[[#This Row],[Ergeb]]="ET",0,COUNTIFS($A$2:$A278,$A278,$B$2:$B278,$B278,$L$2:$L278,"&lt;&gt;ET"))</f>
        <v>12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22</v>
      </c>
      <c r="L278" s="17" t="s">
        <v>20</v>
      </c>
      <c r="M278" s="2" t="s">
        <v>140</v>
      </c>
      <c r="N278" s="2" t="s">
        <v>153</v>
      </c>
      <c r="O278" s="17">
        <v>8</v>
      </c>
      <c r="P278" s="2">
        <v>5</v>
      </c>
      <c r="Q278" s="2">
        <v>8</v>
      </c>
      <c r="R278" s="2">
        <v>6</v>
      </c>
      <c r="AA278" s="2" t="s">
        <v>154</v>
      </c>
      <c r="AB278" s="17" t="s">
        <v>160</v>
      </c>
      <c r="AC278" s="14" t="s">
        <v>161</v>
      </c>
      <c r="AD278" s="14" t="s">
        <v>145</v>
      </c>
      <c r="AE278" s="18">
        <v>16</v>
      </c>
      <c r="AF278" s="13">
        <v>-5.5</v>
      </c>
      <c r="AG278" s="13">
        <v>4</v>
      </c>
      <c r="AH278" s="19">
        <f t="shared" si="16"/>
        <v>4.4029081298614443</v>
      </c>
      <c r="AI278" s="19">
        <f t="shared" si="17"/>
        <v>41.707579601485392</v>
      </c>
      <c r="AJ278" s="2" t="s">
        <v>169</v>
      </c>
      <c r="AK278" s="13">
        <v>-4</v>
      </c>
      <c r="AL278" s="13">
        <v>3</v>
      </c>
      <c r="AM278" s="19">
        <f>IF(Abschlüsse[[#This Row],[Ergeb]]="ET","",SQRT(($AF278-$AK278)^2+($AG278-$AL278)^2))</f>
        <v>1.8027756377319946</v>
      </c>
      <c r="AN278" s="3">
        <v>1</v>
      </c>
      <c r="AO278" s="13">
        <v>-5.5</v>
      </c>
      <c r="AP278" s="13">
        <v>3.5</v>
      </c>
      <c r="AQ278" s="19">
        <f t="shared" si="18"/>
        <v>0.5</v>
      </c>
      <c r="AR278" s="3">
        <v>2</v>
      </c>
      <c r="AS278" s="13">
        <v>0.5</v>
      </c>
      <c r="AT278" s="13">
        <v>1.5</v>
      </c>
      <c r="AU278" s="19">
        <f t="shared" si="19"/>
        <v>6.5</v>
      </c>
    </row>
    <row r="279" spans="1:47" ht="25.05" customHeight="1">
      <c r="A279" s="3">
        <v>13</v>
      </c>
      <c r="B279" s="2" t="s">
        <v>8</v>
      </c>
      <c r="C279" s="17" t="str">
        <f>IF($A279="","",IF(VLOOKUP($A279,Spiele!$A$2:$D$15,3,FALSE)=$B279,"H","G"))</f>
        <v>H</v>
      </c>
      <c r="D279" s="17" t="str">
        <f>IF($B279="","",IF(VLOOKUP($A279,Spiele!$A$2:$F$15,3,FALSE)=$B279,VLOOKUP($A279,Spiele!$A$2:$F$15,4,FALSE),VLOOKUP($A279,Spiele!$A$2:$F$15,3,FALSE)))</f>
        <v>60M</v>
      </c>
      <c r="E279" s="18">
        <f>IF(Abschlüsse[[#This Row],[Ergeb]]="ET",0,COUNTIFS($A$2:$A279,$A279,$B$2:$B279,$B279,$L$2:$L279,"&lt;&gt;ET"))</f>
        <v>13</v>
      </c>
      <c r="F279" s="11">
        <v>71</v>
      </c>
      <c r="G279" s="12">
        <v>2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23</v>
      </c>
      <c r="L279" s="17" t="s">
        <v>19</v>
      </c>
      <c r="M279" s="2" t="s">
        <v>147</v>
      </c>
      <c r="N279" s="2" t="s">
        <v>158</v>
      </c>
      <c r="O279" s="17">
        <v>7</v>
      </c>
      <c r="P279" s="2">
        <v>18</v>
      </c>
      <c r="Q279" s="2">
        <v>8</v>
      </c>
      <c r="R279" s="2">
        <v>7</v>
      </c>
      <c r="S279" s="2">
        <v>23</v>
      </c>
      <c r="T279" s="2">
        <v>6</v>
      </c>
      <c r="U279" s="2">
        <v>5</v>
      </c>
      <c r="V279" s="2">
        <v>16</v>
      </c>
      <c r="W279" s="2">
        <v>20</v>
      </c>
      <c r="AA279" s="2" t="s">
        <v>142</v>
      </c>
      <c r="AB279" s="17" t="s">
        <v>149</v>
      </c>
      <c r="AC279" s="14" t="s">
        <v>150</v>
      </c>
      <c r="AD279" s="14" t="s">
        <v>156</v>
      </c>
      <c r="AE279" s="18">
        <v>10</v>
      </c>
      <c r="AF279" s="13">
        <v>2.5</v>
      </c>
      <c r="AG279" s="13">
        <v>15</v>
      </c>
      <c r="AH279" s="19">
        <f t="shared" si="16"/>
        <v>15</v>
      </c>
      <c r="AI279" s="19">
        <f t="shared" si="17"/>
        <v>26.748394088035369</v>
      </c>
      <c r="AJ279" s="2" t="s">
        <v>146</v>
      </c>
      <c r="AK279" s="13">
        <v>0</v>
      </c>
      <c r="AL279" s="13">
        <v>3.5</v>
      </c>
      <c r="AM279" s="19">
        <f>IF(Abschlüsse[[#This Row],[Ergeb]]="ET","",SQRT(($AF279-$AK279)^2+($AG279-$AL279)^2))</f>
        <v>11.76860229593982</v>
      </c>
      <c r="AN279" s="3">
        <v>0</v>
      </c>
      <c r="AO279" s="13"/>
      <c r="AP279" s="13"/>
      <c r="AQ279" s="19" t="str">
        <f t="shared" si="18"/>
        <v/>
      </c>
      <c r="AR279" s="3">
        <v>3</v>
      </c>
      <c r="AS279" s="13">
        <v>1.5</v>
      </c>
      <c r="AT279" s="13">
        <v>11</v>
      </c>
      <c r="AU279" s="19">
        <f t="shared" si="19"/>
        <v>4.1231056256176606</v>
      </c>
    </row>
    <row r="280" spans="1:47" ht="25.05" customHeight="1">
      <c r="A280" s="3">
        <v>13</v>
      </c>
      <c r="B280" s="2" t="s">
        <v>8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60M</v>
      </c>
      <c r="E280" s="18">
        <f>IF(Abschlüsse[[#This Row],[Ergeb]]="ET",0,COUNTIFS($A$2:$A280,$A280,$B$2:$B280,$B280,$L$2:$L280,"&lt;&gt;ET"))</f>
        <v>14</v>
      </c>
      <c r="F280" s="11">
        <v>73</v>
      </c>
      <c r="G280" s="12">
        <v>2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/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24</v>
      </c>
      <c r="L280" s="17" t="s">
        <v>19</v>
      </c>
      <c r="M280" s="2" t="s">
        <v>163</v>
      </c>
      <c r="N280" s="2" t="s">
        <v>164</v>
      </c>
      <c r="O280" s="17">
        <v>18</v>
      </c>
      <c r="P280" s="2">
        <v>5</v>
      </c>
      <c r="Q280" s="2">
        <v>18</v>
      </c>
      <c r="AA280" s="2" t="s">
        <v>151</v>
      </c>
      <c r="AB280" s="17" t="s">
        <v>143</v>
      </c>
      <c r="AC280" s="14" t="s">
        <v>150</v>
      </c>
      <c r="AD280" s="14" t="s">
        <v>145</v>
      </c>
      <c r="AE280" s="18">
        <v>7</v>
      </c>
      <c r="AF280" s="13">
        <v>-13.5</v>
      </c>
      <c r="AG280" s="13">
        <v>16.5</v>
      </c>
      <c r="AH280" s="19">
        <f t="shared" si="16"/>
        <v>19.211340400919454</v>
      </c>
      <c r="AI280" s="19">
        <f t="shared" si="17"/>
        <v>15.312989252529659</v>
      </c>
      <c r="AJ280" s="2" t="s">
        <v>146</v>
      </c>
      <c r="AK280" s="13">
        <v>-3.5</v>
      </c>
      <c r="AL280" s="13">
        <v>2</v>
      </c>
      <c r="AM280" s="19">
        <f>IF(Abschlüsse[[#This Row],[Ergeb]]="ET","",SQRT(($AF280-$AK280)^2+($AG280-$AL280)^2))</f>
        <v>17.613914953808536</v>
      </c>
      <c r="AN280" s="3">
        <v>2</v>
      </c>
      <c r="AO280" s="13">
        <v>-12.5</v>
      </c>
      <c r="AP280" s="13">
        <v>17.5</v>
      </c>
      <c r="AQ280" s="19">
        <f t="shared" si="18"/>
        <v>1.4142135623730951</v>
      </c>
      <c r="AR280" s="3">
        <v>0</v>
      </c>
      <c r="AU280" s="19" t="str">
        <f t="shared" si="19"/>
        <v/>
      </c>
    </row>
    <row r="281" spans="1:47" ht="25.05" customHeight="1">
      <c r="A281" s="3">
        <v>13</v>
      </c>
      <c r="B281" s="2" t="s">
        <v>8</v>
      </c>
      <c r="C281" s="17" t="str">
        <f>IF($A281="","",IF(VLOOKUP($A281,Spiele!$A$2:$D$15,3,FALSE)=$B281,"H","G"))</f>
        <v>H</v>
      </c>
      <c r="D281" s="17" t="str">
        <f>IF($B281="","",IF(VLOOKUP($A281,Spiele!$A$2:$F$15,3,FALSE)=$B281,VLOOKUP($A281,Spiele!$A$2:$F$15,4,FALSE),VLOOKUP($A281,Spiele!$A$2:$F$15,3,FALSE)))</f>
        <v>60M</v>
      </c>
      <c r="E281" s="18">
        <f>IF(Abschlüsse[[#This Row],[Ergeb]]="ET",0,COUNTIFS($A$2:$A281,$A281,$B$2:$B281,$B281,$L$2:$L281,"&lt;&gt;ET"))</f>
        <v>15</v>
      </c>
      <c r="F281" s="11">
        <v>77</v>
      </c>
      <c r="G281" s="12">
        <v>2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0</v>
      </c>
      <c r="K281" s="3">
        <v>25</v>
      </c>
      <c r="L281" s="17" t="s">
        <v>20</v>
      </c>
      <c r="M281" s="2" t="s">
        <v>163</v>
      </c>
      <c r="N281" s="2" t="s">
        <v>158</v>
      </c>
      <c r="O281" s="17">
        <v>10</v>
      </c>
      <c r="AA281" s="2" t="s">
        <v>151</v>
      </c>
      <c r="AB281" s="17" t="s">
        <v>143</v>
      </c>
      <c r="AC281" s="14" t="s">
        <v>150</v>
      </c>
      <c r="AD281" s="14" t="s">
        <v>156</v>
      </c>
      <c r="AE281" s="18">
        <v>6</v>
      </c>
      <c r="AF281" s="13">
        <v>14.5</v>
      </c>
      <c r="AG281" s="13">
        <v>14</v>
      </c>
      <c r="AH281" s="19">
        <f t="shared" si="16"/>
        <v>17.7060893480181</v>
      </c>
      <c r="AI281" s="19">
        <f t="shared" si="17"/>
        <v>14.620361026676797</v>
      </c>
      <c r="AJ281" s="2" t="s">
        <v>146</v>
      </c>
      <c r="AK281" s="13">
        <v>2.5</v>
      </c>
      <c r="AL281" s="13">
        <v>1.5</v>
      </c>
      <c r="AM281" s="19">
        <f>IF(Abschlüsse[[#This Row],[Ergeb]]="ET","",SQRT(($AF281-$AK281)^2+($AG281-$AL281)^2))</f>
        <v>17.327723451163457</v>
      </c>
      <c r="AN281" s="3">
        <v>1</v>
      </c>
      <c r="AO281" s="13">
        <v>14</v>
      </c>
      <c r="AP281" s="13">
        <v>14</v>
      </c>
      <c r="AQ281" s="19">
        <f t="shared" si="18"/>
        <v>0.5</v>
      </c>
      <c r="AR281" s="3">
        <v>2</v>
      </c>
      <c r="AS281" s="13">
        <v>8.5</v>
      </c>
      <c r="AT281" s="13">
        <v>8</v>
      </c>
      <c r="AU281" s="19">
        <f t="shared" si="19"/>
        <v>8.4852813742385695</v>
      </c>
    </row>
    <row r="282" spans="1:47" ht="25.05" customHeight="1">
      <c r="A282" s="3">
        <v>13</v>
      </c>
      <c r="B282" s="2" t="s">
        <v>76</v>
      </c>
      <c r="C282" s="17" t="str">
        <f>IF($A282="","",IF(VLOOKUP($A282,Spiele!$A$2:$D$15,3,FALSE)=$B282,"H","G"))</f>
        <v>G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14</v>
      </c>
      <c r="F282" s="11">
        <v>83</v>
      </c>
      <c r="G282" s="12">
        <v>2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0</v>
      </c>
      <c r="K282" s="3">
        <v>26</v>
      </c>
      <c r="L282" s="17" t="s">
        <v>18</v>
      </c>
      <c r="M282" s="2" t="s">
        <v>147</v>
      </c>
      <c r="N282" s="2" t="s">
        <v>152</v>
      </c>
      <c r="O282" s="17"/>
      <c r="AA282" s="2" t="s">
        <v>142</v>
      </c>
      <c r="AB282" s="17" t="s">
        <v>143</v>
      </c>
      <c r="AC282" s="14" t="s">
        <v>150</v>
      </c>
      <c r="AD282" s="14" t="s">
        <v>156</v>
      </c>
      <c r="AE282" s="18"/>
      <c r="AF282" s="13">
        <v>-12</v>
      </c>
      <c r="AG282" s="13">
        <v>18</v>
      </c>
      <c r="AH282" s="19">
        <f t="shared" si="16"/>
        <v>19.838235808660002</v>
      </c>
      <c r="AI282" s="19">
        <f t="shared" si="17"/>
        <v>16.163407255354326</v>
      </c>
      <c r="AJ282" s="2" t="s">
        <v>146</v>
      </c>
      <c r="AK282" s="13">
        <v>-1.5</v>
      </c>
      <c r="AL282" s="13">
        <v>2.5</v>
      </c>
      <c r="AM282" s="19">
        <f>IF(Abschlüsse[[#This Row],[Ergeb]]="ET","",SQRT(($AF282-$AK282)^2+($AG282-$AL282)^2))</f>
        <v>18.721645226849056</v>
      </c>
      <c r="AN282" s="3">
        <v>1</v>
      </c>
      <c r="AO282" s="13">
        <v>-10.5</v>
      </c>
      <c r="AP282" s="13">
        <v>21</v>
      </c>
      <c r="AQ282" s="19">
        <f t="shared" si="18"/>
        <v>3.3541019662496847</v>
      </c>
      <c r="AR282" s="3">
        <v>0</v>
      </c>
      <c r="AU282" s="19" t="str">
        <f t="shared" si="19"/>
        <v/>
      </c>
    </row>
    <row r="284" spans="1:47" ht="25.05" customHeight="1">
      <c r="AC284" s="14"/>
      <c r="AD284" s="14"/>
    </row>
  </sheetData>
  <phoneticPr fontId="5" type="noConversion"/>
  <conditionalFormatting sqref="A2:E282">
    <cfRule type="expression" dxfId="40" priority="127">
      <formula>$C2="H"</formula>
    </cfRule>
  </conditionalFormatting>
  <conditionalFormatting sqref="K2:K282 M2:M282 AC2:AD282 AF2:AG282 AJ2:AL282 AN2:AN282 AR2:AR282">
    <cfRule type="cellIs" dxfId="39" priority="47" operator="notEqual">
      <formula>""</formula>
    </cfRule>
  </conditionalFormatting>
  <conditionalFormatting sqref="K2:M282 AA2:AG282 AJ2:AL282 AN2:AN282 AR2:AR282">
    <cfRule type="expression" dxfId="38" priority="50">
      <formula>$F2&lt;&gt;""</formula>
    </cfRule>
  </conditionalFormatting>
  <conditionalFormatting sqref="L2:L282 AB2:AB282 AE2:AE282">
    <cfRule type="cellIs" dxfId="37" priority="1" operator="notEqual">
      <formula>""</formula>
    </cfRule>
  </conditionalFormatting>
  <conditionalFormatting sqref="M285">
    <cfRule type="cellIs" dxfId="36" priority="122" operator="notEqual">
      <formula>""</formula>
    </cfRule>
    <cfRule type="expression" dxfId="35" priority="123">
      <formula>$F285&lt;&gt;""</formula>
    </cfRule>
  </conditionalFormatting>
  <conditionalFormatting sqref="M2:AU1048576">
    <cfRule type="expression" dxfId="34" priority="48">
      <formula>$L2="ET"</formula>
    </cfRule>
  </conditionalFormatting>
  <conditionalFormatting sqref="N2:N282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285:Z285">
    <cfRule type="expression" dxfId="23" priority="105">
      <formula>$M285="nEW"</formula>
    </cfRule>
    <cfRule type="expression" dxfId="22" priority="106">
      <formula>$M285="EW"</formula>
    </cfRule>
    <cfRule type="expression" dxfId="21" priority="107">
      <formula>$M285="n11M"</formula>
    </cfRule>
    <cfRule type="expression" dxfId="20" priority="108">
      <formula>$M285="nFS"</formula>
    </cfRule>
    <cfRule type="expression" dxfId="19" priority="109">
      <formula>$M285="nE"</formula>
    </cfRule>
    <cfRule type="expression" dxfId="18" priority="110">
      <formula>$M285="FSF"</formula>
    </cfRule>
    <cfRule type="expression" dxfId="17" priority="111">
      <formula>$M285="E"</formula>
    </cfRule>
    <cfRule type="expression" dxfId="16" priority="112">
      <formula>$M285="USO"</formula>
    </cfRule>
    <cfRule type="expression" dxfId="15" priority="124">
      <formula>$M285="EB"</formula>
    </cfRule>
  </conditionalFormatting>
  <conditionalFormatting sqref="N285:AA285">
    <cfRule type="cellIs" dxfId="14" priority="104" operator="notEqual">
      <formula>""</formula>
    </cfRule>
  </conditionalFormatting>
  <conditionalFormatting sqref="AA2:AA282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285">
    <cfRule type="expression" dxfId="11" priority="125">
      <formula>#REF!=1</formula>
    </cfRule>
  </conditionalFormatting>
  <conditionalFormatting sqref="AC284:AD284">
    <cfRule type="expression" dxfId="10" priority="100">
      <formula>$L284="ET"</formula>
    </cfRule>
    <cfRule type="cellIs" dxfId="9" priority="101" operator="notEqual">
      <formula>""</formula>
    </cfRule>
    <cfRule type="expression" dxfId="8" priority="102">
      <formula>$F284&lt;&gt;""</formula>
    </cfRule>
  </conditionalFormatting>
  <conditionalFormatting sqref="AE2:AE282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282">
    <cfRule type="expression" dxfId="5" priority="2">
      <formula>$AJ2="niT"</formula>
    </cfRule>
  </conditionalFormatting>
  <conditionalFormatting sqref="AO2:AP282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282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2025-12-10T17:23:07Z</dcterms:modified>
</cp:coreProperties>
</file>