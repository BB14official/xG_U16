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9027A44B-5406-4831-B9F4-9FBCD7A195E7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AQ181" i="2"/>
  <c r="AU172" i="2"/>
  <c r="AH174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44" i="2"/>
  <c r="D244" i="2"/>
  <c r="C232" i="2"/>
  <c r="C230" i="2"/>
  <c r="J2" i="2"/>
  <c r="I2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D230" i="2"/>
  <c r="C231" i="2"/>
  <c r="D231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0" i="2"/>
  <c r="D240" i="2"/>
  <c r="C241" i="2"/>
  <c r="D241" i="2"/>
  <c r="C242" i="2"/>
  <c r="D242" i="2"/>
  <c r="C243" i="2"/>
  <c r="D243" i="2"/>
  <c r="C245" i="2"/>
  <c r="D245" i="2"/>
  <c r="C246" i="2"/>
  <c r="D246" i="2"/>
  <c r="C247" i="2"/>
  <c r="D247" i="2"/>
  <c r="C248" i="2"/>
  <c r="D248" i="2"/>
  <c r="C249" i="2"/>
  <c r="D249" i="2"/>
  <c r="C250" i="2"/>
  <c r="D250" i="2"/>
  <c r="C251" i="2"/>
  <c r="D251" i="2"/>
  <c r="C252" i="2"/>
  <c r="D252" i="2"/>
  <c r="C253" i="2"/>
  <c r="D253" i="2"/>
  <c r="C254" i="2"/>
  <c r="D254" i="2"/>
  <c r="D2" i="2"/>
  <c r="C2" i="2"/>
  <c r="H15" i="35"/>
  <c r="AQ190" i="2"/>
  <c r="AM168" i="2"/>
  <c r="AH155" i="2"/>
  <c r="AU243" i="2"/>
  <c r="AU229" i="2"/>
  <c r="AH244" i="2"/>
  <c r="AI244" i="2"/>
  <c r="AM244" i="2"/>
  <c r="AQ244" i="2"/>
  <c r="AU244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U83" i="2"/>
  <c r="AQ80" i="2"/>
  <c r="AQ68" i="2"/>
  <c r="AQ62" i="2"/>
  <c r="AM57" i="2"/>
  <c r="AQ56" i="2"/>
  <c r="AH52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5" i="2"/>
  <c r="AM246" i="2"/>
  <c r="AM247" i="2"/>
  <c r="AM248" i="2"/>
  <c r="AM249" i="2"/>
  <c r="AM250" i="2"/>
  <c r="AM251" i="2"/>
  <c r="AM252" i="2"/>
  <c r="AM253" i="2"/>
  <c r="AM254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5" i="2"/>
  <c r="AU246" i="2"/>
  <c r="AU247" i="2"/>
  <c r="AU248" i="2"/>
  <c r="AU249" i="2"/>
  <c r="AU250" i="2"/>
  <c r="AU251" i="2"/>
  <c r="AU252" i="2"/>
  <c r="AU253" i="2"/>
  <c r="AU254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2" i="2"/>
  <c r="AQ233" i="2"/>
  <c r="AQ234" i="2"/>
  <c r="AQ235" i="2"/>
  <c r="AQ236" i="2"/>
  <c r="AQ237" i="2"/>
  <c r="AQ238" i="2"/>
  <c r="AQ239" i="2"/>
  <c r="AQ240" i="2"/>
  <c r="AQ241" i="2"/>
  <c r="AQ242" i="2"/>
  <c r="AQ243" i="2"/>
  <c r="AQ245" i="2"/>
  <c r="AQ246" i="2"/>
  <c r="AQ247" i="2"/>
  <c r="AQ248" i="2"/>
  <c r="AQ249" i="2"/>
  <c r="AQ250" i="2"/>
  <c r="AQ251" i="2"/>
  <c r="AQ252" i="2"/>
  <c r="AQ253" i="2"/>
  <c r="AQ254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0" i="2"/>
  <c r="AI240" i="2"/>
  <c r="AH241" i="2"/>
  <c r="AI241" i="2"/>
  <c r="AH242" i="2"/>
  <c r="AI242" i="2"/>
  <c r="AH243" i="2"/>
  <c r="AI243" i="2"/>
  <c r="AH245" i="2"/>
  <c r="AI245" i="2"/>
  <c r="AH246" i="2"/>
  <c r="AI246" i="2"/>
  <c r="AH247" i="2"/>
  <c r="AI247" i="2"/>
  <c r="AH248" i="2"/>
  <c r="AI248" i="2"/>
  <c r="AH249" i="2"/>
  <c r="AI249" i="2"/>
  <c r="AH250" i="2"/>
  <c r="AI250" i="2"/>
  <c r="AH251" i="2"/>
  <c r="AI251" i="2"/>
  <c r="AH252" i="2"/>
  <c r="AI252" i="2"/>
  <c r="AH253" i="2"/>
  <c r="AI253" i="2"/>
  <c r="AH254" i="2"/>
  <c r="AI254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<sst xmlns="http://schemas.openxmlformats.org/spreadsheetml/2006/main" count="2455" uniqueCount="188">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</sst>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SUM(COUNTIFS(Abschlüsse!$A$2:$A$254,$A2,Abschlüsse!$B$2:$B$254,$C2,Abschlüsse!$L$2:$L$254,"Tor"),COUNTIFS(Abschlüsse!$A$2:$A$254,$A2,Abschlüsse!$B$2:$B$254,$C2,Abschlüsse!$L$2:$L$254,"ET"))</calculatedColumnFormula>
    </tableColumn>
    <tableColumn id="14" xr3:uid="{C91559F3-290E-4254-BCA6-0153E99BEA95}" name="TG" dataDxfId="121">
      <calculatedColumnFormula>SUM(COUNTIFS(Abschlüsse!$A$2:$A$254,$A2,Abschlüsse!$B$2:$B$254,$D2,Abschlüsse!$L$2:$L$254,"Tor"),COUNTIFS(Abschlüsse!$A$2:$A$254,$A2,Abschlüsse!$B$2:$B$254,$D2,Abschlüsse!$L$2:$L$254,"ET"))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254" totalsRowShown="0" headerRowDxfId="103" dataDxfId="102" headerRowCellStyle="Standard 2">
  <autoFilter ref="A1:AU254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IF($A2="","",IF(VLOOKUP($A2,Spiele!$A$2:$D$15,3,FALSE)=$B2,"H","G"))</calculatedColumnFormula>
    </tableColumn>
    <tableColumn id="6" xr3:uid="{3DFABB6E-EDFC-4F0E-826F-06C6A5AD8683}" name="GID" dataDxfId="98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3" totalsRowShown="0" headerRowDxfId="50" dataDxfId="49">
  <sortState xmlns:xlrd2="http://schemas.microsoft.com/office/spreadsheetml/2017/richdata2" ref="A2:C23">
    <sortCondition ref="A1:A23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SUM(COUNTIFS(Abschlüsse!$A$2:$A$254,$A2,Abschlüsse!$B$2:$B$254,$C2,Abschlüsse!$L$2:$L$254,"Tor"),COUNTIFS(Abschlüsse!$A$2:$A$254,$A2,Abschlüsse!$B$2:$B$254,$C2,Abschlüsse!$L$2:$L$254,"ET"))</f>
        <v>4</v>
      </c>
      <c r="H2" s="18">
        <f>SUM(COUNTIFS(Abschlüsse!$A$2:$A$254,$A2,Abschlüsse!$B$2:$B$254,$D2,Abschlüsse!$L$2:$L$254,"Tor"),COUNTIFS(Abschlüsse!$A$2:$A$254,$A2,Abschlüsse!$B$2:$B$254,$D2,Abschlüsse!$L$2:$L$254,"ET"))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SUM(COUNTIFS(Abschlüsse!$A$2:$A$254,$A3,Abschlüsse!$B$2:$B$254,$C3,Abschlüsse!$L$2:$L$254,"Tor"),COUNTIFS(Abschlüsse!$A$2:$A$254,$A3,Abschlüsse!$B$2:$B$254,$C3,Abschlüsse!$L$2:$L$254,"ET"))</f>
        <v>2</v>
      </c>
      <c r="H3" s="18">
        <f>SUM(COUNTIFS(Abschlüsse!$A$2:$A$254,$A3,Abschlüsse!$B$2:$B$254,$D3,Abschlüsse!$L$2:$L$254,"Tor"),COUNTIFS(Abschlüsse!$A$2:$A$254,$A3,Abschlüsse!$B$2:$B$254,$D3,Abschlüsse!$L$2:$L$254,"ET"))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SUM(COUNTIFS(Abschlüsse!$A$2:$A$254,$A4,Abschlüsse!$B$2:$B$254,$C4,Abschlüsse!$L$2:$L$254,"Tor"),COUNTIFS(Abschlüsse!$A$2:$A$254,$A4,Abschlüsse!$B$2:$B$254,$C4,Abschlüsse!$L$2:$L$254,"ET"))</f>
        <v>4</v>
      </c>
      <c r="H4" s="18">
        <f>SUM(COUNTIFS(Abschlüsse!$A$2:$A$254,$A4,Abschlüsse!$B$2:$B$254,$D4,Abschlüsse!$L$2:$L$254,"Tor"),COUNTIFS(Abschlüsse!$A$2:$A$254,$A4,Abschlüsse!$B$2:$B$254,$D4,Abschlüsse!$L$2:$L$254,"ET"))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SUM(COUNTIFS(Abschlüsse!$A$2:$A$254,$A5,Abschlüsse!$B$2:$B$254,$C5,Abschlüsse!$L$2:$L$254,"Tor"),COUNTIFS(Abschlüsse!$A$2:$A$254,$A5,Abschlüsse!$B$2:$B$254,$C5,Abschlüsse!$L$2:$L$254,"ET"))</f>
        <v>0</v>
      </c>
      <c r="H5" s="18">
        <f>SUM(COUNTIFS(Abschlüsse!$A$2:$A$254,$A5,Abschlüsse!$B$2:$B$254,$D5,Abschlüsse!$L$2:$L$254,"Tor"),COUNTIFS(Abschlüsse!$A$2:$A$254,$A5,Abschlüsse!$B$2:$B$254,$D5,Abschlüsse!$L$2:$L$254,"ET"))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SUM(COUNTIFS(Abschlüsse!$A$2:$A$254,$A6,Abschlüsse!$B$2:$B$254,$C6,Abschlüsse!$L$2:$L$254,"Tor"),COUNTIFS(Abschlüsse!$A$2:$A$254,$A6,Abschlüsse!$B$2:$B$254,$C6,Abschlüsse!$L$2:$L$254,"ET"))</f>
        <v>2</v>
      </c>
      <c r="H6" s="18">
        <f>SUM(COUNTIFS(Abschlüsse!$A$2:$A$254,$A6,Abschlüsse!$B$2:$B$254,$D6,Abschlüsse!$L$2:$L$254,"Tor"),COUNTIFS(Abschlüsse!$A$2:$A$254,$A6,Abschlüsse!$B$2:$B$254,$D6,Abschlüsse!$L$2:$L$254,"ET"))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SUM(COUNTIFS(Abschlüsse!$A$2:$A$254,$A7,Abschlüsse!$B$2:$B$254,$C7,Abschlüsse!$L$2:$L$254,"Tor"),COUNTIFS(Abschlüsse!$A$2:$A$254,$A7,Abschlüsse!$B$2:$B$254,$C7,Abschlüsse!$L$2:$L$254,"ET"))</f>
        <v>4</v>
      </c>
      <c r="H7" s="18">
        <f>SUM(COUNTIFS(Abschlüsse!$A$2:$A$254,$A7,Abschlüsse!$B$2:$B$254,$D7,Abschlüsse!$L$2:$L$254,"Tor"),COUNTIFS(Abschlüsse!$A$2:$A$254,$A7,Abschlüsse!$B$2:$B$254,$D7,Abschlüsse!$L$2:$L$254,"ET"))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SUM(COUNTIFS(Abschlüsse!$A$2:$A$254,$A8,Abschlüsse!$B$2:$B$254,$C8,Abschlüsse!$L$2:$L$254,"Tor"),COUNTIFS(Abschlüsse!$A$2:$A$254,$A8,Abschlüsse!$B$2:$B$254,$C8,Abschlüsse!$L$2:$L$254,"ET"))</f>
        <v>2</v>
      </c>
      <c r="H8" s="18">
        <f>SUM(COUNTIFS(Abschlüsse!$A$2:$A$254,$A8,Abschlüsse!$B$2:$B$254,$D8,Abschlüsse!$L$2:$L$254,"Tor"),COUNTIFS(Abschlüsse!$A$2:$A$254,$A8,Abschlüsse!$B$2:$B$254,$D8,Abschlüsse!$L$2:$L$254,"ET"))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SUM(COUNTIFS(Abschlüsse!$A$2:$A$254,$A9,Abschlüsse!$B$2:$B$254,$C9,Abschlüsse!$L$2:$L$254,"Tor"),COUNTIFS(Abschlüsse!$A$2:$A$254,$A9,Abschlüsse!$B$2:$B$254,$C9,Abschlüsse!$L$2:$L$254,"ET"))</f>
        <v>2</v>
      </c>
      <c r="H9" s="18">
        <f>SUM(COUNTIFS(Abschlüsse!$A$2:$A$254,$A9,Abschlüsse!$B$2:$B$254,$D9,Abschlüsse!$L$2:$L$254,"Tor"),COUNTIFS(Abschlüsse!$A$2:$A$254,$A9,Abschlüsse!$B$2:$B$254,$D9,Abschlüsse!$L$2:$L$254,"ET"))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SUM(COUNTIFS(Abschlüsse!$A$2:$A$254,$A10,Abschlüsse!$B$2:$B$254,$C10,Abschlüsse!$L$2:$L$254,"Tor"),COUNTIFS(Abschlüsse!$A$2:$A$254,$A10,Abschlüsse!$B$2:$B$254,$C10,Abschlüsse!$L$2:$L$254,"ET"))</f>
        <v>0</v>
      </c>
      <c r="H10" s="18">
        <f>SUM(COUNTIFS(Abschlüsse!$A$2:$A$254,$A10,Abschlüsse!$B$2:$B$254,$D10,Abschlüsse!$L$2:$L$254,"Tor"),COUNTIFS(Abschlüsse!$A$2:$A$254,$A10,Abschlüsse!$B$2:$B$254,$D10,Abschlüsse!$L$2:$L$254,"ET"))</f>
        <v>0</v>
      </c>
      <c r="I10" s="18">
        <f t="shared" si="0"/>
        <v>1</v>
      </c>
      <c r="J10" s="18">
        <f t="shared" si="1"/>
        <v>1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SUM(COUNTIFS(Abschlüsse!$A$2:$A$254,$A11,Abschlüsse!$B$2:$B$254,$C11,Abschlüsse!$L$2:$L$254,"Tor"),COUNTIFS(Abschlüsse!$A$2:$A$254,$A11,Abschlüsse!$B$2:$B$254,$C11,Abschlüsse!$L$2:$L$254,"ET"))</f>
        <v>0</v>
      </c>
      <c r="H11" s="18">
        <f>SUM(COUNTIFS(Abschlüsse!$A$2:$A$254,$A11,Abschlüsse!$B$2:$B$254,$D11,Abschlüsse!$L$2:$L$254,"Tor"),COUNTIFS(Abschlüsse!$A$2:$A$254,$A11,Abschlüsse!$B$2:$B$254,$D11,Abschlüsse!$L$2:$L$254,"ET"))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SUM(COUNTIFS(Abschlüsse!$A$2:$A$254,$A12,Abschlüsse!$B$2:$B$254,$C12,Abschlüsse!$L$2:$L$254,"Tor"),COUNTIFS(Abschlüsse!$A$2:$A$254,$A12,Abschlüsse!$B$2:$B$254,$C12,Abschlüsse!$L$2:$L$254,"ET"))</f>
        <v>0</v>
      </c>
      <c r="H12" s="18">
        <f>SUM(COUNTIFS(Abschlüsse!$A$2:$A$254,$A12,Abschlüsse!$B$2:$B$254,$D12,Abschlüsse!$L$2:$L$254,"Tor"),COUNTIFS(Abschlüsse!$A$2:$A$254,$A12,Abschlüsse!$B$2:$B$254,$D12,Abschlüsse!$L$2:$L$254,"ET"))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SUM(COUNTIFS(Abschlüsse!$A$2:$A$254,$A13,Abschlüsse!$B$2:$B$254,$C13,Abschlüsse!$L$2:$L$254,"Tor"),COUNTIFS(Abschlüsse!$A$2:$A$254,$A13,Abschlüsse!$B$2:$B$254,$C13,Abschlüsse!$L$2:$L$254,"ET"))</f>
        <v>0</v>
      </c>
      <c r="H13" s="18">
        <f>SUM(COUNTIFS(Abschlüsse!$A$2:$A$254,$A13,Abschlüsse!$B$2:$B$254,$D13,Abschlüsse!$L$2:$L$254,"Tor"),COUNTIFS(Abschlüsse!$A$2:$A$254,$A13,Abschlüsse!$B$2:$B$254,$D13,Abschlüsse!$L$2:$L$254,"ET"))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SUM(COUNTIFS(Abschlüsse!$A$2:$A$254,$A14,Abschlüsse!$B$2:$B$254,$C14,Abschlüsse!$L$2:$L$254,"Tor"),COUNTIFS(Abschlüsse!$A$2:$A$254,$A14,Abschlüsse!$B$2:$B$254,$C14,Abschlüsse!$L$2:$L$254,"ET"))</f>
        <v>1</v>
      </c>
      <c r="H14" s="18">
        <f>SUM(COUNTIFS(Abschlüsse!$A$2:$A$254,$A14,Abschlüsse!$B$2:$B$254,$D14,Abschlüsse!$L$2:$L$254,"Tor"),COUNTIFS(Abschlüsse!$A$2:$A$254,$A14,Abschlüsse!$B$2:$B$254,$D14,Abschlüsse!$L$2:$L$254,"ET"))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SUM(COUNTIFS(Abschlüsse!$A$2:$A$254,$A15,Abschlüsse!$B$2:$B$254,$C15,Abschlüsse!$L$2:$L$254,"Tor"),COUNTIFS(Abschlüsse!$A$2:$A$254,$A15,Abschlüsse!$B$2:$B$254,$C15,Abschlüsse!$L$2:$L$254,"ET"))</f>
        <v>0</v>
      </c>
      <c r="H15" s="18">
        <f>SUM(COUNTIFS(Abschlüsse!$A$2:$A$254,$A15,Abschlüsse!$B$2:$B$254,$D15,Abschlüsse!$L$2:$L$254,"Tor"),COUNTIFS(Abschlüsse!$A$2:$A$254,$A15,Abschlüsse!$B$2:$B$254,$D15,Abschlüsse!$L$2:$L$254,"ET"))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4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197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3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56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156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-1</v>
      </c>
      <c r="AP172" s="13">
        <v>0.5</v>
      </c>
      <c r="AQ172" s="19">
        <f t="shared" si="10"/>
        <v>5.0990195135927845</v>
      </c>
      <c r="AR172" s="3">
        <v>3</v>
      </c>
      <c r="AS172" s="13">
        <v>-0.5</v>
      </c>
      <c r="AT172" s="13">
        <v>5</v>
      </c>
      <c r="AU172" s="19">
        <f t="shared" si="11"/>
        <v>0.70710678118654757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25" si="12">IF($L194="ET","",IF($AF194&gt;3.66,SQRT($AG194^2+($AF194-(7.32/2))^2),IF($AF194&lt;-3.66,SQRT($AG194^2+($AF194+(7.32/2))^2),$AG194)))</f>
        <v>15</v>
      </c>
      <c r="AI194" s="19">
        <f t="shared" ref="AI194:AI225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156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2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162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25" si="14">IF(AN203=0,"",SQRT(($AF203-$AO203)^2+($AG203-$AP203)^2))</f>
        <v>2.5</v>
      </c>
      <c r="AR203" s="3">
        <v>0</v>
      </c>
      <c r="AU203" s="19" t="str">
        <f t="shared" ref="AU203:AU225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0</v>
      </c>
      <c r="AU208" s="19" t="str">
        <f t="shared" si="15"/>
        <v/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13</v>
      </c>
      <c r="B226" s="2" t="s">
        <v>76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FCN</v>
      </c>
      <c r="E226" s="18">
        <f>IF(Abschlüsse[[#This Row],[Ergeb]]="ET",0,COUNTIFS($A$2:$A226,$A226,$B$2:$B226,$B226,$L$2:$L226,"&lt;&gt;ET"))</f>
        <v>1</v>
      </c>
      <c r="F226" s="11">
        <v>7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20</v>
      </c>
      <c r="M226" s="2" t="s">
        <v>163</v>
      </c>
      <c r="N226" s="2" t="s">
        <v>158</v>
      </c>
      <c r="O226" s="17"/>
      <c r="AA226" s="2" t="s">
        <v>142</v>
      </c>
      <c r="AB226" s="17" t="s">
        <v>149</v>
      </c>
      <c r="AC226" s="14" t="s">
        <v>150</v>
      </c>
      <c r="AD226" s="14" t="s">
        <v>156</v>
      </c>
      <c r="AE226" s="18"/>
      <c r="AF226" s="13">
        <v>-2</v>
      </c>
      <c r="AG226" s="13">
        <v>17.5</v>
      </c>
      <c r="AH226" s="19">
        <f t="shared" ref="AH226:AH254" si="16">IF($L226="ET","",IF($AF226&gt;3.66,SQRT($AG226^2+($AF226-(7.32/2))^2),IF($AF226&lt;-3.66,SQRT($AG226^2+($AF226+(7.32/2))^2),$AG226)))</f>
        <v>17.5</v>
      </c>
      <c r="AI226" s="19">
        <f t="shared" ref="AI226:AI254" si="17">IF($L226="ET","",IF(DEGREES(ATAN((7.32*$AG226)/($AG226^2+$AF226^2-(7.32/2)^2)))&lt;=0,180+DEGREES(ATAN((7.32*$AG226)/($AG226^2+$AF226^2-(7.32/2)^2))),DEGREES(ATAN((7.32*$AG226)/($AG226^2+$AF226^2-(7.32/2)^2)))))</f>
        <v>23.341389828691302</v>
      </c>
      <c r="AJ226" s="2" t="s">
        <v>146</v>
      </c>
      <c r="AK226" s="13">
        <v>-0.5</v>
      </c>
      <c r="AL226" s="13">
        <v>0.5</v>
      </c>
      <c r="AM226" s="19">
        <f>IF(Abschlüsse[[#This Row],[Ergeb]]="ET","",SQRT(($AF226-$AK226)^2+($AG226-$AL226)^2))</f>
        <v>17.066048165876012</v>
      </c>
      <c r="AN226" s="3">
        <v>1</v>
      </c>
      <c r="AO226" s="13">
        <v>-2.5</v>
      </c>
      <c r="AP226" s="13">
        <v>17</v>
      </c>
      <c r="AQ226" s="19">
        <f t="shared" ref="AQ226:AQ254" si="18">IF(AN226=0,"",SQRT(($AF226-$AO226)^2+($AG226-$AP226)^2))</f>
        <v>0.70710678118654757</v>
      </c>
      <c r="AR226" s="3">
        <v>2</v>
      </c>
      <c r="AS226" s="13">
        <v>-2</v>
      </c>
      <c r="AT226" s="13">
        <v>14</v>
      </c>
      <c r="AU226" s="19">
        <f t="shared" ref="AU226:AU254" si="19">IF(AR226=0,"",SQRT(($AF226-$AS226)^2+($AG226-$AT226)^2))</f>
        <v>3.5</v>
      </c>
    </row>
    <row r="227" spans="1:47" ht="25.05" customHeight="1">
      <c r="A227" s="3">
        <v>13</v>
      </c>
      <c r="B227" s="2" t="s">
        <v>76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FCN</v>
      </c>
      <c r="E227" s="18">
        <f>IF(Abschlüsse[[#This Row],[Ergeb]]="ET",0,COUNTIFS($A$2:$A227,$A227,$B$2:$B227,$B227,$L$2:$L227,"&lt;&gt;ET"))</f>
        <v>2</v>
      </c>
      <c r="F227" s="11">
        <v>7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1</v>
      </c>
      <c r="L227" s="17" t="s">
        <v>19</v>
      </c>
      <c r="M227" s="2" t="s">
        <v>163</v>
      </c>
      <c r="N227" s="2" t="s">
        <v>165</v>
      </c>
      <c r="O227" s="17"/>
      <c r="AA227" s="2" t="s">
        <v>154</v>
      </c>
      <c r="AB227" s="17" t="s">
        <v>143</v>
      </c>
      <c r="AC227" s="14" t="s">
        <v>161</v>
      </c>
      <c r="AD227" s="14" t="s">
        <v>162</v>
      </c>
      <c r="AE227" s="18"/>
      <c r="AF227" s="13">
        <v>-12</v>
      </c>
      <c r="AG227" s="13">
        <v>15.5</v>
      </c>
      <c r="AH227" s="19">
        <f t="shared" si="16"/>
        <v>17.601295406872758</v>
      </c>
      <c r="AI227" s="19">
        <f t="shared" si="17"/>
        <v>17.011080950867086</v>
      </c>
      <c r="AJ227" s="2" t="s">
        <v>146</v>
      </c>
      <c r="AK227" s="13">
        <v>-2</v>
      </c>
      <c r="AL227" s="13">
        <v>1</v>
      </c>
      <c r="AM227" s="19">
        <f>IF(Abschlüsse[[#This Row],[Ergeb]]="ET","",SQRT(($AF227-$AK227)^2+($AG227-$AL227)^2))</f>
        <v>17.613914953808536</v>
      </c>
      <c r="AN227" s="3">
        <v>0</v>
      </c>
      <c r="AO227" s="13"/>
      <c r="AP227" s="13"/>
      <c r="AQ227" s="19" t="str">
        <f t="shared" si="18"/>
        <v/>
      </c>
      <c r="AR227" s="3">
        <v>2</v>
      </c>
      <c r="AS227" s="13">
        <v>-10.5</v>
      </c>
      <c r="AT227" s="13">
        <v>13.5</v>
      </c>
      <c r="AU227" s="19">
        <f t="shared" si="19"/>
        <v>2.5</v>
      </c>
    </row>
    <row r="228" spans="1:47" ht="25.05" customHeight="1">
      <c r="A228" s="3">
        <v>13</v>
      </c>
      <c r="B228" s="2" t="s">
        <v>8</v>
      </c>
      <c r="C228" s="17" t="str">
        <f>IF($A228="","",IF(VLOOKUP($A228,Spiele!$A$2:$D$15,3,FALSE)=$B228,"H","G"))</f>
        <v>H</v>
      </c>
      <c r="D228" s="17" t="str">
        <f>IF($B228="","",IF(VLOOKUP($A228,Spiele!$A$2:$F$15,3,FALSE)=$B228,VLOOKUP($A228,Spiele!$A$2:$F$15,4,FALSE),VLOOKUP($A228,Spiele!$A$2:$F$15,3,FALSE)))</f>
        <v>60M</v>
      </c>
      <c r="E228" s="18">
        <f>IF(Abschlüsse[[#This Row],[Ergeb]]="ET",0,COUNTIFS($A$2:$A228,$A228,$B$2:$B228,$B228,$L$2:$L228,"&lt;&gt;ET"))</f>
        <v>1</v>
      </c>
      <c r="F228" s="11">
        <v>8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2</v>
      </c>
      <c r="L228" s="17" t="s">
        <v>19</v>
      </c>
      <c r="M228" s="2" t="s">
        <v>163</v>
      </c>
      <c r="N228" s="2" t="s">
        <v>164</v>
      </c>
      <c r="O228" s="17">
        <v>8</v>
      </c>
      <c r="AA228" s="2" t="s">
        <v>151</v>
      </c>
      <c r="AB228" s="17" t="s">
        <v>143</v>
      </c>
      <c r="AC228" s="14" t="s">
        <v>150</v>
      </c>
      <c r="AD228" s="14" t="s">
        <v>156</v>
      </c>
      <c r="AE228" s="18">
        <v>9</v>
      </c>
      <c r="AF228" s="13">
        <v>-3.5</v>
      </c>
      <c r="AG228" s="13">
        <v>11.5</v>
      </c>
      <c r="AH228" s="19">
        <f t="shared" si="16"/>
        <v>11.5</v>
      </c>
      <c r="AI228" s="19">
        <f t="shared" si="17"/>
        <v>32.703859314557576</v>
      </c>
      <c r="AJ228" s="2" t="s">
        <v>146</v>
      </c>
      <c r="AK228" s="13">
        <v>-1.5</v>
      </c>
      <c r="AL228" s="13">
        <v>3.5</v>
      </c>
      <c r="AM228" s="19">
        <f>IF(Abschlüsse[[#This Row],[Ergeb]]="ET","",SQRT(($AF228-$AK228)^2+($AG228-$AL228)^2))</f>
        <v>8.2462112512353212</v>
      </c>
      <c r="AN228" s="3">
        <v>0</v>
      </c>
      <c r="AO228" s="13"/>
      <c r="AP228" s="13"/>
      <c r="AQ228" s="19" t="str">
        <f t="shared" si="18"/>
        <v/>
      </c>
      <c r="AR228" s="3">
        <v>1</v>
      </c>
      <c r="AS228" s="13">
        <v>-3.5</v>
      </c>
      <c r="AT228" s="13">
        <v>9.5</v>
      </c>
      <c r="AU228" s="19">
        <f t="shared" si="19"/>
        <v>2</v>
      </c>
    </row>
    <row r="229" spans="1:47" ht="25.05" customHeight="1">
      <c r="A229" s="3">
        <v>13</v>
      </c>
      <c r="B229" s="2" t="s">
        <v>76</v>
      </c>
      <c r="C229" s="17" t="str">
        <f>IF($A229="","",IF(VLOOKUP($A229,Spiele!$A$2:$D$15,3,FALSE)=$B229,"H","G"))</f>
        <v>G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3</v>
      </c>
      <c r="F229" s="11">
        <v>9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3</v>
      </c>
      <c r="L229" s="17" t="s">
        <v>18</v>
      </c>
      <c r="M229" s="2" t="s">
        <v>147</v>
      </c>
      <c r="N229" s="2" t="s">
        <v>158</v>
      </c>
      <c r="O229" s="17"/>
      <c r="AA229" s="2" t="s">
        <v>154</v>
      </c>
      <c r="AB229" s="17" t="s">
        <v>143</v>
      </c>
      <c r="AC229" s="14" t="s">
        <v>144</v>
      </c>
      <c r="AD229" s="14" t="s">
        <v>156</v>
      </c>
      <c r="AE229" s="18"/>
      <c r="AF229" s="13">
        <v>-0.5</v>
      </c>
      <c r="AG229" s="13">
        <v>15.5</v>
      </c>
      <c r="AH229" s="19">
        <f t="shared" si="16"/>
        <v>15.5</v>
      </c>
      <c r="AI229" s="19">
        <f t="shared" si="17"/>
        <v>26.546439371443093</v>
      </c>
      <c r="AJ229" s="2" t="s">
        <v>146</v>
      </c>
      <c r="AK229" s="13">
        <v>0.5</v>
      </c>
      <c r="AL229" s="13">
        <v>0.5</v>
      </c>
      <c r="AM229" s="19">
        <f>IF(Abschlüsse[[#This Row],[Ergeb]]="ET","",SQRT(($AF229-$AK229)^2+($AG229-$AL229)^2))</f>
        <v>15.033296378372908</v>
      </c>
      <c r="AN229" s="3">
        <v>0</v>
      </c>
      <c r="AO229" s="13"/>
      <c r="AP229" s="13"/>
      <c r="AQ229" s="19" t="str">
        <f t="shared" si="18"/>
        <v/>
      </c>
      <c r="AR229" s="3">
        <v>2</v>
      </c>
      <c r="AS229" s="13">
        <v>-1</v>
      </c>
      <c r="AT229" s="13">
        <v>9.5</v>
      </c>
      <c r="AU229" s="19">
        <f t="shared" si="19"/>
        <v>6.0207972893961479</v>
      </c>
    </row>
    <row r="230" spans="1:47" ht="25.05" customHeight="1">
      <c r="A230" s="3">
        <v>13</v>
      </c>
      <c r="B230" s="2" t="s">
        <v>8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60M</v>
      </c>
      <c r="E230" s="18">
        <f>IF(Abschlüsse[[#This Row],[Ergeb]]="ET",0,COUNTIFS($A$2:$A230,$A230,$B$2:$B230,$B230,$L$2:$L230,"&lt;&gt;ET"))</f>
        <v>2</v>
      </c>
      <c r="F230" s="11">
        <v>10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4</v>
      </c>
      <c r="L230" s="17" t="s">
        <v>19</v>
      </c>
      <c r="M230" s="2" t="s">
        <v>163</v>
      </c>
      <c r="N230" s="2" t="s">
        <v>152</v>
      </c>
      <c r="O230" s="17">
        <v>9</v>
      </c>
      <c r="P230" s="2">
        <v>6</v>
      </c>
      <c r="Q230" s="2">
        <v>7</v>
      </c>
      <c r="R230" s="2">
        <v>23</v>
      </c>
      <c r="AA230" s="2" t="s">
        <v>151</v>
      </c>
      <c r="AB230" s="17" t="s">
        <v>143</v>
      </c>
      <c r="AC230" s="14" t="s">
        <v>150</v>
      </c>
      <c r="AD230" s="14" t="s">
        <v>145</v>
      </c>
      <c r="AE230" s="18">
        <v>7</v>
      </c>
      <c r="AF230" s="13">
        <v>15</v>
      </c>
      <c r="AG230" s="13">
        <v>7.5</v>
      </c>
      <c r="AH230" s="19">
        <f t="shared" si="16"/>
        <v>13.595793467098565</v>
      </c>
      <c r="AI230" s="19">
        <f t="shared" si="17"/>
        <v>11.583042211219654</v>
      </c>
      <c r="AJ230" s="2" t="s">
        <v>146</v>
      </c>
      <c r="AK230" s="13">
        <v>4</v>
      </c>
      <c r="AL230" s="13">
        <v>1.5</v>
      </c>
      <c r="AM230" s="19">
        <f>IF(Abschlüsse[[#This Row],[Ergeb]]="ET","",SQRT(($AF230-$AK230)^2+($AG230-$AL230)^2))</f>
        <v>12.529964086141668</v>
      </c>
      <c r="AN230" s="3">
        <v>1</v>
      </c>
      <c r="AO230" s="13">
        <v>13.5</v>
      </c>
      <c r="AP230" s="13">
        <v>8.5</v>
      </c>
      <c r="AQ230" s="19">
        <f t="shared" si="18"/>
        <v>1.8027756377319946</v>
      </c>
      <c r="AR230" s="3">
        <v>0</v>
      </c>
      <c r="AU230" s="19" t="str">
        <f t="shared" si="19"/>
        <v/>
      </c>
    </row>
    <row r="231" spans="1:47" ht="25.05" customHeight="1">
      <c r="A231" s="3">
        <v>13</v>
      </c>
      <c r="B231" s="2" t="s">
        <v>76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FCN</v>
      </c>
      <c r="E231" s="18">
        <f>IF(Abschlüsse[[#This Row],[Ergeb]]="ET",0,COUNTIFS($A$2:$A231,$A231,$B$2:$B231,$B231,$L$2:$L231,"&lt;&gt;ET"))</f>
        <v>4</v>
      </c>
      <c r="F231" s="11">
        <v>14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/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5</v>
      </c>
      <c r="L231" s="17" t="s">
        <v>20</v>
      </c>
      <c r="M231" s="2" t="s">
        <v>147</v>
      </c>
      <c r="N231" s="2" t="s">
        <v>153</v>
      </c>
      <c r="O231" s="17"/>
      <c r="AA231" s="2" t="s">
        <v>154</v>
      </c>
      <c r="AB231" s="17" t="s">
        <v>160</v>
      </c>
      <c r="AC231" s="14" t="s">
        <v>161</v>
      </c>
      <c r="AD231" s="14" t="s">
        <v>156</v>
      </c>
      <c r="AE231" s="18"/>
      <c r="AF231" s="13">
        <v>7.5</v>
      </c>
      <c r="AG231" s="13">
        <v>13</v>
      </c>
      <c r="AH231" s="19">
        <f t="shared" si="16"/>
        <v>13.555279414309393</v>
      </c>
      <c r="AI231" s="19">
        <f t="shared" si="17"/>
        <v>24.188491715950388</v>
      </c>
      <c r="AJ231" s="2" t="s">
        <v>146</v>
      </c>
      <c r="AK231" s="13">
        <v>1</v>
      </c>
      <c r="AL231" s="13">
        <v>0.5</v>
      </c>
      <c r="AM231" s="19">
        <f>IF(Abschlüsse[[#This Row],[Ergeb]]="ET","",SQRT(($AF231-$AK231)^2+($AG231-$AL231)^2))</f>
        <v>14.089002803605371</v>
      </c>
      <c r="AN231" s="3">
        <v>0</v>
      </c>
      <c r="AO231" s="13"/>
      <c r="AP231" s="13"/>
      <c r="AQ231" s="19" t="str">
        <f t="shared" si="18"/>
        <v/>
      </c>
      <c r="AR231" s="3">
        <v>2</v>
      </c>
      <c r="AS231" s="13">
        <v>7</v>
      </c>
      <c r="AT231" s="13">
        <v>12</v>
      </c>
      <c r="AU231" s="19">
        <f t="shared" si="19"/>
        <v>1.1180339887498949</v>
      </c>
    </row>
    <row r="232" spans="1:47" ht="25.05" customHeight="1">
      <c r="A232" s="3">
        <v>13</v>
      </c>
      <c r="B232" s="2" t="s">
        <v>76</v>
      </c>
      <c r="C232" s="17" t="str">
        <f>IF($A232="","",IF(VLOOKUP($A232,Spiele!$A$2:$D$15,3,FALSE)=$B232,"H","G"))</f>
        <v>G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5</v>
      </c>
      <c r="F232" s="11">
        <v>18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0</v>
      </c>
      <c r="K232" s="3">
        <v>6</v>
      </c>
      <c r="L232" s="17" t="s">
        <v>20</v>
      </c>
      <c r="M232" s="2" t="s">
        <v>163</v>
      </c>
      <c r="N232" s="2" t="s">
        <v>3</v>
      </c>
      <c r="O232" s="17"/>
      <c r="AA232" s="2" t="s">
        <v>141</v>
      </c>
      <c r="AB232" s="17" t="s">
        <v>149</v>
      </c>
      <c r="AC232" s="14" t="s">
        <v>150</v>
      </c>
      <c r="AD232" s="14" t="s">
        <v>145</v>
      </c>
      <c r="AE232" s="18"/>
      <c r="AF232" s="13">
        <v>1</v>
      </c>
      <c r="AG232" s="13">
        <v>19</v>
      </c>
      <c r="AH232" s="19">
        <f t="shared" si="16"/>
        <v>19</v>
      </c>
      <c r="AI232" s="19">
        <f t="shared" si="17"/>
        <v>21.750134253188115</v>
      </c>
      <c r="AJ232" s="2" t="s">
        <v>146</v>
      </c>
      <c r="AK232" s="13">
        <v>0</v>
      </c>
      <c r="AL232" s="13">
        <v>0.5</v>
      </c>
      <c r="AM232" s="19">
        <f>IF(Abschlüsse[[#This Row],[Ergeb]]="ET","",SQRT(($AF232-$AK232)^2+($AG232-$AL232)^2))</f>
        <v>18.527007313648905</v>
      </c>
      <c r="AN232" s="3">
        <v>1</v>
      </c>
      <c r="AO232" s="13">
        <v>-1.5</v>
      </c>
      <c r="AP232" s="13">
        <v>18</v>
      </c>
      <c r="AQ232" s="19">
        <f t="shared" si="18"/>
        <v>2.6925824035672519</v>
      </c>
      <c r="AR232" s="3">
        <v>2</v>
      </c>
      <c r="AS232" s="13">
        <v>1</v>
      </c>
      <c r="AT232" s="13">
        <v>14</v>
      </c>
      <c r="AU232" s="19">
        <f t="shared" si="19"/>
        <v>5</v>
      </c>
    </row>
    <row r="233" spans="1:47" ht="25.05" customHeight="1">
      <c r="A233" s="3">
        <v>13</v>
      </c>
      <c r="B233" s="2" t="s">
        <v>76</v>
      </c>
      <c r="C233" s="17" t="str">
        <f>IF($A233="","",IF(VLOOKUP($A233,Spiele!$A$2:$D$15,3,FALSE)=$B233,"H","G"))</f>
        <v>G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6</v>
      </c>
      <c r="F233" s="11">
        <v>18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0</v>
      </c>
      <c r="K233" s="3">
        <v>6</v>
      </c>
      <c r="L233" s="17" t="s">
        <v>20</v>
      </c>
      <c r="M233" s="2" t="s">
        <v>163</v>
      </c>
      <c r="N233" s="2" t="s">
        <v>3</v>
      </c>
      <c r="O233" s="17"/>
      <c r="AA233" s="2" t="s">
        <v>142</v>
      </c>
      <c r="AB233" s="17" t="s">
        <v>149</v>
      </c>
      <c r="AC233" s="14" t="s">
        <v>150</v>
      </c>
      <c r="AD233" s="14" t="s">
        <v>145</v>
      </c>
      <c r="AE233" s="18"/>
      <c r="AF233" s="13">
        <v>6.5</v>
      </c>
      <c r="AG233" s="13">
        <v>14.5</v>
      </c>
      <c r="AH233" s="19">
        <f t="shared" si="16"/>
        <v>14.775506759498978</v>
      </c>
      <c r="AI233" s="19">
        <f t="shared" si="17"/>
        <v>23.936746455580142</v>
      </c>
      <c r="AJ233" s="2" t="s">
        <v>146</v>
      </c>
      <c r="AK233" s="13">
        <v>0.5</v>
      </c>
      <c r="AL233" s="13">
        <v>0.5</v>
      </c>
      <c r="AM233" s="19">
        <f>IF(Abschlüsse[[#This Row],[Ergeb]]="ET","",SQRT(($AF233-$AK233)^2+($AG233-$AL233)^2))</f>
        <v>15.231546211727817</v>
      </c>
      <c r="AN233" s="3">
        <v>2</v>
      </c>
      <c r="AO233" s="13">
        <v>3</v>
      </c>
      <c r="AP233" s="13">
        <v>14.5</v>
      </c>
      <c r="AQ233" s="19">
        <f t="shared" si="18"/>
        <v>3.5</v>
      </c>
      <c r="AR233" s="3">
        <v>2</v>
      </c>
      <c r="AS233" s="13">
        <v>6</v>
      </c>
      <c r="AT233" s="13">
        <v>13.5</v>
      </c>
      <c r="AU233" s="19">
        <f t="shared" si="19"/>
        <v>1.1180339887498949</v>
      </c>
    </row>
    <row r="234" spans="1:47" ht="25.05" customHeight="1">
      <c r="A234" s="3">
        <v>13</v>
      </c>
      <c r="B234" s="2" t="s">
        <v>8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60M</v>
      </c>
      <c r="E234" s="18">
        <f>IF(Abschlüsse[[#This Row],[Ergeb]]="ET",0,COUNTIFS($A$2:$A234,$A234,$B$2:$B234,$B234,$L$2:$L234,"&lt;&gt;ET"))</f>
        <v>3</v>
      </c>
      <c r="F234" s="11">
        <v>18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0</v>
      </c>
      <c r="K234" s="3">
        <v>7</v>
      </c>
      <c r="L234" s="17" t="s">
        <v>19</v>
      </c>
      <c r="M234" s="2" t="s">
        <v>163</v>
      </c>
      <c r="N234" s="2" t="s">
        <v>158</v>
      </c>
      <c r="O234" s="17">
        <v>7</v>
      </c>
      <c r="AA234" s="2" t="s">
        <v>151</v>
      </c>
      <c r="AB234" s="17" t="s">
        <v>149</v>
      </c>
      <c r="AC234" s="14" t="s">
        <v>150</v>
      </c>
      <c r="AD234" s="14" t="s">
        <v>145</v>
      </c>
      <c r="AE234" s="18">
        <v>8</v>
      </c>
      <c r="AF234" s="13">
        <v>4.5</v>
      </c>
      <c r="AG234" s="13">
        <v>14.5</v>
      </c>
      <c r="AH234" s="19">
        <f t="shared" si="16"/>
        <v>14.524310654898565</v>
      </c>
      <c r="AI234" s="19">
        <f t="shared" si="17"/>
        <v>26.053510457112758</v>
      </c>
      <c r="AJ234" s="2" t="s">
        <v>146</v>
      </c>
      <c r="AK234" s="13">
        <v>1.5</v>
      </c>
      <c r="AL234" s="13">
        <v>3.5</v>
      </c>
      <c r="AM234" s="19">
        <f>IF(Abschlüsse[[#This Row],[Ergeb]]="ET","",SQRT(($AF234-$AK234)^2+($AG234-$AL234)^2))</f>
        <v>11.401754250991379</v>
      </c>
      <c r="AN234" s="3">
        <v>1</v>
      </c>
      <c r="AO234" s="13">
        <v>7</v>
      </c>
      <c r="AP234" s="13">
        <v>11.5</v>
      </c>
      <c r="AQ234" s="19">
        <f t="shared" si="18"/>
        <v>3.905124837953327</v>
      </c>
      <c r="AR234" s="3">
        <v>2</v>
      </c>
      <c r="AS234" s="13">
        <v>4</v>
      </c>
      <c r="AT234" s="13">
        <v>10.5</v>
      </c>
      <c r="AU234" s="19">
        <f t="shared" si="19"/>
        <v>4.0311288741492746</v>
      </c>
    </row>
    <row r="235" spans="1:47" ht="25.05" customHeight="1">
      <c r="A235" s="3">
        <v>13</v>
      </c>
      <c r="B235" s="2" t="s">
        <v>8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60M</v>
      </c>
      <c r="E235" s="18">
        <f>IF(Abschlüsse[[#This Row],[Ergeb]]="ET",0,COUNTIFS($A$2:$A235,$A235,$B$2:$B235,$B235,$L$2:$L235,"&lt;&gt;ET"))</f>
        <v>4</v>
      </c>
      <c r="F235" s="11">
        <v>22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0</v>
      </c>
      <c r="K235" s="3">
        <v>8</v>
      </c>
      <c r="L235" s="17" t="s">
        <v>19</v>
      </c>
      <c r="M235" s="2" t="s">
        <v>168</v>
      </c>
      <c r="N235" s="2" t="s">
        <v>3</v>
      </c>
      <c r="O235" s="17"/>
      <c r="AA235" s="2" t="s">
        <v>141</v>
      </c>
      <c r="AB235" s="17" t="s">
        <v>143</v>
      </c>
      <c r="AC235" s="14" t="s">
        <v>144</v>
      </c>
      <c r="AD235" s="14" t="s">
        <v>145</v>
      </c>
      <c r="AE235" s="18">
        <v>6</v>
      </c>
      <c r="AF235" s="13">
        <v>-6.5</v>
      </c>
      <c r="AG235" s="13">
        <v>16.5</v>
      </c>
      <c r="AH235" s="19">
        <f t="shared" si="16"/>
        <v>16.742628228566744</v>
      </c>
      <c r="AI235" s="19">
        <f t="shared" si="17"/>
        <v>21.856872591143812</v>
      </c>
      <c r="AJ235" s="2" t="s">
        <v>146</v>
      </c>
      <c r="AK235" s="13">
        <v>-1.5</v>
      </c>
      <c r="AL235" s="13">
        <v>2</v>
      </c>
      <c r="AM235" s="19">
        <f>IF(Abschlüsse[[#This Row],[Ergeb]]="ET","",SQRT(($AF235-$AK235)^2+($AG235-$AL235)^2))</f>
        <v>15.337861650177967</v>
      </c>
      <c r="AN235" s="3">
        <v>1</v>
      </c>
      <c r="AO235" s="13">
        <v>-3</v>
      </c>
      <c r="AP235" s="13">
        <v>14</v>
      </c>
      <c r="AQ235" s="19">
        <f t="shared" si="18"/>
        <v>4.3011626335213133</v>
      </c>
      <c r="AR235" s="3">
        <v>2</v>
      </c>
      <c r="AS235" s="13">
        <v>-2</v>
      </c>
      <c r="AT235" s="13">
        <v>6</v>
      </c>
      <c r="AU235" s="19">
        <f t="shared" si="19"/>
        <v>11.423659658795863</v>
      </c>
    </row>
    <row r="236" spans="1:47" ht="25.05" customHeight="1">
      <c r="A236" s="3">
        <v>13</v>
      </c>
      <c r="B236" s="2" t="s">
        <v>8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60M</v>
      </c>
      <c r="E236" s="18">
        <f>IF(Abschlüsse[[#This Row],[Ergeb]]="ET",0,COUNTIFS($A$2:$A236,$A236,$B$2:$B236,$B236,$L$2:$L236,"&lt;&gt;ET"))</f>
        <v>5</v>
      </c>
      <c r="F236" s="11">
        <v>25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/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0</v>
      </c>
      <c r="K236" s="3">
        <v>9</v>
      </c>
      <c r="L236" s="17" t="s">
        <v>20</v>
      </c>
      <c r="M236" s="2" t="s">
        <v>157</v>
      </c>
      <c r="N236" s="2" t="s">
        <v>3</v>
      </c>
      <c r="O236" s="17"/>
      <c r="AA236" s="2" t="s">
        <v>151</v>
      </c>
      <c r="AB236" s="17" t="s">
        <v>149</v>
      </c>
      <c r="AC236" s="14" t="s">
        <v>150</v>
      </c>
      <c r="AD236" s="14" t="s">
        <v>156</v>
      </c>
      <c r="AE236" s="18">
        <v>20</v>
      </c>
      <c r="AF236" s="13">
        <v>-13.5</v>
      </c>
      <c r="AG236" s="13">
        <v>21.5</v>
      </c>
      <c r="AH236" s="19">
        <f t="shared" si="16"/>
        <v>23.644779550674606</v>
      </c>
      <c r="AI236" s="19">
        <f t="shared" si="17"/>
        <v>14.002393253988416</v>
      </c>
      <c r="AJ236" s="2" t="s">
        <v>146</v>
      </c>
      <c r="AK236" s="13">
        <v>-0.5</v>
      </c>
      <c r="AL236" s="13">
        <v>3</v>
      </c>
      <c r="AM236" s="19">
        <f>IF(Abschlüsse[[#This Row],[Ergeb]]="ET","",SQRT(($AF236-$AK236)^2+($AG236-$AL236)^2))</f>
        <v>22.610838109190027</v>
      </c>
      <c r="AN236" s="3">
        <v>0</v>
      </c>
      <c r="AO236" s="13"/>
      <c r="AP236" s="13"/>
      <c r="AQ236" s="19" t="str">
        <f t="shared" si="18"/>
        <v/>
      </c>
      <c r="AR236" s="3">
        <v>2</v>
      </c>
      <c r="AS236" s="13">
        <v>-12</v>
      </c>
      <c r="AT236" s="13">
        <v>20.5</v>
      </c>
      <c r="AU236" s="19">
        <f t="shared" si="19"/>
        <v>1.8027756377319946</v>
      </c>
    </row>
    <row r="237" spans="1:47" ht="25.05" customHeight="1">
      <c r="A237" s="3">
        <v>13</v>
      </c>
      <c r="B237" s="2" t="s">
        <v>76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FCN</v>
      </c>
      <c r="E237" s="18">
        <f>IF(Abschlüsse[[#This Row],[Ergeb]]="ET",0,COUNTIFS($A$2:$A237,$A237,$B$2:$B237,$B237,$L$2:$L237,"&lt;&gt;ET"))</f>
        <v>7</v>
      </c>
      <c r="F237" s="11">
        <v>28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10</v>
      </c>
      <c r="L237" s="17" t="s">
        <v>18</v>
      </c>
      <c r="M237" s="2" t="s">
        <v>163</v>
      </c>
      <c r="N237" s="2" t="s">
        <v>158</v>
      </c>
      <c r="O237" s="17"/>
      <c r="AA237" s="2" t="s">
        <v>151</v>
      </c>
      <c r="AB237" s="17" t="s">
        <v>143</v>
      </c>
      <c r="AC237" s="14" t="s">
        <v>150</v>
      </c>
      <c r="AD237" s="14" t="s">
        <v>145</v>
      </c>
      <c r="AE237" s="18"/>
      <c r="AF237" s="13">
        <v>0</v>
      </c>
      <c r="AG237" s="13">
        <v>25.5</v>
      </c>
      <c r="AH237" s="19">
        <f t="shared" si="16"/>
        <v>25.5</v>
      </c>
      <c r="AI237" s="19">
        <f t="shared" si="17"/>
        <v>16.335693207949546</v>
      </c>
      <c r="AJ237" s="2" t="s">
        <v>146</v>
      </c>
      <c r="AK237" s="13">
        <v>0</v>
      </c>
      <c r="AL237" s="13">
        <v>0.5</v>
      </c>
      <c r="AM237" s="19">
        <f>IF(Abschlüsse[[#This Row],[Ergeb]]="ET","",SQRT(($AF237-$AK237)^2+($AG237-$AL237)^2))</f>
        <v>25</v>
      </c>
      <c r="AN237" s="3">
        <v>1</v>
      </c>
      <c r="AO237" s="13">
        <v>-2</v>
      </c>
      <c r="AP237" s="13">
        <v>28</v>
      </c>
      <c r="AQ237" s="19">
        <f t="shared" si="18"/>
        <v>3.2015621187164243</v>
      </c>
      <c r="AR237" s="3">
        <v>1</v>
      </c>
      <c r="AS237" s="13">
        <v>0</v>
      </c>
      <c r="AT237" s="13">
        <v>17</v>
      </c>
      <c r="AU237" s="19">
        <f t="shared" si="19"/>
        <v>8.5</v>
      </c>
    </row>
    <row r="238" spans="1:47" ht="25.05" customHeight="1">
      <c r="A238" s="3">
        <v>13</v>
      </c>
      <c r="B238" s="2" t="s">
        <v>8</v>
      </c>
      <c r="C238" s="17" t="str">
        <f>IF($A238="","",IF(VLOOKUP($A238,Spiele!$A$2:$D$15,3,FALSE)=$B238,"H","G"))</f>
        <v>H</v>
      </c>
      <c r="D238" s="17" t="str">
        <f>IF($B238="","",IF(VLOOKUP($A238,Spiele!$A$2:$F$15,3,FALSE)=$B238,VLOOKUP($A238,Spiele!$A$2:$F$15,4,FALSE),VLOOKUP($A238,Spiele!$A$2:$F$15,3,FALSE)))</f>
        <v>60M</v>
      </c>
      <c r="E238" s="18">
        <f>IF(Abschlüsse[[#This Row],[Ergeb]]="ET",0,COUNTIFS($A$2:$A238,$A238,$B$2:$B238,$B238,$L$2:$L238,"&lt;&gt;ET"))</f>
        <v>6</v>
      </c>
      <c r="F238" s="11">
        <v>33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11</v>
      </c>
      <c r="L238" s="17" t="s">
        <v>19</v>
      </c>
      <c r="M238" s="2" t="s">
        <v>163</v>
      </c>
      <c r="N238" s="2" t="s">
        <v>164</v>
      </c>
      <c r="O238" s="17">
        <v>8</v>
      </c>
      <c r="P238" s="2">
        <v>16</v>
      </c>
      <c r="Q238" s="2">
        <v>26</v>
      </c>
      <c r="AA238" s="2" t="s">
        <v>151</v>
      </c>
      <c r="AB238" s="17" t="s">
        <v>149</v>
      </c>
      <c r="AC238" s="14" t="s">
        <v>150</v>
      </c>
      <c r="AD238" s="14" t="s">
        <v>145</v>
      </c>
      <c r="AE238" s="18">
        <v>7</v>
      </c>
      <c r="AF238" s="13">
        <v>5.5</v>
      </c>
      <c r="AG238" s="13">
        <v>17.5</v>
      </c>
      <c r="AH238" s="19">
        <f t="shared" si="16"/>
        <v>17.59646555419582</v>
      </c>
      <c r="AI238" s="19">
        <f t="shared" si="17"/>
        <v>21.626656434445117</v>
      </c>
      <c r="AJ238" s="2" t="s">
        <v>146</v>
      </c>
      <c r="AK238" s="13">
        <v>1</v>
      </c>
      <c r="AL238" s="13">
        <v>3</v>
      </c>
      <c r="AM238" s="19">
        <f>IF(Abschlüsse[[#This Row],[Ergeb]]="ET","",SQRT(($AF238-$AK238)^2+($AG238-$AL238)^2))</f>
        <v>15.182226450688976</v>
      </c>
      <c r="AN238" s="3">
        <v>2</v>
      </c>
      <c r="AO238" s="13">
        <v>6.5</v>
      </c>
      <c r="AP238" s="13">
        <v>18.5</v>
      </c>
      <c r="AQ238" s="19">
        <f t="shared" si="18"/>
        <v>1.4142135623730951</v>
      </c>
      <c r="AR238" s="3">
        <v>0</v>
      </c>
      <c r="AU238" s="19" t="str">
        <f t="shared" si="19"/>
        <v/>
      </c>
    </row>
    <row r="239" spans="1:47" ht="25.05" customHeight="1">
      <c r="A239" s="3">
        <v>13</v>
      </c>
      <c r="B239" s="2" t="s">
        <v>76</v>
      </c>
      <c r="C239" s="17" t="str">
        <f>IF($A239="","",IF(VLOOKUP($A239,Spiele!$A$2:$D$15,3,FALSE)=$B239,"H","G"))</f>
        <v>G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35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12</v>
      </c>
      <c r="L239" s="17" t="s">
        <v>19</v>
      </c>
      <c r="M239" s="2" t="s">
        <v>163</v>
      </c>
      <c r="N239" s="2" t="s">
        <v>153</v>
      </c>
      <c r="O239" s="17"/>
      <c r="AA239" s="2" t="s">
        <v>154</v>
      </c>
      <c r="AB239" s="17" t="s">
        <v>160</v>
      </c>
      <c r="AC239" s="14" t="s">
        <v>161</v>
      </c>
      <c r="AD239" s="14" t="s">
        <v>156</v>
      </c>
      <c r="AE239" s="18"/>
      <c r="AF239" s="13">
        <v>-1</v>
      </c>
      <c r="AG239" s="13">
        <v>9</v>
      </c>
      <c r="AH239" s="19">
        <f t="shared" si="16"/>
        <v>9</v>
      </c>
      <c r="AI239" s="19">
        <f t="shared" si="17"/>
        <v>43.839454439268671</v>
      </c>
      <c r="AJ239" s="2" t="s">
        <v>146</v>
      </c>
      <c r="AK239" s="13">
        <v>-1</v>
      </c>
      <c r="AL239" s="13">
        <v>0.5</v>
      </c>
      <c r="AM239" s="19">
        <f>IF(Abschlüsse[[#This Row],[Ergeb]]="ET","",SQRT(($AF239-$AK239)^2+($AG239-$AL239)^2))</f>
        <v>8.5</v>
      </c>
      <c r="AN239" s="3">
        <v>1</v>
      </c>
      <c r="AO239" s="13">
        <v>0</v>
      </c>
      <c r="AP239" s="13">
        <v>9</v>
      </c>
      <c r="AQ239" s="19">
        <f t="shared" si="18"/>
        <v>1</v>
      </c>
      <c r="AR239" s="3">
        <v>0</v>
      </c>
      <c r="AU239" s="19" t="str">
        <f t="shared" si="19"/>
        <v/>
      </c>
    </row>
    <row r="240" spans="1:47" ht="25.05" customHeight="1">
      <c r="A240" s="3">
        <v>13</v>
      </c>
      <c r="B240" s="2" t="s">
        <v>76</v>
      </c>
      <c r="C240" s="17" t="str">
        <f>IF($A240="","",IF(VLOOKUP($A240,Spiele!$A$2:$D$15,3,FALSE)=$B240,"H","G"))</f>
        <v>G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37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13</v>
      </c>
      <c r="L240" s="17" t="s">
        <v>19</v>
      </c>
      <c r="M240" s="2" t="s">
        <v>173</v>
      </c>
      <c r="N240" s="2" t="s">
        <v>173</v>
      </c>
      <c r="O240" s="17"/>
      <c r="AA240" s="2" t="s">
        <v>154</v>
      </c>
      <c r="AB240" s="17" t="s">
        <v>160</v>
      </c>
      <c r="AC240" s="14" t="s">
        <v>161</v>
      </c>
      <c r="AD240" s="14" t="s">
        <v>145</v>
      </c>
      <c r="AE240" s="18"/>
      <c r="AF240" s="13">
        <v>-6</v>
      </c>
      <c r="AG240" s="13">
        <v>1</v>
      </c>
      <c r="AH240" s="19">
        <f t="shared" si="16"/>
        <v>2.5447200238926087</v>
      </c>
      <c r="AI240" s="19">
        <f t="shared" si="17"/>
        <v>17.229273479884245</v>
      </c>
      <c r="AJ240" s="2" t="s">
        <v>146</v>
      </c>
      <c r="AK240" s="13">
        <v>-4</v>
      </c>
      <c r="AL240" s="13">
        <v>0.5</v>
      </c>
      <c r="AM240" s="19">
        <f>IF(Abschlüsse[[#This Row],[Ergeb]]="ET","",SQRT(($AF240-$AK240)^2+($AG240-$AL240)^2))</f>
        <v>2.0615528128088303</v>
      </c>
      <c r="AN240" s="3">
        <v>1</v>
      </c>
      <c r="AO240" s="13">
        <v>-5</v>
      </c>
      <c r="AP240" s="13">
        <v>1</v>
      </c>
      <c r="AQ240" s="19">
        <f t="shared" si="18"/>
        <v>1</v>
      </c>
      <c r="AR240" s="3">
        <v>1</v>
      </c>
      <c r="AS240" s="13">
        <v>-3.5</v>
      </c>
      <c r="AT240" s="13">
        <v>0.5</v>
      </c>
      <c r="AU240" s="19">
        <f t="shared" si="19"/>
        <v>2.5495097567963922</v>
      </c>
    </row>
    <row r="241" spans="1:47" ht="25.05" customHeight="1">
      <c r="A241" s="3">
        <v>13</v>
      </c>
      <c r="B241" s="2" t="s">
        <v>8</v>
      </c>
      <c r="C241" s="17" t="str">
        <f>IF($A241="","",IF(VLOOKUP($A241,Spiele!$A$2:$D$15,3,FALSE)=$B241,"H","G"))</f>
        <v>H</v>
      </c>
      <c r="D241" s="17" t="str">
        <f>IF($B241="","",IF(VLOOKUP($A241,Spiele!$A$2:$F$15,3,FALSE)=$B241,VLOOKUP($A241,Spiele!$A$2:$F$15,4,FALSE),VLOOKUP($A241,Spiele!$A$2:$F$15,3,FALSE)))</f>
        <v>60M</v>
      </c>
      <c r="E241" s="18">
        <f>IF(Abschlüsse[[#This Row],[Ergeb]]="ET",0,COUNTIFS($A$2:$A241,$A241,$B$2:$B241,$B241,$L$2:$L241,"&lt;&gt;ET"))</f>
        <v>7</v>
      </c>
      <c r="F241" s="11">
        <v>40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/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14</v>
      </c>
      <c r="L241" s="17" t="s">
        <v>18</v>
      </c>
      <c r="M241" s="2" t="s">
        <v>163</v>
      </c>
      <c r="N241" s="2" t="s">
        <v>153</v>
      </c>
      <c r="O241" s="17">
        <v>7</v>
      </c>
      <c r="AA241" s="2" t="s">
        <v>154</v>
      </c>
      <c r="AB241" s="17" t="s">
        <v>160</v>
      </c>
      <c r="AC241" s="14" t="s">
        <v>161</v>
      </c>
      <c r="AD241" s="14" t="s">
        <v>156</v>
      </c>
      <c r="AE241" s="18">
        <v>9</v>
      </c>
      <c r="AF241" s="13">
        <v>-2</v>
      </c>
      <c r="AG241" s="13">
        <v>9</v>
      </c>
      <c r="AH241" s="19">
        <f t="shared" si="16"/>
        <v>9</v>
      </c>
      <c r="AI241" s="19">
        <f t="shared" si="17"/>
        <v>42.615768593997174</v>
      </c>
      <c r="AJ241" s="2" t="s">
        <v>146</v>
      </c>
      <c r="AK241" s="13">
        <v>-2</v>
      </c>
      <c r="AL241" s="13">
        <v>2.5</v>
      </c>
      <c r="AM241" s="19">
        <f>IF(Abschlüsse[[#This Row],[Ergeb]]="ET","",SQRT(($AF241-$AK241)^2+($AG241-$AL241)^2))</f>
        <v>6.5</v>
      </c>
      <c r="AN241" s="3">
        <v>2</v>
      </c>
      <c r="AO241" s="13">
        <v>-0.5</v>
      </c>
      <c r="AP241" s="13">
        <v>9</v>
      </c>
      <c r="AQ241" s="19">
        <f t="shared" si="18"/>
        <v>1.5</v>
      </c>
      <c r="AR241" s="3">
        <v>0</v>
      </c>
      <c r="AU241" s="19" t="str">
        <f t="shared" si="19"/>
        <v/>
      </c>
    </row>
    <row r="242" spans="1:47" ht="25.05" customHeight="1">
      <c r="A242" s="3">
        <v>13</v>
      </c>
      <c r="B242" s="2" t="s">
        <v>8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60M</v>
      </c>
      <c r="E242" s="18">
        <f>IF(Abschlüsse[[#This Row],[Ergeb]]="ET",0,COUNTIFS($A$2:$A242,$A242,$B$2:$B242,$B242,$L$2:$L242,"&lt;&gt;ET"))</f>
        <v>8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>1:0</v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0</v>
      </c>
      <c r="K242" s="3">
        <v>14</v>
      </c>
      <c r="L242" s="17" t="s">
        <v>0</v>
      </c>
      <c r="M242" s="2" t="s">
        <v>163</v>
      </c>
      <c r="N242" s="2" t="s">
        <v>3</v>
      </c>
      <c r="O242" s="17"/>
      <c r="AA242" s="2" t="s">
        <v>154</v>
      </c>
      <c r="AB242" s="17" t="s">
        <v>160</v>
      </c>
      <c r="AC242" s="14" t="s">
        <v>161</v>
      </c>
      <c r="AD242" s="14" t="s">
        <v>145</v>
      </c>
      <c r="AE242" s="18">
        <v>7</v>
      </c>
      <c r="AF242" s="13">
        <v>-6.5</v>
      </c>
      <c r="AG242" s="13">
        <v>5</v>
      </c>
      <c r="AH242" s="19">
        <f t="shared" si="16"/>
        <v>5.7502695588989567</v>
      </c>
      <c r="AI242" s="19">
        <f t="shared" si="17"/>
        <v>34.200427604672875</v>
      </c>
      <c r="AJ242" s="2" t="s">
        <v>169</v>
      </c>
      <c r="AK242" s="13">
        <v>0.5</v>
      </c>
      <c r="AL242" s="13">
        <v>2</v>
      </c>
      <c r="AM242" s="19">
        <f>IF(Abschlüsse[[#This Row],[Ergeb]]="ET","",SQRT(($AF242-$AK242)^2+($AG242-$AL242)^2))</f>
        <v>7.6157731058639087</v>
      </c>
      <c r="AN242" s="3">
        <v>1</v>
      </c>
      <c r="AO242" s="13">
        <v>-4</v>
      </c>
      <c r="AP242" s="13">
        <v>5.5</v>
      </c>
      <c r="AQ242" s="19">
        <f t="shared" si="18"/>
        <v>2.5495097567963922</v>
      </c>
      <c r="AR242" s="3">
        <v>0</v>
      </c>
      <c r="AU242" s="19" t="str">
        <f t="shared" si="19"/>
        <v/>
      </c>
    </row>
    <row r="243" spans="1:47" ht="25.05" customHeight="1">
      <c r="A243" s="3">
        <v>13</v>
      </c>
      <c r="B243" s="2" t="s">
        <v>76</v>
      </c>
      <c r="C243" s="17" t="str">
        <f>IF($A243="","",IF(VLOOKUP($A243,Spiele!$A$2:$D$15,3,FALSE)=$B243,"H","G"))</f>
        <v>G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10</v>
      </c>
      <c r="F243" s="11">
        <v>44</v>
      </c>
      <c r="G243" s="12">
        <v>2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0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/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15</v>
      </c>
      <c r="L243" s="17" t="s">
        <v>19</v>
      </c>
      <c r="M243" s="2" t="s">
        <v>174</v>
      </c>
      <c r="O243" s="17"/>
      <c r="AA243" s="2" t="s">
        <v>142</v>
      </c>
      <c r="AB243" s="17" t="s">
        <v>143</v>
      </c>
      <c r="AC243" s="14" t="s">
        <v>150</v>
      </c>
      <c r="AD243" s="14" t="s">
        <v>156</v>
      </c>
      <c r="AE243" s="18"/>
      <c r="AF243" s="13">
        <v>-3</v>
      </c>
      <c r="AG243" s="13">
        <v>34</v>
      </c>
      <c r="AH243" s="19">
        <f t="shared" si="16"/>
        <v>34</v>
      </c>
      <c r="AI243" s="19">
        <f t="shared" si="17"/>
        <v>12.194976603981754</v>
      </c>
      <c r="AJ243" s="2" t="s">
        <v>146</v>
      </c>
      <c r="AK243" s="13">
        <v>0.5</v>
      </c>
      <c r="AL243" s="13">
        <v>0.5</v>
      </c>
      <c r="AM243" s="19">
        <f>IF(Abschlüsse[[#This Row],[Ergeb]]="ET","",SQRT(($AF243-$AK243)^2+($AG243-$AL243)^2))</f>
        <v>33.68233958619858</v>
      </c>
      <c r="AN243" s="3">
        <v>0</v>
      </c>
      <c r="AO243" s="13"/>
      <c r="AP243" s="13"/>
      <c r="AQ243" s="19" t="str">
        <f t="shared" si="18"/>
        <v/>
      </c>
      <c r="AR243" s="3">
        <v>3</v>
      </c>
      <c r="AS243" s="13">
        <v>-3.5</v>
      </c>
      <c r="AT243" s="13">
        <v>27</v>
      </c>
      <c r="AU243" s="19">
        <f t="shared" si="19"/>
        <v>7.0178344238090995</v>
      </c>
    </row>
    <row r="244" spans="1:47" ht="25.05" customHeight="1">
      <c r="A244" s="3">
        <v>13</v>
      </c>
      <c r="B244" s="2" t="s">
        <v>8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60M</v>
      </c>
      <c r="E244" s="18">
        <f>IF(Abschlüsse[[#This Row],[Ergeb]]="ET",0,COUNTIFS($A$2:$A244,$A244,$B$2:$B244,$B244,$L$2:$L244,"&lt;&gt;ET"))</f>
        <v>9</v>
      </c>
      <c r="F244" s="11">
        <v>51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0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1</v>
      </c>
      <c r="K244" s="3">
        <v>16</v>
      </c>
      <c r="L244" s="18" t="s">
        <v>18</v>
      </c>
      <c r="M244" s="3" t="s">
        <v>163</v>
      </c>
      <c r="N244" s="2" t="s">
        <v>164</v>
      </c>
      <c r="O244" s="17">
        <v>8</v>
      </c>
      <c r="P244" s="2">
        <v>26</v>
      </c>
      <c r="Q244" s="2">
        <v>6</v>
      </c>
      <c r="AA244" s="22" t="s">
        <v>151</v>
      </c>
      <c r="AB244" s="18" t="s">
        <v>143</v>
      </c>
      <c r="AC244" s="14" t="s">
        <v>150</v>
      </c>
      <c r="AD244" s="14" t="s">
        <v>145</v>
      </c>
      <c r="AE244" s="18">
        <v>10</v>
      </c>
      <c r="AF244" s="13">
        <v>-10.5</v>
      </c>
      <c r="AG244" s="13">
        <v>13</v>
      </c>
      <c r="AH244" s="19">
        <f t="shared" si="16"/>
        <v>14.689642609675703</v>
      </c>
      <c r="AI244" s="19">
        <f t="shared" si="17"/>
        <v>19.694334659050181</v>
      </c>
      <c r="AJ244" s="3" t="s">
        <v>146</v>
      </c>
      <c r="AK244" s="13">
        <v>-3.5</v>
      </c>
      <c r="AL244" s="13">
        <v>2.5</v>
      </c>
      <c r="AM244" s="19">
        <f>IF(Abschlüsse[[#This Row],[Ergeb]]="ET","",SQRT(($AF244-$AK244)^2+($AG244-$AL244)^2))</f>
        <v>12.619429464123963</v>
      </c>
      <c r="AN244" s="3">
        <v>2</v>
      </c>
      <c r="AO244" s="13">
        <v>-10</v>
      </c>
      <c r="AP244" s="13">
        <v>13.5</v>
      </c>
      <c r="AQ244" s="19">
        <f t="shared" si="18"/>
        <v>0.70710678118654757</v>
      </c>
      <c r="AR244" s="3">
        <v>1</v>
      </c>
      <c r="AS244" s="13">
        <v>-3</v>
      </c>
      <c r="AT244" s="13">
        <v>7.5</v>
      </c>
      <c r="AU244" s="19">
        <f t="shared" si="19"/>
        <v>9.3005376188691375</v>
      </c>
    </row>
    <row r="245" spans="1:47" ht="25.05" customHeight="1">
      <c r="A245" s="3">
        <v>13</v>
      </c>
      <c r="B245" s="2" t="s">
        <v>76</v>
      </c>
      <c r="C245" s="17" t="str">
        <f>IF($A245="","",IF(VLOOKUP($A245,Spiele!$A$2:$D$15,3,FALSE)=$B245,"H","G"))</f>
        <v>G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11</v>
      </c>
      <c r="F245" s="11">
        <v>57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0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-1</v>
      </c>
      <c r="K245" s="3">
        <v>17</v>
      </c>
      <c r="L245" s="17" t="s">
        <v>19</v>
      </c>
      <c r="M245" s="2" t="s">
        <v>163</v>
      </c>
      <c r="N245" s="2" t="s">
        <v>152</v>
      </c>
      <c r="O245" s="17"/>
      <c r="AA245" s="2" t="s">
        <v>142</v>
      </c>
      <c r="AB245" s="17" t="s">
        <v>143</v>
      </c>
      <c r="AC245" s="14" t="s">
        <v>150</v>
      </c>
      <c r="AD245" s="14" t="s">
        <v>145</v>
      </c>
      <c r="AE245" s="18"/>
      <c r="AF245" s="13">
        <v>12</v>
      </c>
      <c r="AG245" s="13">
        <v>7.5</v>
      </c>
      <c r="AH245" s="19">
        <f t="shared" si="16"/>
        <v>11.216309553502882</v>
      </c>
      <c r="AI245" s="19">
        <f t="shared" si="17"/>
        <v>16.373402664953399</v>
      </c>
      <c r="AJ245" s="2" t="s">
        <v>146</v>
      </c>
      <c r="AK245" s="13">
        <v>3.5</v>
      </c>
      <c r="AL245" s="13">
        <v>0.5</v>
      </c>
      <c r="AM245" s="19">
        <f>IF(Abschlüsse[[#This Row],[Ergeb]]="ET","",SQRT(($AF245-$AK245)^2+($AG245-$AL245)^2))</f>
        <v>11.01135777277262</v>
      </c>
      <c r="AN245" s="3">
        <v>1</v>
      </c>
      <c r="AO245" s="13">
        <v>9</v>
      </c>
      <c r="AP245" s="13">
        <v>8.5</v>
      </c>
      <c r="AQ245" s="19">
        <f t="shared" si="18"/>
        <v>3.1622776601683795</v>
      </c>
      <c r="AR245" s="3">
        <v>0</v>
      </c>
      <c r="AU245" s="19" t="str">
        <f t="shared" si="19"/>
        <v/>
      </c>
    </row>
    <row r="246" spans="1:47" ht="25.05" customHeight="1">
      <c r="A246" s="3">
        <v>13</v>
      </c>
      <c r="B246" s="2" t="s">
        <v>8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60M</v>
      </c>
      <c r="E246" s="18">
        <f>IF(Abschlüsse[[#This Row],[Ergeb]]="ET",0,COUNTIFS($A$2:$A246,$A246,$B$2:$B246,$B246,$L$2:$L246,"&lt;&gt;ET"))</f>
        <v>10</v>
      </c>
      <c r="F246" s="11">
        <v>59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0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1</v>
      </c>
      <c r="K246" s="3">
        <v>18</v>
      </c>
      <c r="L246" s="17" t="s">
        <v>18</v>
      </c>
      <c r="M246" s="2" t="s">
        <v>147</v>
      </c>
      <c r="N246" s="2" t="s">
        <v>158</v>
      </c>
      <c r="O246" s="17">
        <v>4</v>
      </c>
      <c r="P246" s="2">
        <v>23</v>
      </c>
      <c r="Q246" s="2">
        <v>6</v>
      </c>
      <c r="R246" s="2">
        <v>8</v>
      </c>
      <c r="S246" s="2">
        <v>20</v>
      </c>
      <c r="T246" s="2">
        <v>4</v>
      </c>
      <c r="AA246" s="2" t="s">
        <v>151</v>
      </c>
      <c r="AB246" s="17" t="s">
        <v>143</v>
      </c>
      <c r="AC246" s="14" t="s">
        <v>150</v>
      </c>
      <c r="AD246" s="14" t="s">
        <v>156</v>
      </c>
      <c r="AE246" s="18">
        <v>18</v>
      </c>
      <c r="AF246" s="13">
        <v>-14</v>
      </c>
      <c r="AG246" s="13">
        <v>19.5</v>
      </c>
      <c r="AH246" s="19">
        <f t="shared" si="16"/>
        <v>22.071828197954062</v>
      </c>
      <c r="AI246" s="19">
        <f t="shared" si="17"/>
        <v>14.230221882728383</v>
      </c>
      <c r="AJ246" s="2" t="s">
        <v>146</v>
      </c>
      <c r="AK246" s="13">
        <v>-1.5</v>
      </c>
      <c r="AL246" s="13">
        <v>2.5</v>
      </c>
      <c r="AM246" s="19">
        <f>IF(Abschlüsse[[#This Row],[Ergeb]]="ET","",SQRT(($AF246-$AK246)^2+($AG246-$AL246)^2))</f>
        <v>21.100947846009191</v>
      </c>
      <c r="AN246" s="3">
        <v>1</v>
      </c>
      <c r="AO246" s="13">
        <v>-14</v>
      </c>
      <c r="AP246" s="13">
        <v>18</v>
      </c>
      <c r="AQ246" s="19">
        <f t="shared" si="18"/>
        <v>1.5</v>
      </c>
      <c r="AR246" s="3">
        <v>2</v>
      </c>
      <c r="AS246" s="13">
        <v>-11</v>
      </c>
      <c r="AT246" s="13">
        <v>14.5</v>
      </c>
      <c r="AU246" s="19">
        <f t="shared" si="19"/>
        <v>5.8309518948453007</v>
      </c>
    </row>
    <row r="247" spans="1:47" ht="25.05" customHeight="1">
      <c r="A247" s="3">
        <v>13</v>
      </c>
      <c r="B247" s="2" t="s">
        <v>8</v>
      </c>
      <c r="C247" s="17" t="str">
        <f>IF($A247="","",IF(VLOOKUP($A247,Spiele!$A$2:$D$15,3,FALSE)=$B247,"H","G"))</f>
        <v>H</v>
      </c>
      <c r="D247" s="17" t="str">
        <f>IF($B247="","",IF(VLOOKUP($A247,Spiele!$A$2:$F$15,3,FALSE)=$B247,VLOOKUP($A247,Spiele!$A$2:$F$15,4,FALSE),VLOOKUP($A247,Spiele!$A$2:$F$15,3,FALSE)))</f>
        <v>60M</v>
      </c>
      <c r="E247" s="18">
        <f>IF(Abschlüsse[[#This Row],[Ergeb]]="ET",0,COUNTIFS($A$2:$A247,$A247,$B$2:$B247,$B247,$L$2:$L247,"&lt;&gt;ET"))</f>
        <v>11</v>
      </c>
      <c r="F247" s="11">
        <v>60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0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/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1</v>
      </c>
      <c r="K247" s="3">
        <v>19</v>
      </c>
      <c r="L247" s="17" t="s">
        <v>18</v>
      </c>
      <c r="M247" s="2" t="s">
        <v>174</v>
      </c>
      <c r="O247" s="17"/>
      <c r="AA247" s="2" t="s">
        <v>142</v>
      </c>
      <c r="AB247" s="17" t="s">
        <v>143</v>
      </c>
      <c r="AC247" s="14" t="s">
        <v>150</v>
      </c>
      <c r="AD247" s="14" t="s">
        <v>145</v>
      </c>
      <c r="AE247" s="18">
        <v>8</v>
      </c>
      <c r="AF247" s="13">
        <v>14</v>
      </c>
      <c r="AG247" s="13">
        <v>23.5</v>
      </c>
      <c r="AH247" s="19">
        <f t="shared" si="16"/>
        <v>25.674220533445606</v>
      </c>
      <c r="AI247" s="19">
        <f t="shared" si="17"/>
        <v>13.174977970680043</v>
      </c>
      <c r="AJ247" s="2" t="s">
        <v>146</v>
      </c>
      <c r="AK247" s="13">
        <v>0</v>
      </c>
      <c r="AL247" s="13">
        <v>2.5</v>
      </c>
      <c r="AM247" s="19">
        <f>IF(Abschlüsse[[#This Row],[Ergeb]]="ET","",SQRT(($AF247-$AK247)^2+($AG247-$AL247)^2))</f>
        <v>25.238858928247925</v>
      </c>
      <c r="AN247" s="3">
        <v>0</v>
      </c>
      <c r="AO247" s="13"/>
      <c r="AP247" s="13"/>
      <c r="AQ247" s="19" t="str">
        <f t="shared" si="18"/>
        <v/>
      </c>
      <c r="AR247" s="3">
        <v>3</v>
      </c>
      <c r="AS247" s="13">
        <v>9</v>
      </c>
      <c r="AT247" s="13">
        <v>16</v>
      </c>
      <c r="AU247" s="19">
        <f t="shared" si="19"/>
        <v>9.013878188659973</v>
      </c>
    </row>
    <row r="248" spans="1:47" ht="25.05" customHeight="1">
      <c r="A248" s="3">
        <v>13</v>
      </c>
      <c r="B248" s="2" t="s">
        <v>76</v>
      </c>
      <c r="C248" s="17" t="str">
        <f>IF($A248="","",IF(VLOOKUP($A248,Spiele!$A$2:$D$15,3,FALSE)=$B248,"H","G"))</f>
        <v>G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12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0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>1:1</v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20</v>
      </c>
      <c r="L248" s="17" t="s">
        <v>0</v>
      </c>
      <c r="M248" s="2" t="s">
        <v>163</v>
      </c>
      <c r="N248" s="2" t="s">
        <v>152</v>
      </c>
      <c r="O248" s="17"/>
      <c r="AA248" s="2" t="s">
        <v>151</v>
      </c>
      <c r="AB248" s="17" t="s">
        <v>149</v>
      </c>
      <c r="AC248" s="14" t="s">
        <v>150</v>
      </c>
      <c r="AD248" s="14" t="s">
        <v>156</v>
      </c>
      <c r="AE248" s="18"/>
      <c r="AF248" s="13">
        <v>-8.5</v>
      </c>
      <c r="AG248" s="13">
        <v>7</v>
      </c>
      <c r="AH248" s="19">
        <f t="shared" si="16"/>
        <v>8.5103231431009725</v>
      </c>
      <c r="AI248" s="19">
        <f t="shared" si="17"/>
        <v>25.411688271902904</v>
      </c>
      <c r="AJ248" s="2" t="s">
        <v>146</v>
      </c>
      <c r="AK248" s="13">
        <v>-3</v>
      </c>
      <c r="AL248" s="13">
        <v>0.5</v>
      </c>
      <c r="AM248" s="19">
        <f>IF(Abschlüsse[[#This Row],[Ergeb]]="ET","",SQRT(($AF248-$AK248)^2+($AG248-$AL248)^2))</f>
        <v>8.5146931829632013</v>
      </c>
      <c r="AN248" s="3">
        <v>1</v>
      </c>
      <c r="AO248" s="13">
        <v>-5</v>
      </c>
      <c r="AP248" s="13">
        <v>6.5</v>
      </c>
      <c r="AQ248" s="19">
        <f t="shared" si="18"/>
        <v>3.5355339059327378</v>
      </c>
      <c r="AR248" s="3">
        <v>0</v>
      </c>
      <c r="AU248" s="19" t="str">
        <f t="shared" si="19"/>
        <v/>
      </c>
    </row>
    <row r="249" spans="1:47" ht="25.05" customHeight="1">
      <c r="A249" s="3">
        <v>13</v>
      </c>
      <c r="B249" s="2" t="s">
        <v>76</v>
      </c>
      <c r="C249" s="17" t="str">
        <f>IF($A249="","",IF(VLOOKUP($A249,Spiele!$A$2:$D$15,3,FALSE)=$B249,"H","G"))</f>
        <v>G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13</v>
      </c>
      <c r="F249" s="11">
        <v>65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0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0</v>
      </c>
      <c r="K249" s="3">
        <v>21</v>
      </c>
      <c r="L249" s="17" t="s">
        <v>18</v>
      </c>
      <c r="M249" s="2" t="s">
        <v>163</v>
      </c>
      <c r="N249" s="2" t="s">
        <v>3</v>
      </c>
      <c r="O249" s="17"/>
      <c r="AA249" s="2" t="s">
        <v>141</v>
      </c>
      <c r="AB249" s="17" t="s">
        <v>143</v>
      </c>
      <c r="AC249" s="14" t="s">
        <v>150</v>
      </c>
      <c r="AD249" s="14" t="s">
        <v>156</v>
      </c>
      <c r="AE249" s="18"/>
      <c r="AF249" s="13">
        <v>4.5</v>
      </c>
      <c r="AG249" s="13">
        <v>11</v>
      </c>
      <c r="AH249" s="19">
        <f t="shared" si="16"/>
        <v>11.032026105842935</v>
      </c>
      <c r="AI249" s="19">
        <f t="shared" si="17"/>
        <v>32.201857009576806</v>
      </c>
      <c r="AJ249" s="2" t="s">
        <v>146</v>
      </c>
      <c r="AK249" s="13">
        <v>1</v>
      </c>
      <c r="AL249" s="13">
        <v>0.5</v>
      </c>
      <c r="AM249" s="19">
        <f>IF(Abschlüsse[[#This Row],[Ergeb]]="ET","",SQRT(($AF249-$AK249)^2+($AG249-$AL249)^2))</f>
        <v>11.067971810589327</v>
      </c>
      <c r="AN249" s="3">
        <v>1</v>
      </c>
      <c r="AO249" s="13">
        <v>4.5</v>
      </c>
      <c r="AP249" s="13">
        <v>9</v>
      </c>
      <c r="AQ249" s="19">
        <f t="shared" si="18"/>
        <v>2</v>
      </c>
      <c r="AR249" s="3">
        <v>1</v>
      </c>
      <c r="AS249" s="13">
        <v>4</v>
      </c>
      <c r="AT249" s="13">
        <v>5.5</v>
      </c>
      <c r="AU249" s="19">
        <f t="shared" si="19"/>
        <v>5.5226805085936306</v>
      </c>
    </row>
    <row r="250" spans="1:47" ht="25.05" customHeight="1">
      <c r="A250" s="3">
        <v>13</v>
      </c>
      <c r="B250" s="2" t="s">
        <v>8</v>
      </c>
      <c r="C250" s="17" t="str">
        <f>IF($A250="","",IF(VLOOKUP($A250,Spiele!$A$2:$D$15,3,FALSE)=$B250,"H","G"))</f>
        <v>H</v>
      </c>
      <c r="D250" s="17" t="str">
        <f>IF($B250="","",IF(VLOOKUP($A250,Spiele!$A$2:$F$15,3,FALSE)=$B250,VLOOKUP($A250,Spiele!$A$2:$F$15,4,FALSE),VLOOKUP($A250,Spiele!$A$2:$F$15,3,FALSE)))</f>
        <v>60M</v>
      </c>
      <c r="E250" s="18">
        <f>IF(Abschlüsse[[#This Row],[Ergeb]]="ET",0,COUNTIFS($A$2:$A250,$A250,$B$2:$B250,$B250,$L$2:$L250,"&lt;&gt;ET"))</f>
        <v>12</v>
      </c>
      <c r="F250" s="11">
        <v>68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0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0</v>
      </c>
      <c r="K250" s="3">
        <v>22</v>
      </c>
      <c r="L250" s="17" t="s">
        <v>20</v>
      </c>
      <c r="M250" s="2" t="s">
        <v>140</v>
      </c>
      <c r="N250" s="2" t="s">
        <v>153</v>
      </c>
      <c r="O250" s="17">
        <v>8</v>
      </c>
      <c r="P250" s="2">
        <v>5</v>
      </c>
      <c r="Q250" s="2">
        <v>8</v>
      </c>
      <c r="R250" s="2">
        <v>6</v>
      </c>
      <c r="AA250" s="2" t="s">
        <v>154</v>
      </c>
      <c r="AB250" s="17" t="s">
        <v>160</v>
      </c>
      <c r="AC250" s="14" t="s">
        <v>161</v>
      </c>
      <c r="AD250" s="14" t="s">
        <v>145</v>
      </c>
      <c r="AE250" s="18">
        <v>16</v>
      </c>
      <c r="AF250" s="13">
        <v>-5.5</v>
      </c>
      <c r="AG250" s="13">
        <v>4</v>
      </c>
      <c r="AH250" s="19">
        <f t="shared" si="16"/>
        <v>4.4029081298614443</v>
      </c>
      <c r="AI250" s="19">
        <f t="shared" si="17"/>
        <v>41.707579601485392</v>
      </c>
      <c r="AJ250" s="2" t="s">
        <v>169</v>
      </c>
      <c r="AK250" s="13">
        <v>-4</v>
      </c>
      <c r="AL250" s="13">
        <v>3</v>
      </c>
      <c r="AM250" s="19">
        <f>IF(Abschlüsse[[#This Row],[Ergeb]]="ET","",SQRT(($AF250-$AK250)^2+($AG250-$AL250)^2))</f>
        <v>1.8027756377319946</v>
      </c>
      <c r="AN250" s="3">
        <v>1</v>
      </c>
      <c r="AO250" s="13">
        <v>-5.5</v>
      </c>
      <c r="AP250" s="13">
        <v>3.5</v>
      </c>
      <c r="AQ250" s="19">
        <f t="shared" si="18"/>
        <v>0.5</v>
      </c>
      <c r="AR250" s="3">
        <v>2</v>
      </c>
      <c r="AS250" s="13">
        <v>0.5</v>
      </c>
      <c r="AT250" s="13">
        <v>1.5</v>
      </c>
      <c r="AU250" s="19">
        <f t="shared" si="19"/>
        <v>6.5</v>
      </c>
    </row>
    <row r="251" spans="1:47" ht="25.05" customHeight="1">
      <c r="A251" s="3">
        <v>13</v>
      </c>
      <c r="B251" s="2" t="s">
        <v>8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60M</v>
      </c>
      <c r="E251" s="18">
        <f>IF(Abschlüsse[[#This Row],[Ergeb]]="ET",0,COUNTIFS($A$2:$A251,$A251,$B$2:$B251,$B251,$L$2:$L251,"&lt;&gt;ET"))</f>
        <v>13</v>
      </c>
      <c r="F251" s="11">
        <v>71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0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0</v>
      </c>
      <c r="K251" s="3">
        <v>23</v>
      </c>
      <c r="L251" s="17" t="s">
        <v>19</v>
      </c>
      <c r="M251" s="2" t="s">
        <v>147</v>
      </c>
      <c r="N251" s="2" t="s">
        <v>158</v>
      </c>
      <c r="O251" s="17">
        <v>7</v>
      </c>
      <c r="P251" s="2">
        <v>18</v>
      </c>
      <c r="Q251" s="2">
        <v>8</v>
      </c>
      <c r="R251" s="2">
        <v>7</v>
      </c>
      <c r="S251" s="2">
        <v>23</v>
      </c>
      <c r="T251" s="2">
        <v>6</v>
      </c>
      <c r="U251" s="2">
        <v>5</v>
      </c>
      <c r="V251" s="2">
        <v>16</v>
      </c>
      <c r="W251" s="2">
        <v>20</v>
      </c>
      <c r="AA251" s="2" t="s">
        <v>142</v>
      </c>
      <c r="AB251" s="17" t="s">
        <v>149</v>
      </c>
      <c r="AC251" s="14" t="s">
        <v>150</v>
      </c>
      <c r="AD251" s="14" t="s">
        <v>156</v>
      </c>
      <c r="AE251" s="18">
        <v>10</v>
      </c>
      <c r="AF251" s="13">
        <v>2.5</v>
      </c>
      <c r="AG251" s="13">
        <v>15</v>
      </c>
      <c r="AH251" s="19">
        <f t="shared" si="16"/>
        <v>15</v>
      </c>
      <c r="AI251" s="19">
        <f t="shared" si="17"/>
        <v>26.748394088035369</v>
      </c>
      <c r="AJ251" s="2" t="s">
        <v>146</v>
      </c>
      <c r="AK251" s="13">
        <v>0</v>
      </c>
      <c r="AL251" s="13">
        <v>3.5</v>
      </c>
      <c r="AM251" s="19">
        <f>IF(Abschlüsse[[#This Row],[Ergeb]]="ET","",SQRT(($AF251-$AK251)^2+($AG251-$AL251)^2))</f>
        <v>11.76860229593982</v>
      </c>
      <c r="AN251" s="3">
        <v>0</v>
      </c>
      <c r="AO251" s="13"/>
      <c r="AP251" s="13"/>
      <c r="AQ251" s="19" t="str">
        <f t="shared" si="18"/>
        <v/>
      </c>
      <c r="AR251" s="3">
        <v>3</v>
      </c>
      <c r="AS251" s="13">
        <v>1.5</v>
      </c>
      <c r="AT251" s="13">
        <v>11</v>
      </c>
      <c r="AU251" s="19">
        <f t="shared" si="19"/>
        <v>4.1231056256176606</v>
      </c>
    </row>
    <row r="252" spans="1:47" ht="25.05" customHeight="1">
      <c r="A252" s="3">
        <v>13</v>
      </c>
      <c r="B252" s="2" t="s">
        <v>8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60M</v>
      </c>
      <c r="E252" s="18">
        <f>IF(Abschlüsse[[#This Row],[Ergeb]]="ET",0,COUNTIFS($A$2:$A252,$A252,$B$2:$B252,$B252,$L$2:$L252,"&lt;&gt;ET"))</f>
        <v>14</v>
      </c>
      <c r="F252" s="11">
        <v>73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0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0</v>
      </c>
      <c r="K252" s="3">
        <v>24</v>
      </c>
      <c r="L252" s="17" t="s">
        <v>19</v>
      </c>
      <c r="M252" s="2" t="s">
        <v>163</v>
      </c>
      <c r="N252" s="2" t="s">
        <v>164</v>
      </c>
      <c r="O252" s="17">
        <v>18</v>
      </c>
      <c r="P252" s="2">
        <v>5</v>
      </c>
      <c r="Q252" s="2">
        <v>18</v>
      </c>
      <c r="AA252" s="2" t="s">
        <v>151</v>
      </c>
      <c r="AB252" s="17" t="s">
        <v>143</v>
      </c>
      <c r="AC252" s="14" t="s">
        <v>150</v>
      </c>
      <c r="AD252" s="14" t="s">
        <v>145</v>
      </c>
      <c r="AE252" s="18">
        <v>7</v>
      </c>
      <c r="AF252" s="13">
        <v>-13.5</v>
      </c>
      <c r="AG252" s="13">
        <v>16.5</v>
      </c>
      <c r="AH252" s="19">
        <f t="shared" si="16"/>
        <v>19.211340400919454</v>
      </c>
      <c r="AI252" s="19">
        <f t="shared" si="17"/>
        <v>15.312989252529659</v>
      </c>
      <c r="AJ252" s="2" t="s">
        <v>146</v>
      </c>
      <c r="AK252" s="13">
        <v>-3.5</v>
      </c>
      <c r="AL252" s="13">
        <v>2</v>
      </c>
      <c r="AM252" s="19">
        <f>IF(Abschlüsse[[#This Row],[Ergeb]]="ET","",SQRT(($AF252-$AK252)^2+($AG252-$AL252)^2))</f>
        <v>17.613914953808536</v>
      </c>
      <c r="AN252" s="3">
        <v>2</v>
      </c>
      <c r="AO252" s="13">
        <v>-12.5</v>
      </c>
      <c r="AP252" s="13">
        <v>17.5</v>
      </c>
      <c r="AQ252" s="19">
        <f t="shared" si="18"/>
        <v>1.4142135623730951</v>
      </c>
      <c r="AR252" s="3">
        <v>0</v>
      </c>
      <c r="AU252" s="19" t="str">
        <f t="shared" si="19"/>
        <v/>
      </c>
    </row>
    <row r="253" spans="1:47" ht="25.05" customHeight="1">
      <c r="A253" s="3">
        <v>13</v>
      </c>
      <c r="B253" s="2" t="s">
        <v>8</v>
      </c>
      <c r="C253" s="17" t="str">
        <f>IF($A253="","",IF(VLOOKUP($A253,Spiele!$A$2:$D$15,3,FALSE)=$B253,"H","G"))</f>
        <v>H</v>
      </c>
      <c r="D253" s="17" t="str">
        <f>IF($B253="","",IF(VLOOKUP($A253,Spiele!$A$2:$F$15,3,FALSE)=$B253,VLOOKUP($A253,Spiele!$A$2:$F$15,4,FALSE),VLOOKUP($A253,Spiele!$A$2:$F$15,3,FALSE)))</f>
        <v>60M</v>
      </c>
      <c r="E253" s="18">
        <f>IF(Abschlüsse[[#This Row],[Ergeb]]="ET",0,COUNTIFS($A$2:$A253,$A253,$B$2:$B253,$B253,$L$2:$L253,"&lt;&gt;ET"))</f>
        <v>15</v>
      </c>
      <c r="F253" s="11">
        <v>77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0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/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0</v>
      </c>
      <c r="K253" s="3">
        <v>25</v>
      </c>
      <c r="L253" s="17" t="s">
        <v>20</v>
      </c>
      <c r="M253" s="2" t="s">
        <v>163</v>
      </c>
      <c r="N253" s="2" t="s">
        <v>158</v>
      </c>
      <c r="O253" s="17">
        <v>10</v>
      </c>
      <c r="AA253" s="2" t="s">
        <v>151</v>
      </c>
      <c r="AB253" s="17" t="s">
        <v>143</v>
      </c>
      <c r="AC253" s="14" t="s">
        <v>150</v>
      </c>
      <c r="AD253" s="14" t="s">
        <v>156</v>
      </c>
      <c r="AE253" s="18">
        <v>6</v>
      </c>
      <c r="AF253" s="13">
        <v>14.5</v>
      </c>
      <c r="AG253" s="13">
        <v>14</v>
      </c>
      <c r="AH253" s="19">
        <f t="shared" si="16"/>
        <v>17.7060893480181</v>
      </c>
      <c r="AI253" s="19">
        <f t="shared" si="17"/>
        <v>14.620361026676797</v>
      </c>
      <c r="AJ253" s="2" t="s">
        <v>146</v>
      </c>
      <c r="AK253" s="13">
        <v>2.5</v>
      </c>
      <c r="AL253" s="13">
        <v>1.5</v>
      </c>
      <c r="AM253" s="19">
        <f>IF(Abschlüsse[[#This Row],[Ergeb]]="ET","",SQRT(($AF253-$AK253)^2+($AG253-$AL253)^2))</f>
        <v>17.327723451163457</v>
      </c>
      <c r="AN253" s="3">
        <v>1</v>
      </c>
      <c r="AO253" s="13">
        <v>14</v>
      </c>
      <c r="AP253" s="13">
        <v>14</v>
      </c>
      <c r="AQ253" s="19">
        <f t="shared" si="18"/>
        <v>0.5</v>
      </c>
      <c r="AR253" s="3">
        <v>2</v>
      </c>
      <c r="AS253" s="13">
        <v>8.5</v>
      </c>
      <c r="AT253" s="13">
        <v>8</v>
      </c>
      <c r="AU253" s="19">
        <f t="shared" si="19"/>
        <v>8.4852813742385695</v>
      </c>
    </row>
    <row r="254" spans="1:47" ht="25.05" customHeight="1">
      <c r="A254" s="3">
        <v>13</v>
      </c>
      <c r="B254" s="2" t="s">
        <v>76</v>
      </c>
      <c r="C254" s="17" t="str">
        <f>IF($A254="","",IF(VLOOKUP($A254,Spiele!$A$2:$D$15,3,FALSE)=$B254,"H","G"))</f>
        <v>G</v>
      </c>
      <c r="D254" s="17" t="str">
        <f>IF($B254="","",IF(VLOOKUP($A254,Spiele!$A$2:$F$15,3,FALSE)=$B254,VLOOKUP($A254,Spiele!$A$2:$F$15,4,FALSE),VLOOKUP($A254,Spiele!$A$2:$F$15,3,FALSE)))</f>
        <v>FCN</v>
      </c>
      <c r="E254" s="18">
        <f>IF(Abschlüsse[[#This Row],[Ergeb]]="ET",0,COUNTIFS($A$2:$A254,$A254,$B$2:$B254,$B254,$L$2:$L254,"&lt;&gt;ET"))</f>
        <v>14</v>
      </c>
      <c r="F254" s="11">
        <v>83</v>
      </c>
      <c r="G254" s="12">
        <v>2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26</v>
      </c>
      <c r="L254" s="17" t="s">
        <v>18</v>
      </c>
      <c r="M254" s="2" t="s">
        <v>147</v>
      </c>
      <c r="N254" s="2" t="s">
        <v>152</v>
      </c>
      <c r="O254" s="17"/>
      <c r="AA254" s="2" t="s">
        <v>142</v>
      </c>
      <c r="AB254" s="17" t="s">
        <v>143</v>
      </c>
      <c r="AC254" s="14" t="s">
        <v>150</v>
      </c>
      <c r="AD254" s="14" t="s">
        <v>156</v>
      </c>
      <c r="AE254" s="18"/>
      <c r="AF254" s="13">
        <v>-12</v>
      </c>
      <c r="AG254" s="13">
        <v>18</v>
      </c>
      <c r="AH254" s="19">
        <f t="shared" si="16"/>
        <v>19.838235808660002</v>
      </c>
      <c r="AI254" s="19">
        <f t="shared" si="17"/>
        <v>16.163407255354326</v>
      </c>
      <c r="AJ254" s="2" t="s">
        <v>146</v>
      </c>
      <c r="AK254" s="13">
        <v>-1.5</v>
      </c>
      <c r="AL254" s="13">
        <v>2.5</v>
      </c>
      <c r="AM254" s="19">
        <f>IF(Abschlüsse[[#This Row],[Ergeb]]="ET","",SQRT(($AF254-$AK254)^2+($AG254-$AL254)^2))</f>
        <v>18.721645226849056</v>
      </c>
      <c r="AN254" s="3">
        <v>1</v>
      </c>
      <c r="AO254" s="13">
        <v>-10.5</v>
      </c>
      <c r="AP254" s="13">
        <v>21</v>
      </c>
      <c r="AQ254" s="19">
        <f t="shared" si="18"/>
        <v>3.3541019662496847</v>
      </c>
      <c r="AR254" s="3">
        <v>0</v>
      </c>
      <c r="AU254" s="19" t="str">
        <f t="shared" si="19"/>
        <v/>
      </c>
    </row>
    <row r="256" spans="1:47" ht="25.05" customHeight="1">
      <c r="AC256" s="14"/>
      <c r="AD256" s="14"/>
    </row>
  </sheetData>
  <phoneticPr fontId="5" type="noConversion"/>
  <conditionalFormatting sqref="A2:E254">
    <cfRule type="expression" dxfId="40" priority="127">
      <formula>$C2="H"</formula>
    </cfRule>
  </conditionalFormatting>
  <conditionalFormatting sqref="K2:K254 M2:M254 AC2:AD254 AF2:AG254 AJ2:AL254 AN2:AN254 AR2:AR254">
    <cfRule type="cellIs" dxfId="39" priority="47" operator="notEqual">
      <formula>""</formula>
    </cfRule>
  </conditionalFormatting>
  <conditionalFormatting sqref="K2:M254 AA2:AG254 AJ2:AL254 AN2:AN254 AR2:AR254">
    <cfRule type="expression" dxfId="38" priority="50">
      <formula>$F2&lt;&gt;""</formula>
    </cfRule>
  </conditionalFormatting>
  <conditionalFormatting sqref="L2:L254 AB2:AB254 AE2:AE254">
    <cfRule type="cellIs" dxfId="37" priority="1" operator="notEqual">
      <formula>""</formula>
    </cfRule>
  </conditionalFormatting>
  <conditionalFormatting sqref="M257">
    <cfRule type="cellIs" dxfId="36" priority="122" operator="notEqual">
      <formula>""</formula>
    </cfRule>
    <cfRule type="expression" dxfId="35" priority="123">
      <formula>$F257&lt;&gt;""</formula>
    </cfRule>
  </conditionalFormatting>
  <conditionalFormatting sqref="M2:AU1048576">
    <cfRule type="expression" dxfId="34" priority="48">
      <formula>$L2="ET"</formula>
    </cfRule>
  </conditionalFormatting>
  <conditionalFormatting sqref="N2:N254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257:Z257">
    <cfRule type="expression" dxfId="23" priority="105">
      <formula>$M257="nEW"</formula>
    </cfRule>
    <cfRule type="expression" dxfId="22" priority="106">
      <formula>$M257="EW"</formula>
    </cfRule>
    <cfRule type="expression" dxfId="21" priority="107">
      <formula>$M257="n11M"</formula>
    </cfRule>
    <cfRule type="expression" dxfId="20" priority="108">
      <formula>$M257="nFS"</formula>
    </cfRule>
    <cfRule type="expression" dxfId="19" priority="109">
      <formula>$M257="nE"</formula>
    </cfRule>
    <cfRule type="expression" dxfId="18" priority="110">
      <formula>$M257="FSF"</formula>
    </cfRule>
    <cfRule type="expression" dxfId="17" priority="111">
      <formula>$M257="E"</formula>
    </cfRule>
    <cfRule type="expression" dxfId="16" priority="112">
      <formula>$M257="USO"</formula>
    </cfRule>
    <cfRule type="expression" dxfId="15" priority="124">
      <formula>$M257="EB"</formula>
    </cfRule>
  </conditionalFormatting>
  <conditionalFormatting sqref="N257:AA257">
    <cfRule type="cellIs" dxfId="14" priority="104" operator="notEqual">
      <formula>""</formula>
    </cfRule>
  </conditionalFormatting>
  <conditionalFormatting sqref="AA2:AA254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257">
    <cfRule type="expression" dxfId="11" priority="125">
      <formula>#REF!=1</formula>
    </cfRule>
  </conditionalFormatting>
  <conditionalFormatting sqref="AC256:AD256">
    <cfRule type="expression" dxfId="10" priority="100">
      <formula>$L256="ET"</formula>
    </cfRule>
    <cfRule type="cellIs" dxfId="9" priority="101" operator="notEqual">
      <formula>""</formula>
    </cfRule>
    <cfRule type="expression" dxfId="8" priority="102">
      <formula>$F256&lt;&gt;""</formula>
    </cfRule>
  </conditionalFormatting>
  <conditionalFormatting sqref="AE2:AE254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254">
    <cfRule type="expression" dxfId="5" priority="2">
      <formula>$AJ2="niT"</formula>
    </cfRule>
  </conditionalFormatting>
  <conditionalFormatting sqref="AO2:AP254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254">
    <cfRule type="cellIs" dxfId="2" priority="15" operator="notEqual">
      <formula>""</formula>
    </cfRule>
    <cfRule type="expression" dxfId="1" priority="55">
      <formula>$AR2&gt;0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11</v>
      </c>
      <c r="B11" s="23" t="s">
        <v>94</v>
      </c>
      <c r="C11" s="23" t="s">
        <v>95</v>
      </c>
      <c r="D11" s="2" t="s">
        <v>186</v>
      </c>
    </row>
    <row r="12" spans="1:4" ht="25.05" customHeight="1">
      <c r="A12" s="2">
        <v>13</v>
      </c>
      <c r="B12" s="23" t="s">
        <v>92</v>
      </c>
      <c r="C12" s="23" t="s">
        <v>93</v>
      </c>
      <c r="D12" s="2" t="s">
        <v>185</v>
      </c>
    </row>
    <row r="13" spans="1:4" ht="25.05" customHeight="1">
      <c r="A13" s="2">
        <v>14</v>
      </c>
      <c r="B13" s="23" t="s">
        <v>100</v>
      </c>
      <c r="C13" s="23" t="s">
        <v>101</v>
      </c>
      <c r="D13" s="2" t="s">
        <v>187</v>
      </c>
    </row>
    <row r="14" spans="1:4" ht="25.05" customHeight="1">
      <c r="A14" s="2">
        <v>16</v>
      </c>
      <c r="B14" s="23" t="s">
        <v>96</v>
      </c>
      <c r="C14" s="23" t="s">
        <v>97</v>
      </c>
      <c r="D14" s="2" t="s">
        <v>185</v>
      </c>
    </row>
    <row r="15" spans="1:4" ht="25.05" customHeight="1">
      <c r="A15" s="2">
        <v>18</v>
      </c>
      <c r="B15" s="23" t="s">
        <v>121</v>
      </c>
      <c r="C15" s="23" t="s">
        <v>122</v>
      </c>
      <c r="D15" s="2" t="s">
        <v>187</v>
      </c>
    </row>
    <row r="16" spans="1:4" ht="25.05" customHeight="1">
      <c r="A16" s="2">
        <v>19</v>
      </c>
      <c r="B16" s="23" t="s">
        <v>90</v>
      </c>
      <c r="C16" s="23" t="s">
        <v>91</v>
      </c>
      <c r="D16" s="2" t="s">
        <v>186</v>
      </c>
    </row>
    <row r="17" spans="1:4" ht="25.05" customHeight="1">
      <c r="A17" s="2">
        <v>20</v>
      </c>
      <c r="B17" s="23" t="s">
        <v>98</v>
      </c>
      <c r="C17" s="23" t="s">
        <v>99</v>
      </c>
      <c r="D17" s="2" t="s">
        <v>185</v>
      </c>
    </row>
    <row r="18" spans="1:4" ht="25.05" customHeight="1">
      <c r="A18" s="2">
        <v>21</v>
      </c>
      <c r="B18" s="23" t="s">
        <v>114</v>
      </c>
      <c r="C18" s="23" t="s">
        <v>113</v>
      </c>
      <c r="D18" s="2" t="s">
        <v>184</v>
      </c>
    </row>
    <row r="19" spans="1:4" ht="25.05" customHeight="1">
      <c r="A19" s="2">
        <v>22</v>
      </c>
      <c r="B19" s="23" t="s">
        <v>90</v>
      </c>
      <c r="C19" s="23" t="s">
        <v>127</v>
      </c>
      <c r="D19" s="2" t="s">
        <v>184</v>
      </c>
    </row>
    <row r="20" spans="1:4" ht="25.05" customHeight="1">
      <c r="A20" s="2">
        <v>23</v>
      </c>
      <c r="B20" s="23" t="s">
        <v>130</v>
      </c>
      <c r="C20" s="23" t="s">
        <v>131</v>
      </c>
      <c r="D20" s="2" t="s">
        <v>185</v>
      </c>
    </row>
    <row r="21" spans="1:4" ht="25.05" customHeight="1">
      <c r="A21" s="2">
        <v>25</v>
      </c>
      <c r="B21" s="23" t="s">
        <v>102</v>
      </c>
      <c r="C21" s="23" t="s">
        <v>103</v>
      </c>
      <c r="D21" s="2" t="s">
        <v>187</v>
      </c>
    </row>
    <row r="22" spans="1:4" ht="25.05" customHeight="1">
      <c r="A22" s="2">
        <v>26</v>
      </c>
      <c r="B22" s="23" t="s">
        <v>108</v>
      </c>
      <c r="C22" s="23" t="s">
        <v>109</v>
      </c>
      <c r="D22" s="2" t="s">
        <v>186</v>
      </c>
    </row>
    <row r="23" spans="1:4" ht="25.05" customHeight="1">
      <c r="A23" s="2">
        <v>27</v>
      </c>
      <c r="B23" s="23" t="s">
        <v>104</v>
      </c>
      <c r="C23" s="23" t="s">
        <v>105</v>
      </c>
      <c r="D23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2025-12-09T11:46:48Z</dcterms:modified>
</cp:coreProperties>
</file>