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B750C51D-7C8E-47A2-8295-7ABABE31F5C0}" xr6:coauthVersionLast="47" xr6:coauthVersionMax="47" xr10:uidLastSave="{00000000-0000-0000-0000-000000000000}"/>
  <bookViews>
    <workbookView xWindow="28680" yWindow="-1950" windowWidth="29040" windowHeight="17520" tabRatio="873" activeTab="5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20" i="2" l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AQ181" i="2"/>
  <c r="AU172" i="2"/>
  <c r="AH174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244" i="2"/>
  <c r="D244" i="2"/>
  <c r="C232" i="2"/>
  <c r="C230" i="2"/>
  <c r="J2" i="2"/>
  <c r="I2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D230" i="2"/>
  <c r="C231" i="2"/>
  <c r="D231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0" i="2"/>
  <c r="D240" i="2"/>
  <c r="C241" i="2"/>
  <c r="D241" i="2"/>
  <c r="C242" i="2"/>
  <c r="D242" i="2"/>
  <c r="C243" i="2"/>
  <c r="D243" i="2"/>
  <c r="C245" i="2"/>
  <c r="D245" i="2"/>
  <c r="C246" i="2"/>
  <c r="D246" i="2"/>
  <c r="C247" i="2"/>
  <c r="D247" i="2"/>
  <c r="C248" i="2"/>
  <c r="D248" i="2"/>
  <c r="C249" i="2"/>
  <c r="D249" i="2"/>
  <c r="C250" i="2"/>
  <c r="D250" i="2"/>
  <c r="C251" i="2"/>
  <c r="D251" i="2"/>
  <c r="C252" i="2"/>
  <c r="D252" i="2"/>
  <c r="C253" i="2"/>
  <c r="D253" i="2"/>
  <c r="C254" i="2"/>
  <c r="D254" i="2"/>
  <c r="D2" i="2"/>
  <c r="C2" i="2"/>
  <c r="H15" i="35"/>
  <c r="AQ190" i="2"/>
  <c r="AM168" i="2"/>
  <c r="AH155" i="2"/>
  <c r="AU243" i="2"/>
  <c r="AU229" i="2"/>
  <c r="AH244" i="2"/>
  <c r="AI244" i="2"/>
  <c r="AM244" i="2"/>
  <c r="AQ244" i="2"/>
  <c r="AU244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U83" i="2"/>
  <c r="AQ80" i="2"/>
  <c r="AQ68" i="2"/>
  <c r="AQ62" i="2"/>
  <c r="AM57" i="2"/>
  <c r="AQ56" i="2"/>
  <c r="AH52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5" i="2"/>
  <c r="AM246" i="2"/>
  <c r="AM247" i="2"/>
  <c r="AM248" i="2"/>
  <c r="AM249" i="2"/>
  <c r="AM250" i="2"/>
  <c r="AM251" i="2"/>
  <c r="AM252" i="2"/>
  <c r="AM253" i="2"/>
  <c r="AM254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30" i="2"/>
  <c r="AU231" i="2"/>
  <c r="AU232" i="2"/>
  <c r="AU233" i="2"/>
  <c r="AU234" i="2"/>
  <c r="AU235" i="2"/>
  <c r="AU236" i="2"/>
  <c r="AU237" i="2"/>
  <c r="AU238" i="2"/>
  <c r="AU239" i="2"/>
  <c r="AU240" i="2"/>
  <c r="AU241" i="2"/>
  <c r="AU242" i="2"/>
  <c r="AU245" i="2"/>
  <c r="AU246" i="2"/>
  <c r="AU247" i="2"/>
  <c r="AU248" i="2"/>
  <c r="AU249" i="2"/>
  <c r="AU250" i="2"/>
  <c r="AU251" i="2"/>
  <c r="AU252" i="2"/>
  <c r="AU253" i="2"/>
  <c r="AU254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2" i="2"/>
  <c r="AQ233" i="2"/>
  <c r="AQ234" i="2"/>
  <c r="AQ235" i="2"/>
  <c r="AQ236" i="2"/>
  <c r="AQ237" i="2"/>
  <c r="AQ238" i="2"/>
  <c r="AQ239" i="2"/>
  <c r="AQ240" i="2"/>
  <c r="AQ241" i="2"/>
  <c r="AQ242" i="2"/>
  <c r="AQ243" i="2"/>
  <c r="AQ245" i="2"/>
  <c r="AQ246" i="2"/>
  <c r="AQ247" i="2"/>
  <c r="AQ248" i="2"/>
  <c r="AQ249" i="2"/>
  <c r="AQ250" i="2"/>
  <c r="AQ251" i="2"/>
  <c r="AQ252" i="2"/>
  <c r="AQ253" i="2"/>
  <c r="AQ254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0" i="2"/>
  <c r="AI240" i="2"/>
  <c r="AH241" i="2"/>
  <c r="AI241" i="2"/>
  <c r="AH242" i="2"/>
  <c r="AI242" i="2"/>
  <c r="AH243" i="2"/>
  <c r="AI243" i="2"/>
  <c r="AH245" i="2"/>
  <c r="AI245" i="2"/>
  <c r="AH246" i="2"/>
  <c r="AI246" i="2"/>
  <c r="AH247" i="2"/>
  <c r="AI247" i="2"/>
  <c r="AH248" i="2"/>
  <c r="AI248" i="2"/>
  <c r="AH249" i="2"/>
  <c r="AI249" i="2"/>
  <c r="AH250" i="2"/>
  <c r="AI250" i="2"/>
  <c r="AH251" i="2"/>
  <c r="AI251" i="2"/>
  <c r="AH252" i="2"/>
  <c r="AI252" i="2"/>
  <c r="AH253" i="2"/>
  <c r="AI253" i="2"/>
  <c r="AH254" i="2"/>
  <c r="AI254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<sst xmlns="http://schemas.openxmlformats.org/spreadsheetml/2006/main" count="2455" uniqueCount="188">
  <si>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</si>
  <si>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</si>
  <si>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</si>
  <si>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</si>
  <si>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</si>
  <si>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</si>
  <si>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</si>
  <si>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</si>
  <si>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</si>
  <si>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</si>
  <si>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</si>
  <si>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</si>
  <si>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</si>
  <si>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</si>
  <si>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</si>
  <si>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</si>
  <si>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</si>
  <si>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</si>
  <si>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</si>
  <si>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</si>
  <si>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</si>
  <si>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</si>
  <si>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</si>
  <si>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</si>
  <si>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</si>
  <si>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</si>
  <si>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</si>
  <si>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</si>
  <si>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</si>
  <si>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</si>
  <si>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</si>
  <si>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</si>
  <si>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</si>
  <si>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</si>
  <si>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</si>
  <si>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</si>
  <si>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</si>
  <si>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</si>
  <si>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</si>
  <si>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</si>
  <si>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</si>
  <si>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</si>
  <si>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</si>
  <si>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</si>
  <si>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</si>
  <si>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</si>
  <si>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</si>
  <si>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</si>
  <si>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</si>
  <si>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</si>
  <si>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</si>
  <si>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</si>
  <si>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</si>
  <si>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</si>
  <si>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</si>
  <si>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</si>
  <si>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</si>
  <si>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</si>
  <si>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</si>
  <si>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</si>
  <si>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</si>
  <si>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</si>
  <si>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</si>
  <si>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</si>
  <si>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</si>
  <si>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</si>
  <si>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</si>
  <si>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</si>
  <si>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</si>
  <si>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</si>
  <si>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</si>
  <si>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</si>
  <si>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</si>
  <si>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</si>
  <si>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</si>
  <si>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</si>
  <si>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</si>
  <si>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</si>
  <si>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</si>
  <si>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</si>
  <si>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</si>
  <si>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</si>
  <si>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</si>
  <si>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</si>
  <si>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</si>
  <si>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</si>
  <si>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</si>
  <si>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</si>
  <si>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</si>
  <si>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</si>
  <si>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</si>
  <si>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</si>
  <si>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</si>
  <si>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</si>
  <si>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</si>
  <si>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</si>
  <si>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</si>
  <si>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</si>
  <si>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</si>
  <si>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</si>
  <si>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</si>
  <si>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</si>
  <si>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</si>
  <si>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</si>
  <si>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</si>
  <si>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Metehan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</si>
  <si>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</si>
  <si>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</si>
  <si>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</si>
  <si>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</si>
  <si>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</si>
  <si>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</si>
  <si>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</si>
  <si>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</si>
  <si>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</si>
  <si>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</si>
  <si>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</si>
  <si>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</si>
  <si>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</si>
  <si>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</si>
  <si>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</si>
  <si>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</si>
  <si>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</si>
  <si>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</si>
  <si>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</si>
  <si>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</si>
  <si>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</si>
  <si>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</si>
  <si>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</si>
  <si>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</si>
  <si>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</si>
  <si>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</si>
  <si>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</si>
  <si>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</si>
  <si>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</si>
  <si>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</si>
  <si>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</si>
  <si>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</si>
  <si>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</si>
  <si>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</si>
  <si>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</si>
  <si>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</si>
  <si>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</si>
  <si>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</si>
  <si>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</si>
  <si>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</si>
  <si>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</si>
  <si>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</si>
  <si>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</si>
  <si>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</si>
  <si>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</si>
  <si>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</si>
  <si>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</si>
  <si>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</si>
  <si>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</si>
  <si>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</si>
  <si>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</si>
  <si>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</si>
  <si>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</si>
  <si>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</si>
  <si>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</si>
  <si>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</si>
  <si>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</si>
  <si>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</si>
  <si>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</si>
  <si>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</si>
  <si>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</si>
  <si>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</si>
  <si>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</si>
  <si>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</si>
  <si>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</si>
  <si>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</si>
  <si>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</si>
  <si>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</si>
  <si>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</si>
  <si>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</si>
  <si>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</si>
  <si>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</si>
  <si>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</si>
  <si>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</si>
  <si>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</si>
  <si>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Eksiner E.</t>
  </si>
  <si>
    <t>Eksiner M.</t>
  </si>
  <si>
    <t>Position</t>
  </si>
  <si>
    <t>TW</t>
  </si>
  <si>
    <t>AB</t>
  </si>
  <si>
    <t>MF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</si>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</sst>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7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8">
  <tableColumns count="10">
    <tableColumn id="3" xr3:uid="{6E46BB75-7AA6-4AE0-A005-D539DDCFC196}" name="SID" dataDxfId="127"/>
    <tableColumn id="4" xr3:uid="{C47A3B61-F28E-4214-BFC3-37A3A33F953B}" name="Datum" dataDxfId="126"/>
    <tableColumn id="5" xr3:uid="{C689F04B-B6CE-4315-BADE-AAA86EC831A6}" name="Heim" dataDxfId="125"/>
    <tableColumn id="6" xr3:uid="{D9B15F89-1F0A-458D-922F-6B2237C4FDDE}" name="Gast" dataDxfId="124"/>
    <tableColumn id="7" xr3:uid="{1F4B0B22-113B-4B13-B735-0BBD579317AF}" name="1. HZ" dataDxfId="123"/>
    <tableColumn id="8" xr3:uid="{12077EEE-5CEB-4092-B79D-C908B22B2779}" name="2. HZ" dataDxfId="122"/>
    <tableColumn id="13" xr3:uid="{9623CA39-28F7-4980-A88A-3573C5D164D8}" name="TH" dataDxfId="121">
      <calculatedColumnFormula>SUM(COUNTIFS(Abschlüsse!$A$2:$A$254,$A2,Abschlüsse!$B$2:$B$254,$C2,Abschlüsse!$L$2:$L$254,"Tor"),COUNTIFS(Abschlüsse!$A$2:$A$254,$A2,Abschlüsse!$B$2:$B$254,$C2,Abschlüsse!$L$2:$L$254,"ET"))</calculatedColumnFormula>
    </tableColumn>
    <tableColumn id="14" xr3:uid="{C91559F3-290E-4254-BCA6-0153E99BEA95}" name="TG" dataDxfId="120">
      <calculatedColumnFormula>SUM(COUNTIFS(Abschlüsse!$A$2:$A$254,$A2,Abschlüsse!$B$2:$B$254,$D2,Abschlüsse!$L$2:$L$254,"Tor"),COUNTIFS(Abschlüsse!$A$2:$A$254,$A2,Abschlüsse!$B$2:$B$254,$D2,Abschlüsse!$L$2:$L$254,"ET"))</calculatedColumnFormula>
    </tableColumn>
    <tableColumn id="15" xr3:uid="{20A97A80-E72B-4108-88BD-336F6FD51B46}" name="PH" dataDxfId="119">
      <calculatedColumnFormula>IF($A2="","",IF($G2&gt;$H2,3,IF($G2=$H2,1,IF($G2&lt;$H2,0,""))))</calculatedColumnFormula>
    </tableColumn>
    <tableColumn id="16" xr3:uid="{4191863F-CF4A-4B49-A67D-B4999F1036F4}" name="PG" dataDxfId="118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7" dataDxfId="116">
  <tableColumns count="7">
    <tableColumn id="1" xr3:uid="{9849534C-FEBF-4D72-A83E-C4921D5B58F8}" name="SID" dataDxfId="115"/>
    <tableColumn id="2" xr3:uid="{30E5CCDD-CD08-4E9F-93D9-14FC799320DA}" name="Nr" dataDxfId="114"/>
    <tableColumn id="3" xr3:uid="{A9A2D9AC-3794-4B06-B135-2E3A2793F85D}" name="1Von" dataDxfId="113"/>
    <tableColumn id="6" xr3:uid="{18616D7C-A504-4C93-9C5F-4ACF1574C27E}" name="1Bis" dataDxfId="112"/>
    <tableColumn id="5" xr3:uid="{8F7065A7-2117-438C-B45D-8A2C4A12E782}" name="2Von" dataDxfId="111"/>
    <tableColumn id="8" xr3:uid="{26DDE481-2A58-4719-BB30-5389A7F8F2B4}" name="2Bis" dataDxfId="110"/>
    <tableColumn id="4" xr3:uid="{9048B275-4ABE-4791-A832-CD383163ECA9}" name="SZ" dataDxfId="10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8" headerRowCellStyle="Standard 2">
  <tableColumns count="5">
    <tableColumn id="3" xr3:uid="{70097416-485F-4F24-982D-9E074C03170E}" name="SID" dataDxfId="107"/>
    <tableColumn id="4" xr3:uid="{B092948C-193B-446C-8856-25DFE9932308}" name="Min" dataDxfId="106"/>
    <tableColumn id="5" xr3:uid="{AA39880A-83A1-4B14-A37F-1A691A8ADEB1}" name="HZ" dataDxfId="105"/>
    <tableColumn id="6" xr3:uid="{5D906F9B-93AA-4C4C-84B2-376AE41ED7BC}" name="Team" dataDxfId="104"/>
    <tableColumn id="2" xr3:uid="{E89E6B47-DF22-428B-B7D5-23F13828C5E5}" name="TNr" dataDxfId="103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254" totalsRowShown="0" headerRowDxfId="102" dataDxfId="101" headerRowCellStyle="Standard 2">
  <autoFilter ref="A1:AU254" xr:uid="{3C2ACF92-1699-403D-A98C-81F228F02BD5}"/>
  <tableColumns count="47">
    <tableColumn id="3" xr3:uid="{0676AC04-BF24-449C-85E1-9A2476826D3A}" name="SID" dataDxfId="100"/>
    <tableColumn id="4" xr3:uid="{115800A1-176E-47B9-8A68-56625F9DD647}" name="TID" dataDxfId="99"/>
    <tableColumn id="5" xr3:uid="{C19F80A9-D1CF-49F1-8F61-DBA96CBBDD44}" name="HG" dataDxfId="98">
      <calculatedColumnFormula>IF($A2="","",IF(VLOOKUP($A2,Spiele!$A$2:$D$15,3,FALSE)=$B2,"H","G"))</calculatedColumnFormula>
    </tableColumn>
    <tableColumn id="6" xr3:uid="{3DFABB6E-EDFC-4F0E-826F-06C6A5AD8683}" name="GID" dataDxfId="97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6">
      <calculatedColumnFormula>IF(Abschlüsse[[#This Row],[Ergeb]]="ET",0,COUNTIFS($A$2:$A2,$A2,$B$2:$B2,$B2,$L$2:$L2,"&lt;&gt;ET"))</calculatedColumnFormula>
    </tableColumn>
    <tableColumn id="8" xr3:uid="{3B1D1C24-F95D-4C77-AF08-E4A123A74007}" name="Min" dataDxfId="95"/>
    <tableColumn id="9" xr3:uid="{6606DEAC-71A2-4313-AAE4-5C8A940C1133}" name="HZ" dataDxfId="94"/>
    <tableColumn id="10" xr3:uid="{9F0E3DBA-AEA8-4714-9395-480D67A047DB}" name="PR" dataDxfId="93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2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1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0"/>
    <tableColumn id="14" xr3:uid="{9BB09F34-2ED0-47E9-B84C-40DC097D25F5}" name="Ergeb" dataDxfId="89"/>
    <tableColumn id="15" xr3:uid="{6C57D418-22CA-497C-B088-5843FFCDEDD2}" name="Phase" dataDxfId="88"/>
    <tableColumn id="56" xr3:uid="{AEAE92F2-B7AB-4B3E-848F-FCF45833072A}" name="VorT" dataDxfId="87"/>
    <tableColumn id="1" xr3:uid="{34E9F78F-EFDB-46C3-9BFE-9BCA54759B4E}" name="VNr" dataDxfId="86"/>
    <tableColumn id="19" xr3:uid="{9FA4BEDF-1EBC-4B1F-9742-41586CD52374}" name="2VNr" dataDxfId="85"/>
    <tableColumn id="41" xr3:uid="{F00A10CF-A199-454D-A4F2-B3BCF7A37FC4}" name="3VNr" dataDxfId="84"/>
    <tableColumn id="40" xr3:uid="{0D3A3F12-70B7-4EEB-98A3-C5A87CF96CA6}" name="4VNr" dataDxfId="83"/>
    <tableColumn id="39" xr3:uid="{0CC28612-BE0A-4B32-8F70-5248F77D7169}" name="5VNr" dataDxfId="82"/>
    <tableColumn id="38" xr3:uid="{19D00967-9F96-4B46-B790-07181869FBD6}" name="6VNr" dataDxfId="81"/>
    <tableColumn id="22" xr3:uid="{7217BEA7-2DE9-497F-B43C-3CEA65491CE8}" name="7VNr" dataDxfId="80"/>
    <tableColumn id="44" xr3:uid="{B295D602-77BF-4FED-9C4F-6F1378CD28AF}" name="8VNr" dataDxfId="79"/>
    <tableColumn id="43" xr3:uid="{F3BE3028-C1EC-48FB-AF19-D650ACFF06E5}" name="9VNr" dataDxfId="78"/>
    <tableColumn id="18" xr3:uid="{ABB08A8A-9E14-483C-B99C-FD41382AFB6F}" name="10VNr" dataDxfId="77"/>
    <tableColumn id="16" xr3:uid="{BBDBE99C-0D81-4155-832A-58B7446748AB}" name="11VNr" dataDxfId="76"/>
    <tableColumn id="2" xr3:uid="{8BCF7D7A-4F53-4DA3-921A-4765E0800268}" name="12VNr" dataDxfId="75"/>
    <tableColumn id="47" xr3:uid="{647B20CC-7D80-421C-BE8F-8F3CE9B968EE}" name="(VFB)" dataDxfId="74"/>
    <tableColumn id="21" xr3:uid="{95AAAC4A-8457-4DFC-8371-7B0C810C8712}" name="KörT" dataDxfId="73"/>
    <tableColumn id="23" xr3:uid="{808E2CAB-9D7C-459E-B2D4-25D9F743DA87}" name="TrefH" dataDxfId="72"/>
    <tableColumn id="24" xr3:uid="{A11971A4-7A8E-4B97-84D5-7391AC59E624}" name="KörR" dataDxfId="71"/>
    <tableColumn id="26" xr3:uid="{E41E2754-BFBC-4D03-8812-6F17B62B2B60}" name="SNr" dataDxfId="70"/>
    <tableColumn id="31" xr3:uid="{DD0D9E09-CF09-48E1-97C3-8C9B6D4D1E5B}" name="xFe" dataDxfId="69"/>
    <tableColumn id="28" xr3:uid="{11680A8C-8CDB-4710-8CDE-51FF0EE9520C}" name="yFe" dataDxfId="68"/>
    <tableColumn id="29" xr3:uid="{BCBF9B7F-F1D7-48E8-852E-1B36B42A6C43}" name="DisT" dataDxfId="67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6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5"/>
    <tableColumn id="49" xr3:uid="{B29E0C2E-2BEC-4407-BA9E-CDCD562039BF}" name="xTW" dataDxfId="64"/>
    <tableColumn id="17" xr3:uid="{6724291E-070A-4888-ABDD-B931563CA214}" name="yTW" dataDxfId="63"/>
    <tableColumn id="32" xr3:uid="{87862D1D-C2BB-4683-A92F-75FE8571FA2E}" name="TWD" dataDxfId="62">
      <calculatedColumnFormula>IF(Abschlüsse[[#This Row],[Ergeb]]="ET","",SQRT(($AF2-$AK2)^2+($AG2-$AL2)^2))</calculatedColumnFormula>
    </tableColumn>
    <tableColumn id="33" xr3:uid="{94FF56B2-6993-474F-AB48-0FF3C0098004}" name="StrA" dataDxfId="61"/>
    <tableColumn id="27" xr3:uid="{741633BC-E97B-44EB-A7F2-F59753AE6E65}" name="xStr" dataDxfId="60"/>
    <tableColumn id="25" xr3:uid="{92B6126A-E63C-4863-866B-07BBF966FD02}" name="yStr" dataDxfId="59"/>
    <tableColumn id="20" xr3:uid="{B0913E61-0547-4A7A-A6A7-84849CF14046}" name="DSD" dataDxfId="58">
      <calculatedColumnFormula>IF(AN2=0,"",SQRT(($AF2-$AO2)^2+($AG2-$AP2)^2))</calculatedColumnFormula>
    </tableColumn>
    <tableColumn id="34" xr3:uid="{94BF70EA-16AC-45EC-85EC-F51169F858FF}" name="BloA" dataDxfId="57"/>
    <tableColumn id="35" xr3:uid="{E8EC79AD-7B6F-4536-B8A3-30825A8AF986}" name="xBlo" dataDxfId="56"/>
    <tableColumn id="36" xr3:uid="{D02871C8-34A8-45E5-A1CC-1FE9EA4724EE}" name="yBlo" dataDxfId="55"/>
    <tableColumn id="37" xr3:uid="{43BAA548-6D8F-4DBB-8759-92D6CB80CF92}" name="DBD" dataDxfId="54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3" dataDxfId="52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1"/>
    <tableColumn id="2" xr3:uid="{4FA1BA8C-B703-4335-B254-DB509E573EE1}" name="Vereinsname" dataDxfId="5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3" totalsRowShown="0" headerRowDxfId="49" dataDxfId="48">
  <sortState xmlns:xlrd2="http://schemas.microsoft.com/office/spreadsheetml/2017/richdata2" ref="A2:C23">
    <sortCondition ref="A1:A23"/>
  </sortState>
  <tableColumns count="4">
    <tableColumn id="3" xr3:uid="{6E0A8AAC-34A0-4023-B327-51EC11EB4584}" name="Nr" dataDxfId="47"/>
    <tableColumn id="1" xr3:uid="{2B0A2B90-AFAC-47C9-8A53-A8D111281E0C}" name="Vorname" dataDxfId="46"/>
    <tableColumn id="2" xr3:uid="{689F3E8F-1306-4126-8B87-A0D1D886F089}" name="Nachname" dataDxfId="45"/>
    <tableColumn id="4" xr3:uid="{EE1796D6-1A2F-4DA0-B69B-B2CFFAC4DA47}" name="Position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131</v>
      </c>
      <c r="D1" s="4" t="s">
        <v>132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SUM(COUNTIFS(Abschlüsse!$A$2:$A$254,$A2,Abschlüsse!$B$2:$B$254,$C2,Abschlüsse!$L$2:$L$254,"Tor"),COUNTIFS(Abschlüsse!$A$2:$A$254,$A2,Abschlüsse!$B$2:$B$254,$C2,Abschlüsse!$L$2:$L$254,"ET"))</f>
        <v>4</v>
      </c>
      <c r="H2" s="18">
        <f>SUM(COUNTIFS(Abschlüsse!$A$2:$A$254,$A2,Abschlüsse!$B$2:$B$254,$D2,Abschlüsse!$L$2:$L$254,"Tor"),COUNTIFS(Abschlüsse!$A$2:$A$254,$A2,Abschlüsse!$B$2:$B$254,$D2,Abschlüsse!$L$2:$L$254,"ET"))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SUM(COUNTIFS(Abschlüsse!$A$2:$A$254,$A3,Abschlüsse!$B$2:$B$254,$C3,Abschlüsse!$L$2:$L$254,"Tor"),COUNTIFS(Abschlüsse!$A$2:$A$254,$A3,Abschlüsse!$B$2:$B$254,$C3,Abschlüsse!$L$2:$L$254,"ET"))</f>
        <v>2</v>
      </c>
      <c r="H3" s="18">
        <f>SUM(COUNTIFS(Abschlüsse!$A$2:$A$254,$A3,Abschlüsse!$B$2:$B$254,$D3,Abschlüsse!$L$2:$L$254,"Tor"),COUNTIFS(Abschlüsse!$A$2:$A$254,$A3,Abschlüsse!$B$2:$B$254,$D3,Abschlüsse!$L$2:$L$254,"ET"))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SUM(COUNTIFS(Abschlüsse!$A$2:$A$254,$A4,Abschlüsse!$B$2:$B$254,$C4,Abschlüsse!$L$2:$L$254,"Tor"),COUNTIFS(Abschlüsse!$A$2:$A$254,$A4,Abschlüsse!$B$2:$B$254,$C4,Abschlüsse!$L$2:$L$254,"ET"))</f>
        <v>4</v>
      </c>
      <c r="H4" s="18">
        <f>SUM(COUNTIFS(Abschlüsse!$A$2:$A$254,$A4,Abschlüsse!$B$2:$B$254,$D4,Abschlüsse!$L$2:$L$254,"Tor"),COUNTIFS(Abschlüsse!$A$2:$A$254,$A4,Abschlüsse!$B$2:$B$254,$D4,Abschlüsse!$L$2:$L$254,"ET"))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SUM(COUNTIFS(Abschlüsse!$A$2:$A$254,$A5,Abschlüsse!$B$2:$B$254,$C5,Abschlüsse!$L$2:$L$254,"Tor"),COUNTIFS(Abschlüsse!$A$2:$A$254,$A5,Abschlüsse!$B$2:$B$254,$C5,Abschlüsse!$L$2:$L$254,"ET"))</f>
        <v>0</v>
      </c>
      <c r="H5" s="18">
        <f>SUM(COUNTIFS(Abschlüsse!$A$2:$A$254,$A5,Abschlüsse!$B$2:$B$254,$D5,Abschlüsse!$L$2:$L$254,"Tor"),COUNTIFS(Abschlüsse!$A$2:$A$254,$A5,Abschlüsse!$B$2:$B$254,$D5,Abschlüsse!$L$2:$L$254,"ET"))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SUM(COUNTIFS(Abschlüsse!$A$2:$A$254,$A6,Abschlüsse!$B$2:$B$254,$C6,Abschlüsse!$L$2:$L$254,"Tor"),COUNTIFS(Abschlüsse!$A$2:$A$254,$A6,Abschlüsse!$B$2:$B$254,$C6,Abschlüsse!$L$2:$L$254,"ET"))</f>
        <v>2</v>
      </c>
      <c r="H6" s="18">
        <f>SUM(COUNTIFS(Abschlüsse!$A$2:$A$254,$A6,Abschlüsse!$B$2:$B$254,$D6,Abschlüsse!$L$2:$L$254,"Tor"),COUNTIFS(Abschlüsse!$A$2:$A$254,$A6,Abschlüsse!$B$2:$B$254,$D6,Abschlüsse!$L$2:$L$254,"ET"))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SUM(COUNTIFS(Abschlüsse!$A$2:$A$254,$A7,Abschlüsse!$B$2:$B$254,$C7,Abschlüsse!$L$2:$L$254,"Tor"),COUNTIFS(Abschlüsse!$A$2:$A$254,$A7,Abschlüsse!$B$2:$B$254,$C7,Abschlüsse!$L$2:$L$254,"ET"))</f>
        <v>4</v>
      </c>
      <c r="H7" s="18">
        <f>SUM(COUNTIFS(Abschlüsse!$A$2:$A$254,$A7,Abschlüsse!$B$2:$B$254,$D7,Abschlüsse!$L$2:$L$254,"Tor"),COUNTIFS(Abschlüsse!$A$2:$A$254,$A7,Abschlüsse!$B$2:$B$254,$D7,Abschlüsse!$L$2:$L$254,"ET"))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SUM(COUNTIFS(Abschlüsse!$A$2:$A$254,$A8,Abschlüsse!$B$2:$B$254,$C8,Abschlüsse!$L$2:$L$254,"Tor"),COUNTIFS(Abschlüsse!$A$2:$A$254,$A8,Abschlüsse!$B$2:$B$254,$C8,Abschlüsse!$L$2:$L$254,"ET"))</f>
        <v>2</v>
      </c>
      <c r="H8" s="18">
        <f>SUM(COUNTIFS(Abschlüsse!$A$2:$A$254,$A8,Abschlüsse!$B$2:$B$254,$D8,Abschlüsse!$L$2:$L$254,"Tor"),COUNTIFS(Abschlüsse!$A$2:$A$254,$A8,Abschlüsse!$B$2:$B$254,$D8,Abschlüsse!$L$2:$L$254,"ET"))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SUM(COUNTIFS(Abschlüsse!$A$2:$A$254,$A9,Abschlüsse!$B$2:$B$254,$C9,Abschlüsse!$L$2:$L$254,"Tor"),COUNTIFS(Abschlüsse!$A$2:$A$254,$A9,Abschlüsse!$B$2:$B$254,$C9,Abschlüsse!$L$2:$L$254,"ET"))</f>
        <v>2</v>
      </c>
      <c r="H9" s="18">
        <f>SUM(COUNTIFS(Abschlüsse!$A$2:$A$254,$A9,Abschlüsse!$B$2:$B$254,$D9,Abschlüsse!$L$2:$L$254,"Tor"),COUNTIFS(Abschlüsse!$A$2:$A$254,$A9,Abschlüsse!$B$2:$B$254,$D9,Abschlüsse!$L$2:$L$254,"ET"))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SUM(COUNTIFS(Abschlüsse!$A$2:$A$254,$A10,Abschlüsse!$B$2:$B$254,$C10,Abschlüsse!$L$2:$L$254,"Tor"),COUNTIFS(Abschlüsse!$A$2:$A$254,$A10,Abschlüsse!$B$2:$B$254,$C10,Abschlüsse!$L$2:$L$254,"ET"))</f>
        <v>0</v>
      </c>
      <c r="H10" s="18">
        <f>SUM(COUNTIFS(Abschlüsse!$A$2:$A$254,$A10,Abschlüsse!$B$2:$B$254,$D10,Abschlüsse!$L$2:$L$254,"Tor"),COUNTIFS(Abschlüsse!$A$2:$A$254,$A10,Abschlüsse!$B$2:$B$254,$D10,Abschlüsse!$L$2:$L$254,"ET"))</f>
        <v>0</v>
      </c>
      <c r="I10" s="18">
        <f t="shared" si="0"/>
        <v>1</v>
      </c>
      <c r="J10" s="18">
        <f t="shared" si="1"/>
        <v>1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SUM(COUNTIFS(Abschlüsse!$A$2:$A$254,$A11,Abschlüsse!$B$2:$B$254,$C11,Abschlüsse!$L$2:$L$254,"Tor"),COUNTIFS(Abschlüsse!$A$2:$A$254,$A11,Abschlüsse!$B$2:$B$254,$C11,Abschlüsse!$L$2:$L$254,"ET"))</f>
        <v>0</v>
      </c>
      <c r="H11" s="18">
        <f>SUM(COUNTIFS(Abschlüsse!$A$2:$A$254,$A11,Abschlüsse!$B$2:$B$254,$D11,Abschlüsse!$L$2:$L$254,"Tor"),COUNTIFS(Abschlüsse!$A$2:$A$254,$A11,Abschlüsse!$B$2:$B$254,$D11,Abschlüsse!$L$2:$L$254,"ET"))</f>
        <v>0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SUM(COUNTIFS(Abschlüsse!$A$2:$A$254,$A12,Abschlüsse!$B$2:$B$254,$C12,Abschlüsse!$L$2:$L$254,"Tor"),COUNTIFS(Abschlüsse!$A$2:$A$254,$A12,Abschlüsse!$B$2:$B$254,$C12,Abschlüsse!$L$2:$L$254,"ET"))</f>
        <v>0</v>
      </c>
      <c r="H12" s="18">
        <f>SUM(COUNTIFS(Abschlüsse!$A$2:$A$254,$A12,Abschlüsse!$B$2:$B$254,$D12,Abschlüsse!$L$2:$L$254,"Tor"),COUNTIFS(Abschlüsse!$A$2:$A$254,$A12,Abschlüsse!$B$2:$B$254,$D12,Abschlüsse!$L$2:$L$254,"ET"))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SUM(COUNTIFS(Abschlüsse!$A$2:$A$254,$A13,Abschlüsse!$B$2:$B$254,$C13,Abschlüsse!$L$2:$L$254,"Tor"),COUNTIFS(Abschlüsse!$A$2:$A$254,$A13,Abschlüsse!$B$2:$B$254,$C13,Abschlüsse!$L$2:$L$254,"ET"))</f>
        <v>0</v>
      </c>
      <c r="H13" s="18">
        <f>SUM(COUNTIFS(Abschlüsse!$A$2:$A$254,$A13,Abschlüsse!$B$2:$B$254,$D13,Abschlüsse!$L$2:$L$254,"Tor"),COUNTIFS(Abschlüsse!$A$2:$A$254,$A13,Abschlüsse!$B$2:$B$254,$D13,Abschlüsse!$L$2:$L$254,"ET"))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SUM(COUNTIFS(Abschlüsse!$A$2:$A$254,$A14,Abschlüsse!$B$2:$B$254,$C14,Abschlüsse!$L$2:$L$254,"Tor"),COUNTIFS(Abschlüsse!$A$2:$A$254,$A14,Abschlüsse!$B$2:$B$254,$C14,Abschlüsse!$L$2:$L$254,"ET"))</f>
        <v>1</v>
      </c>
      <c r="H14" s="18">
        <f>SUM(COUNTIFS(Abschlüsse!$A$2:$A$254,$A14,Abschlüsse!$B$2:$B$254,$D14,Abschlüsse!$L$2:$L$254,"Tor"),COUNTIFS(Abschlüsse!$A$2:$A$254,$A14,Abschlüsse!$B$2:$B$254,$D14,Abschlüsse!$L$2:$L$254,"ET"))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SUM(COUNTIFS(Abschlüsse!$A$2:$A$254,$A15,Abschlüsse!$B$2:$B$254,$C15,Abschlüsse!$L$2:$L$254,"Tor"),COUNTIFS(Abschlüsse!$A$2:$A$254,$A15,Abschlüsse!$B$2:$B$254,$C15,Abschlüsse!$L$2:$L$254,"ET"))</f>
        <v>0</v>
      </c>
      <c r="H15" s="18">
        <f>SUM(COUNTIFS(Abschlüsse!$A$2:$A$254,$A15,Abschlüsse!$B$2:$B$254,$D15,Abschlüsse!$L$2:$L$254,"Tor"),COUNTIFS(Abschlüsse!$A$2:$A$254,$A15,Abschlüsse!$B$2:$B$254,$D15,Abschlüsse!$L$2:$L$254,"ET"))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4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203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130</v>
      </c>
      <c r="C1" s="25" t="s">
        <v>133</v>
      </c>
      <c r="D1" s="25" t="s">
        <v>134</v>
      </c>
      <c r="E1" s="25" t="s">
        <v>135</v>
      </c>
      <c r="F1" s="25" t="s">
        <v>136</v>
      </c>
      <c r="G1" s="24" t="s">
        <v>137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86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86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86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86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86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86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86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86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86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86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86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10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3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177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256"/>
  <sheetViews>
    <sheetView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178</v>
      </c>
      <c r="Y1" s="4" t="s">
        <v>179</v>
      </c>
      <c r="Z1" s="4" t="s">
        <v>180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138</v>
      </c>
      <c r="N2" s="2" t="s">
        <v>3</v>
      </c>
      <c r="O2" s="17"/>
      <c r="AA2" s="2" t="s">
        <v>139</v>
      </c>
      <c r="AB2" s="17" t="s">
        <v>141</v>
      </c>
      <c r="AC2" s="14" t="s">
        <v>142</v>
      </c>
      <c r="AD2" s="14" t="s">
        <v>143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144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145</v>
      </c>
      <c r="N3" s="2" t="s">
        <v>146</v>
      </c>
      <c r="O3" s="17">
        <v>20</v>
      </c>
      <c r="P3" s="2">
        <v>26</v>
      </c>
      <c r="Q3" s="2">
        <v>23</v>
      </c>
      <c r="R3" s="2">
        <v>20</v>
      </c>
      <c r="AA3" s="2" t="s">
        <v>140</v>
      </c>
      <c r="AB3" s="17" t="s">
        <v>147</v>
      </c>
      <c r="AC3" s="14" t="s">
        <v>148</v>
      </c>
      <c r="AD3" s="14" t="s">
        <v>143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144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145</v>
      </c>
      <c r="N4" s="2" t="s">
        <v>156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149</v>
      </c>
      <c r="AB4" s="18" t="s">
        <v>141</v>
      </c>
      <c r="AC4" s="14" t="s">
        <v>148</v>
      </c>
      <c r="AD4" s="14" t="s">
        <v>154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144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138</v>
      </c>
      <c r="N5" s="2" t="s">
        <v>3</v>
      </c>
      <c r="O5" s="17"/>
      <c r="AA5" s="2" t="s">
        <v>149</v>
      </c>
      <c r="AB5" s="17" t="s">
        <v>141</v>
      </c>
      <c r="AC5" s="14" t="s">
        <v>142</v>
      </c>
      <c r="AD5" s="14" t="s">
        <v>143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144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145</v>
      </c>
      <c r="N6" s="2" t="s">
        <v>150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149</v>
      </c>
      <c r="AB6" s="17" t="s">
        <v>141</v>
      </c>
      <c r="AC6" s="14" t="s">
        <v>148</v>
      </c>
      <c r="AD6" s="14" t="s">
        <v>143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144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145</v>
      </c>
      <c r="N7" s="2" t="s">
        <v>151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152</v>
      </c>
      <c r="AB7" s="17" t="s">
        <v>141</v>
      </c>
      <c r="AC7" s="14" t="s">
        <v>142</v>
      </c>
      <c r="AD7" s="14" t="s">
        <v>143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144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138</v>
      </c>
      <c r="N8" s="2" t="s">
        <v>153</v>
      </c>
      <c r="O8" s="17"/>
      <c r="AA8" s="2" t="s">
        <v>149</v>
      </c>
      <c r="AB8" s="17" t="s">
        <v>147</v>
      </c>
      <c r="AC8" s="14" t="s">
        <v>148</v>
      </c>
      <c r="AD8" s="14" t="s">
        <v>143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144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155</v>
      </c>
      <c r="N9" s="2" t="s">
        <v>156</v>
      </c>
      <c r="O9" s="17"/>
      <c r="AA9" s="2" t="s">
        <v>149</v>
      </c>
      <c r="AB9" s="17" t="s">
        <v>141</v>
      </c>
      <c r="AC9" s="14" t="s">
        <v>148</v>
      </c>
      <c r="AD9" s="14" t="s">
        <v>143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144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157</v>
      </c>
      <c r="N10" s="2" t="s">
        <v>157</v>
      </c>
      <c r="O10" s="17">
        <v>13</v>
      </c>
      <c r="AA10" s="2" t="s">
        <v>152</v>
      </c>
      <c r="AB10" s="17" t="s">
        <v>158</v>
      </c>
      <c r="AC10" s="14" t="s">
        <v>159</v>
      </c>
      <c r="AD10" s="14" t="s">
        <v>160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144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161</v>
      </c>
      <c r="N11" s="2" t="s">
        <v>162</v>
      </c>
      <c r="O11" s="17"/>
      <c r="AA11" s="2" t="s">
        <v>149</v>
      </c>
      <c r="AB11" s="17" t="s">
        <v>147</v>
      </c>
      <c r="AC11" s="14" t="s">
        <v>148</v>
      </c>
      <c r="AD11" s="14" t="s">
        <v>143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144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161</v>
      </c>
      <c r="N12" s="2" t="s">
        <v>163</v>
      </c>
      <c r="O12" s="17"/>
      <c r="AA12" s="2" t="s">
        <v>139</v>
      </c>
      <c r="AB12" s="17" t="s">
        <v>141</v>
      </c>
      <c r="AC12" s="14" t="s">
        <v>148</v>
      </c>
      <c r="AD12" s="14" t="s">
        <v>154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164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138</v>
      </c>
      <c r="N13" s="2" t="s">
        <v>3</v>
      </c>
      <c r="O13" s="17"/>
      <c r="AA13" s="2" t="s">
        <v>149</v>
      </c>
      <c r="AB13" s="17" t="s">
        <v>147</v>
      </c>
      <c r="AC13" s="14" t="s">
        <v>148</v>
      </c>
      <c r="AD13" s="14" t="s">
        <v>154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144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145</v>
      </c>
      <c r="N14" s="2" t="s">
        <v>146</v>
      </c>
      <c r="O14" s="17">
        <v>26</v>
      </c>
      <c r="P14" s="2">
        <v>23</v>
      </c>
      <c r="AA14" s="2" t="s">
        <v>149</v>
      </c>
      <c r="AB14" s="17" t="s">
        <v>147</v>
      </c>
      <c r="AC14" s="14" t="s">
        <v>148</v>
      </c>
      <c r="AD14" s="14" t="s">
        <v>143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144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145</v>
      </c>
      <c r="N15" s="2" t="s">
        <v>163</v>
      </c>
      <c r="O15" s="17"/>
      <c r="AA15" s="2" t="s">
        <v>139</v>
      </c>
      <c r="AB15" s="17" t="s">
        <v>141</v>
      </c>
      <c r="AC15" s="14" t="s">
        <v>148</v>
      </c>
      <c r="AD15" s="14" t="s">
        <v>143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144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161</v>
      </c>
      <c r="N16" s="2" t="s">
        <v>156</v>
      </c>
      <c r="O16" s="17">
        <v>27</v>
      </c>
      <c r="P16" s="2">
        <v>9</v>
      </c>
      <c r="Q16" s="2">
        <v>6</v>
      </c>
      <c r="AA16" s="2" t="s">
        <v>149</v>
      </c>
      <c r="AB16" s="17" t="s">
        <v>147</v>
      </c>
      <c r="AC16" s="14" t="s">
        <v>148</v>
      </c>
      <c r="AD16" s="14" t="s">
        <v>154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144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145</v>
      </c>
      <c r="N17" s="2" t="s">
        <v>146</v>
      </c>
      <c r="O17" s="17">
        <v>6</v>
      </c>
      <c r="P17" s="2">
        <v>1</v>
      </c>
      <c r="Q17" s="2">
        <v>6</v>
      </c>
      <c r="AA17" s="2" t="s">
        <v>149</v>
      </c>
      <c r="AB17" s="17" t="s">
        <v>141</v>
      </c>
      <c r="AC17" s="14" t="s">
        <v>148</v>
      </c>
      <c r="AD17" s="14" t="s">
        <v>154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144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138</v>
      </c>
      <c r="N18" s="2" t="s">
        <v>156</v>
      </c>
      <c r="O18" s="17"/>
      <c r="AA18" s="2" t="s">
        <v>140</v>
      </c>
      <c r="AB18" s="17" t="s">
        <v>141</v>
      </c>
      <c r="AC18" s="14" t="s">
        <v>148</v>
      </c>
      <c r="AD18" s="14" t="s">
        <v>154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144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161</v>
      </c>
      <c r="N19" s="2" t="s">
        <v>165</v>
      </c>
      <c r="O19" s="17"/>
      <c r="AA19" s="2" t="s">
        <v>149</v>
      </c>
      <c r="AB19" s="17" t="s">
        <v>141</v>
      </c>
      <c r="AC19" s="14" t="s">
        <v>148</v>
      </c>
      <c r="AD19" s="14" t="s">
        <v>143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144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161</v>
      </c>
      <c r="N20" s="2" t="s">
        <v>162</v>
      </c>
      <c r="O20" s="17"/>
      <c r="AA20" s="2" t="s">
        <v>149</v>
      </c>
      <c r="AB20" s="17" t="s">
        <v>141</v>
      </c>
      <c r="AC20" s="14" t="s">
        <v>148</v>
      </c>
      <c r="AD20" s="14" t="s">
        <v>143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144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161</v>
      </c>
      <c r="N21" s="2" t="s">
        <v>162</v>
      </c>
      <c r="O21" s="17">
        <v>8</v>
      </c>
      <c r="AA21" s="2" t="s">
        <v>149</v>
      </c>
      <c r="AB21" s="17" t="s">
        <v>147</v>
      </c>
      <c r="AC21" s="14" t="s">
        <v>148</v>
      </c>
      <c r="AD21" s="14" t="s">
        <v>154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144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161</v>
      </c>
      <c r="N22" s="2" t="s">
        <v>162</v>
      </c>
      <c r="O22" s="17">
        <v>8</v>
      </c>
      <c r="AA22" s="2" t="s">
        <v>149</v>
      </c>
      <c r="AB22" s="17" t="s">
        <v>141</v>
      </c>
      <c r="AC22" s="14" t="s">
        <v>148</v>
      </c>
      <c r="AD22" s="14" t="s">
        <v>154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144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145</v>
      </c>
      <c r="N23" s="2" t="s">
        <v>156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140</v>
      </c>
      <c r="AB23" s="17" t="s">
        <v>147</v>
      </c>
      <c r="AC23" s="14" t="s">
        <v>148</v>
      </c>
      <c r="AD23" s="14" t="s">
        <v>154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144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161</v>
      </c>
      <c r="N24" s="2" t="s">
        <v>162</v>
      </c>
      <c r="O24" s="17">
        <v>25</v>
      </c>
      <c r="P24" s="2">
        <v>8</v>
      </c>
      <c r="Q24" s="2">
        <v>1</v>
      </c>
      <c r="AA24" s="2" t="s">
        <v>149</v>
      </c>
      <c r="AB24" s="17" t="s">
        <v>147</v>
      </c>
      <c r="AC24" s="14" t="s">
        <v>148</v>
      </c>
      <c r="AD24" s="14" t="s">
        <v>143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144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155</v>
      </c>
      <c r="N25" s="2" t="s">
        <v>156</v>
      </c>
      <c r="O25" s="17"/>
      <c r="AA25" s="2" t="s">
        <v>149</v>
      </c>
      <c r="AB25" s="17" t="s">
        <v>147</v>
      </c>
      <c r="AC25" s="14" t="s">
        <v>148</v>
      </c>
      <c r="AD25" s="14" t="s">
        <v>154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144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166</v>
      </c>
      <c r="N26" s="2" t="s">
        <v>3</v>
      </c>
      <c r="O26" s="17"/>
      <c r="AA26" s="2" t="s">
        <v>152</v>
      </c>
      <c r="AB26" s="17" t="s">
        <v>158</v>
      </c>
      <c r="AC26" s="14" t="s">
        <v>159</v>
      </c>
      <c r="AD26" s="14" t="s">
        <v>143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167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161</v>
      </c>
      <c r="N27" s="2" t="s">
        <v>3</v>
      </c>
      <c r="O27" s="17"/>
      <c r="AA27" s="2" t="s">
        <v>140</v>
      </c>
      <c r="AB27" s="17" t="s">
        <v>141</v>
      </c>
      <c r="AC27" s="14" t="s">
        <v>148</v>
      </c>
      <c r="AD27" s="14" t="s">
        <v>143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144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161</v>
      </c>
      <c r="N28" s="2" t="s">
        <v>156</v>
      </c>
      <c r="O28" s="17"/>
      <c r="AA28" s="2" t="s">
        <v>149</v>
      </c>
      <c r="AB28" s="17" t="s">
        <v>141</v>
      </c>
      <c r="AC28" s="14" t="s">
        <v>148</v>
      </c>
      <c r="AD28" s="14" t="s">
        <v>143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144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145</v>
      </c>
      <c r="N29" s="2" t="s">
        <v>170</v>
      </c>
      <c r="O29" s="17">
        <v>13</v>
      </c>
      <c r="P29" s="2">
        <v>8</v>
      </c>
      <c r="Q29" s="2">
        <v>20</v>
      </c>
      <c r="AA29" s="2" t="s">
        <v>140</v>
      </c>
      <c r="AB29" s="17" t="s">
        <v>147</v>
      </c>
      <c r="AC29" s="14" t="s">
        <v>148</v>
      </c>
      <c r="AD29" s="14" t="s">
        <v>154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144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145</v>
      </c>
      <c r="N30" s="2" t="s">
        <v>170</v>
      </c>
      <c r="O30" s="17"/>
      <c r="AA30" s="22" t="s">
        <v>140</v>
      </c>
      <c r="AB30" s="18" t="s">
        <v>147</v>
      </c>
      <c r="AC30" s="14" t="s">
        <v>148</v>
      </c>
      <c r="AD30" s="14" t="s">
        <v>143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167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145</v>
      </c>
      <c r="N31" s="2" t="s">
        <v>163</v>
      </c>
      <c r="O31" s="17"/>
      <c r="AA31" s="2" t="s">
        <v>139</v>
      </c>
      <c r="AB31" s="17" t="s">
        <v>141</v>
      </c>
      <c r="AC31" s="14" t="s">
        <v>142</v>
      </c>
      <c r="AD31" s="14" t="s">
        <v>143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167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171</v>
      </c>
      <c r="N32" s="2" t="s">
        <v>171</v>
      </c>
      <c r="O32" s="17">
        <v>8</v>
      </c>
      <c r="AA32" s="2" t="s">
        <v>152</v>
      </c>
      <c r="AB32" s="17" t="s">
        <v>158</v>
      </c>
      <c r="AC32" s="14" t="s">
        <v>159</v>
      </c>
      <c r="AD32" s="14" t="s">
        <v>160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144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157</v>
      </c>
      <c r="N33" s="2" t="s">
        <v>156</v>
      </c>
      <c r="O33" s="17">
        <v>27</v>
      </c>
      <c r="P33" s="2">
        <v>13</v>
      </c>
      <c r="AA33" s="2" t="s">
        <v>152</v>
      </c>
      <c r="AB33" s="17" t="s">
        <v>141</v>
      </c>
      <c r="AC33" s="14" t="s">
        <v>142</v>
      </c>
      <c r="AD33" s="14" t="s">
        <v>154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144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172</v>
      </c>
      <c r="O34" s="17"/>
      <c r="AA34" s="2" t="s">
        <v>140</v>
      </c>
      <c r="AB34" s="17" t="s">
        <v>141</v>
      </c>
      <c r="AC34" s="14" t="s">
        <v>148</v>
      </c>
      <c r="AD34" s="14" t="s">
        <v>143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144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172</v>
      </c>
      <c r="O35" s="17"/>
      <c r="AA35" s="2" t="s">
        <v>140</v>
      </c>
      <c r="AB35" s="17" t="s">
        <v>141</v>
      </c>
      <c r="AC35" s="14" t="s">
        <v>148</v>
      </c>
      <c r="AD35" s="14" t="s">
        <v>143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144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161</v>
      </c>
      <c r="N36" s="2" t="s">
        <v>165</v>
      </c>
      <c r="O36" s="17"/>
      <c r="AA36" s="2" t="s">
        <v>139</v>
      </c>
      <c r="AB36" s="17" t="s">
        <v>141</v>
      </c>
      <c r="AC36" s="14" t="s">
        <v>142</v>
      </c>
      <c r="AD36" s="14" t="s">
        <v>154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144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171</v>
      </c>
      <c r="N37" s="2" t="s">
        <v>171</v>
      </c>
      <c r="O37" s="17"/>
      <c r="AA37" s="2" t="s">
        <v>139</v>
      </c>
      <c r="AB37" s="17" t="s">
        <v>141</v>
      </c>
      <c r="AC37" s="14" t="s">
        <v>142</v>
      </c>
      <c r="AD37" s="14" t="s">
        <v>160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144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161</v>
      </c>
      <c r="N38" s="2" t="s">
        <v>146</v>
      </c>
      <c r="O38" s="17">
        <v>27</v>
      </c>
      <c r="P38" s="2">
        <v>8</v>
      </c>
      <c r="Q38" s="2">
        <v>5</v>
      </c>
      <c r="AA38" s="2" t="s">
        <v>149</v>
      </c>
      <c r="AB38" s="17" t="s">
        <v>147</v>
      </c>
      <c r="AC38" s="14" t="s">
        <v>142</v>
      </c>
      <c r="AD38" s="14" t="s">
        <v>154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164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145</v>
      </c>
      <c r="N39" s="2" t="s">
        <v>151</v>
      </c>
      <c r="O39" s="17">
        <v>13</v>
      </c>
      <c r="P39" s="2">
        <v>19</v>
      </c>
      <c r="Q39" s="2">
        <v>20</v>
      </c>
      <c r="AA39" s="2" t="s">
        <v>152</v>
      </c>
      <c r="AB39" s="17" t="s">
        <v>158</v>
      </c>
      <c r="AC39" s="14" t="s">
        <v>159</v>
      </c>
      <c r="AD39" s="14" t="s">
        <v>143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144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145</v>
      </c>
      <c r="N40" s="2" t="s">
        <v>162</v>
      </c>
      <c r="O40" s="17">
        <v>8</v>
      </c>
      <c r="P40" s="2">
        <v>20</v>
      </c>
      <c r="Q40" s="2">
        <v>19</v>
      </c>
      <c r="R40" s="2">
        <v>13</v>
      </c>
      <c r="AA40" s="2" t="s">
        <v>149</v>
      </c>
      <c r="AB40" s="17" t="s">
        <v>141</v>
      </c>
      <c r="AC40" s="14" t="s">
        <v>148</v>
      </c>
      <c r="AD40" s="14" t="s">
        <v>154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144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145</v>
      </c>
      <c r="N41" s="2" t="s">
        <v>156</v>
      </c>
      <c r="O41" s="17"/>
      <c r="AA41" s="2" t="s">
        <v>149</v>
      </c>
      <c r="AB41" s="17" t="s">
        <v>141</v>
      </c>
      <c r="AC41" s="14" t="s">
        <v>142</v>
      </c>
      <c r="AD41" s="14" t="s">
        <v>143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144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161</v>
      </c>
      <c r="N42" s="2" t="s">
        <v>162</v>
      </c>
      <c r="O42" s="17"/>
      <c r="AA42" s="2" t="s">
        <v>149</v>
      </c>
      <c r="AB42" s="17" t="s">
        <v>141</v>
      </c>
      <c r="AC42" s="14" t="s">
        <v>148</v>
      </c>
      <c r="AD42" s="14" t="s">
        <v>154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144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166</v>
      </c>
      <c r="N43" s="2" t="s">
        <v>151</v>
      </c>
      <c r="O43" s="17">
        <v>20</v>
      </c>
      <c r="P43" s="2">
        <v>8</v>
      </c>
      <c r="Q43" s="2">
        <v>20</v>
      </c>
      <c r="AA43" s="2" t="s">
        <v>152</v>
      </c>
      <c r="AB43" s="17" t="s">
        <v>158</v>
      </c>
      <c r="AC43" s="14" t="s">
        <v>159</v>
      </c>
      <c r="AD43" s="14" t="s">
        <v>154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144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145</v>
      </c>
      <c r="N44" s="2" t="s">
        <v>156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140</v>
      </c>
      <c r="AB44" s="17" t="s">
        <v>141</v>
      </c>
      <c r="AC44" s="14" t="s">
        <v>148</v>
      </c>
      <c r="AD44" s="14" t="s">
        <v>143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144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161</v>
      </c>
      <c r="N45" s="2" t="s">
        <v>162</v>
      </c>
      <c r="O45" s="17">
        <v>13</v>
      </c>
      <c r="P45" s="2">
        <v>19</v>
      </c>
      <c r="AA45" s="2" t="s">
        <v>149</v>
      </c>
      <c r="AB45" s="17" t="s">
        <v>141</v>
      </c>
      <c r="AC45" s="14" t="s">
        <v>148</v>
      </c>
      <c r="AD45" s="14" t="s">
        <v>154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144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161</v>
      </c>
      <c r="N46" s="2" t="s">
        <v>150</v>
      </c>
      <c r="O46" s="17">
        <v>8</v>
      </c>
      <c r="P46" s="2">
        <v>18</v>
      </c>
      <c r="Q46" s="2">
        <v>23</v>
      </c>
      <c r="R46" s="2">
        <v>5</v>
      </c>
      <c r="AA46" s="2" t="s">
        <v>140</v>
      </c>
      <c r="AB46" s="17" t="s">
        <v>141</v>
      </c>
      <c r="AC46" s="14" t="s">
        <v>148</v>
      </c>
      <c r="AD46" s="14" t="s">
        <v>154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144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168</v>
      </c>
      <c r="M47" s="2" t="s">
        <v>173</v>
      </c>
      <c r="N47" s="2" t="s">
        <v>3</v>
      </c>
      <c r="O47" s="17"/>
      <c r="AA47" s="2" t="s">
        <v>139</v>
      </c>
      <c r="AB47" s="17" t="s">
        <v>141</v>
      </c>
      <c r="AC47" s="14" t="s">
        <v>142</v>
      </c>
      <c r="AD47" s="14" t="s">
        <v>143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144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161</v>
      </c>
      <c r="N48" s="2" t="s">
        <v>156</v>
      </c>
      <c r="O48" s="17">
        <v>26</v>
      </c>
      <c r="P48" s="2">
        <v>13</v>
      </c>
      <c r="AA48" s="2" t="s">
        <v>149</v>
      </c>
      <c r="AB48" s="17" t="s">
        <v>141</v>
      </c>
      <c r="AC48" s="14" t="s">
        <v>148</v>
      </c>
      <c r="AD48" s="14" t="s">
        <v>143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144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171</v>
      </c>
      <c r="N49" s="2" t="s">
        <v>174</v>
      </c>
      <c r="O49" s="17">
        <v>9</v>
      </c>
      <c r="P49" s="2">
        <v>8</v>
      </c>
      <c r="AA49" s="2" t="s">
        <v>139</v>
      </c>
      <c r="AB49" s="17" t="s">
        <v>158</v>
      </c>
      <c r="AC49" s="14" t="s">
        <v>159</v>
      </c>
      <c r="AD49" s="14" t="s">
        <v>143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167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161</v>
      </c>
      <c r="N50" s="2" t="s">
        <v>156</v>
      </c>
      <c r="O50" s="17"/>
      <c r="AA50" s="2" t="s">
        <v>140</v>
      </c>
      <c r="AB50" s="17" t="s">
        <v>147</v>
      </c>
      <c r="AC50" s="14" t="s">
        <v>148</v>
      </c>
      <c r="AD50" s="14" t="s">
        <v>143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144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161</v>
      </c>
      <c r="N51" s="2" t="s">
        <v>162</v>
      </c>
      <c r="O51" s="17"/>
      <c r="AA51" s="2" t="s">
        <v>149</v>
      </c>
      <c r="AB51" s="17" t="s">
        <v>141</v>
      </c>
      <c r="AC51" s="14" t="s">
        <v>148</v>
      </c>
      <c r="AD51" s="14" t="s">
        <v>154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144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161</v>
      </c>
      <c r="N52" s="2" t="s">
        <v>156</v>
      </c>
      <c r="O52" s="17"/>
      <c r="AA52" s="22" t="s">
        <v>140</v>
      </c>
      <c r="AB52" s="18" t="s">
        <v>141</v>
      </c>
      <c r="AC52" s="14" t="s">
        <v>148</v>
      </c>
      <c r="AD52" s="14" t="s">
        <v>143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144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145</v>
      </c>
      <c r="N53" s="2" t="s">
        <v>3</v>
      </c>
      <c r="O53" s="17"/>
      <c r="AA53" s="2" t="s">
        <v>149</v>
      </c>
      <c r="AB53" s="17" t="s">
        <v>147</v>
      </c>
      <c r="AC53" s="14" t="s">
        <v>148</v>
      </c>
      <c r="AD53" s="14" t="s">
        <v>143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144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175</v>
      </c>
      <c r="O54" s="17"/>
      <c r="AA54" s="2" t="s">
        <v>140</v>
      </c>
      <c r="AB54" s="17" t="s">
        <v>141</v>
      </c>
      <c r="AC54" s="14" t="s">
        <v>148</v>
      </c>
      <c r="AD54" s="14" t="s">
        <v>143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144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145</v>
      </c>
      <c r="N55" s="2" t="s">
        <v>156</v>
      </c>
      <c r="O55" s="17">
        <v>9</v>
      </c>
      <c r="AA55" s="2" t="s">
        <v>149</v>
      </c>
      <c r="AB55" s="17" t="s">
        <v>141</v>
      </c>
      <c r="AC55" s="14" t="s">
        <v>148</v>
      </c>
      <c r="AD55" s="14" t="s">
        <v>154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144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161</v>
      </c>
      <c r="N56" s="2" t="s">
        <v>156</v>
      </c>
      <c r="O56" s="17"/>
      <c r="AA56" s="2" t="s">
        <v>140</v>
      </c>
      <c r="AB56" s="17" t="s">
        <v>141</v>
      </c>
      <c r="AC56" s="14" t="s">
        <v>148</v>
      </c>
      <c r="AD56" s="14" t="s">
        <v>143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144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161</v>
      </c>
      <c r="N57" s="2" t="s">
        <v>146</v>
      </c>
      <c r="O57" s="17"/>
      <c r="AA57" s="2" t="s">
        <v>139</v>
      </c>
      <c r="AB57" s="17" t="s">
        <v>141</v>
      </c>
      <c r="AC57" s="14" t="s">
        <v>142</v>
      </c>
      <c r="AD57" s="14" t="s">
        <v>143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144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161</v>
      </c>
      <c r="N58" s="2" t="s">
        <v>162</v>
      </c>
      <c r="O58" s="17"/>
      <c r="AA58" s="2" t="s">
        <v>149</v>
      </c>
      <c r="AB58" s="17" t="s">
        <v>147</v>
      </c>
      <c r="AC58" s="14" t="s">
        <v>148</v>
      </c>
      <c r="AD58" s="14" t="s">
        <v>143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144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161</v>
      </c>
      <c r="N59" s="2" t="s">
        <v>156</v>
      </c>
      <c r="O59" s="17"/>
      <c r="AA59" s="2" t="s">
        <v>149</v>
      </c>
      <c r="AB59" s="17" t="s">
        <v>147</v>
      </c>
      <c r="AC59" s="14" t="s">
        <v>148</v>
      </c>
      <c r="AD59" s="14" t="s">
        <v>143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144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161</v>
      </c>
      <c r="N60" s="2" t="s">
        <v>176</v>
      </c>
      <c r="O60" s="17"/>
      <c r="AA60" s="2" t="s">
        <v>140</v>
      </c>
      <c r="AB60" s="17" t="s">
        <v>147</v>
      </c>
      <c r="AC60" s="14" t="s">
        <v>148</v>
      </c>
      <c r="AD60" s="14" t="s">
        <v>154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167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172</v>
      </c>
      <c r="O61" s="17"/>
      <c r="AA61" s="2" t="s">
        <v>140</v>
      </c>
      <c r="AB61" s="17" t="s">
        <v>147</v>
      </c>
      <c r="AC61" s="14" t="s">
        <v>148</v>
      </c>
      <c r="AD61" s="14" t="s">
        <v>143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144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145</v>
      </c>
      <c r="N62" s="2" t="s">
        <v>150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140</v>
      </c>
      <c r="AB62" s="17" t="s">
        <v>141</v>
      </c>
      <c r="AC62" s="14" t="s">
        <v>148</v>
      </c>
      <c r="AD62" s="14" t="s">
        <v>154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144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161</v>
      </c>
      <c r="N63" s="2" t="s">
        <v>162</v>
      </c>
      <c r="O63" s="17">
        <v>8</v>
      </c>
      <c r="P63" s="2">
        <v>7</v>
      </c>
      <c r="Q63" s="2">
        <v>6</v>
      </c>
      <c r="AA63" s="2" t="s">
        <v>149</v>
      </c>
      <c r="AB63" s="17" t="s">
        <v>141</v>
      </c>
      <c r="AC63" s="14" t="s">
        <v>148</v>
      </c>
      <c r="AD63" s="14" t="s">
        <v>154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144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145</v>
      </c>
      <c r="N64" s="2" t="s">
        <v>3</v>
      </c>
      <c r="O64" s="17"/>
      <c r="AA64" s="2" t="s">
        <v>149</v>
      </c>
      <c r="AB64" s="17" t="s">
        <v>147</v>
      </c>
      <c r="AC64" s="14" t="s">
        <v>148</v>
      </c>
      <c r="AD64" s="14" t="s">
        <v>154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144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161</v>
      </c>
      <c r="N65" s="2" t="s">
        <v>176</v>
      </c>
      <c r="O65" s="17"/>
      <c r="AA65" s="2" t="s">
        <v>140</v>
      </c>
      <c r="AB65" s="17" t="s">
        <v>141</v>
      </c>
      <c r="AC65" s="14" t="s">
        <v>148</v>
      </c>
      <c r="AD65" s="14" t="s">
        <v>154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144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145</v>
      </c>
      <c r="N66" s="2" t="s">
        <v>151</v>
      </c>
      <c r="O66" s="17"/>
      <c r="AA66" s="2" t="s">
        <v>152</v>
      </c>
      <c r="AB66" s="17" t="s">
        <v>158</v>
      </c>
      <c r="AC66" s="14" t="s">
        <v>159</v>
      </c>
      <c r="AD66" s="14" t="s">
        <v>154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144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161</v>
      </c>
      <c r="N67" s="2" t="s">
        <v>151</v>
      </c>
      <c r="O67" s="17"/>
      <c r="AA67" s="2" t="s">
        <v>152</v>
      </c>
      <c r="AB67" s="17" t="s">
        <v>158</v>
      </c>
      <c r="AC67" s="14" t="s">
        <v>159</v>
      </c>
      <c r="AD67" s="14" t="s">
        <v>154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144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161</v>
      </c>
      <c r="N68" s="2" t="s">
        <v>156</v>
      </c>
      <c r="O68" s="17">
        <v>8</v>
      </c>
      <c r="AA68" s="2" t="s">
        <v>140</v>
      </c>
      <c r="AB68" s="17" t="s">
        <v>141</v>
      </c>
      <c r="AC68" s="14" t="s">
        <v>148</v>
      </c>
      <c r="AD68" s="14" t="s">
        <v>154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144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161</v>
      </c>
      <c r="N69" s="2" t="s">
        <v>162</v>
      </c>
      <c r="O69" s="17">
        <v>8</v>
      </c>
      <c r="P69" s="2">
        <v>21</v>
      </c>
      <c r="Q69" s="2">
        <v>20</v>
      </c>
      <c r="AA69" s="2" t="s">
        <v>149</v>
      </c>
      <c r="AB69" s="17" t="s">
        <v>147</v>
      </c>
      <c r="AC69" s="14" t="s">
        <v>148</v>
      </c>
      <c r="AD69" s="14" t="s">
        <v>154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144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155</v>
      </c>
      <c r="N70" s="2" t="s">
        <v>162</v>
      </c>
      <c r="O70" s="17"/>
      <c r="AA70" s="2" t="s">
        <v>149</v>
      </c>
      <c r="AB70" s="17" t="s">
        <v>147</v>
      </c>
      <c r="AC70" s="14" t="s">
        <v>148</v>
      </c>
      <c r="AD70" s="14" t="s">
        <v>143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144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172</v>
      </c>
      <c r="O71" s="17"/>
      <c r="AA71" s="2" t="s">
        <v>140</v>
      </c>
      <c r="AB71" s="17" t="s">
        <v>141</v>
      </c>
      <c r="AC71" s="14" t="s">
        <v>148</v>
      </c>
      <c r="AD71" s="14" t="s">
        <v>143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144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145</v>
      </c>
      <c r="N72" s="2" t="s">
        <v>151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139</v>
      </c>
      <c r="AB72" s="17" t="s">
        <v>141</v>
      </c>
      <c r="AC72" s="14" t="s">
        <v>142</v>
      </c>
      <c r="AD72" s="14" t="s">
        <v>143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167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161</v>
      </c>
      <c r="N73" s="2" t="s">
        <v>3</v>
      </c>
      <c r="O73" s="17"/>
      <c r="AA73" s="2" t="s">
        <v>152</v>
      </c>
      <c r="AB73" s="17" t="s">
        <v>141</v>
      </c>
      <c r="AC73" s="14" t="s">
        <v>142</v>
      </c>
      <c r="AD73" s="14" t="s">
        <v>143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144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145</v>
      </c>
      <c r="N74" s="2" t="s">
        <v>150</v>
      </c>
      <c r="O74" s="17"/>
      <c r="AA74" s="2" t="s">
        <v>149</v>
      </c>
      <c r="AB74" s="17" t="s">
        <v>147</v>
      </c>
      <c r="AC74" s="14" t="s">
        <v>148</v>
      </c>
      <c r="AD74" s="14" t="s">
        <v>154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144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161</v>
      </c>
      <c r="N75" s="2" t="s">
        <v>3</v>
      </c>
      <c r="O75" s="17"/>
      <c r="AA75" s="2" t="s">
        <v>149</v>
      </c>
      <c r="AB75" s="17" t="s">
        <v>147</v>
      </c>
      <c r="AC75" s="14" t="s">
        <v>148</v>
      </c>
      <c r="AD75" s="14" t="s">
        <v>143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144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161</v>
      </c>
      <c r="N76" s="2" t="s">
        <v>3</v>
      </c>
      <c r="O76" s="17"/>
      <c r="AA76" s="2" t="s">
        <v>149</v>
      </c>
      <c r="AB76" s="17" t="s">
        <v>141</v>
      </c>
      <c r="AC76" s="14" t="s">
        <v>148</v>
      </c>
      <c r="AD76" s="14" t="s">
        <v>154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144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161</v>
      </c>
      <c r="N77" s="2" t="s">
        <v>176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140</v>
      </c>
      <c r="AB77" s="17" t="s">
        <v>147</v>
      </c>
      <c r="AC77" s="14" t="s">
        <v>148</v>
      </c>
      <c r="AD77" s="14" t="s">
        <v>154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144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161</v>
      </c>
      <c r="N78" s="2" t="s">
        <v>156</v>
      </c>
      <c r="O78" s="17">
        <v>10</v>
      </c>
      <c r="AA78" s="2" t="s">
        <v>149</v>
      </c>
      <c r="AB78" s="17" t="s">
        <v>147</v>
      </c>
      <c r="AC78" s="14" t="s">
        <v>148</v>
      </c>
      <c r="AD78" s="14" t="s">
        <v>143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144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166</v>
      </c>
      <c r="N79" s="2" t="s">
        <v>156</v>
      </c>
      <c r="O79" s="17">
        <v>18</v>
      </c>
      <c r="AA79" s="2" t="s">
        <v>140</v>
      </c>
      <c r="AB79" s="17" t="s">
        <v>141</v>
      </c>
      <c r="AC79" s="14" t="s">
        <v>148</v>
      </c>
      <c r="AD79" s="14" t="s">
        <v>154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144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145</v>
      </c>
      <c r="N80" s="2" t="s">
        <v>146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140</v>
      </c>
      <c r="AB80" s="17" t="s">
        <v>147</v>
      </c>
      <c r="AC80" s="14" t="s">
        <v>148</v>
      </c>
      <c r="AD80" s="14" t="s">
        <v>154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144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145</v>
      </c>
      <c r="N81" s="2" t="s">
        <v>150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140</v>
      </c>
      <c r="AB81" s="17" t="s">
        <v>141</v>
      </c>
      <c r="AC81" s="14" t="s">
        <v>148</v>
      </c>
      <c r="AD81" s="14" t="s">
        <v>154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144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161</v>
      </c>
      <c r="N82" s="2" t="s">
        <v>151</v>
      </c>
      <c r="O82" s="17">
        <v>11</v>
      </c>
      <c r="P82" s="2">
        <v>10</v>
      </c>
      <c r="Q82" s="2">
        <v>19</v>
      </c>
      <c r="R82" s="2">
        <v>11</v>
      </c>
      <c r="AA82" s="2" t="s">
        <v>152</v>
      </c>
      <c r="AB82" s="17" t="s">
        <v>158</v>
      </c>
      <c r="AC82" s="14" t="s">
        <v>159</v>
      </c>
      <c r="AD82" s="14" t="s">
        <v>143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144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161</v>
      </c>
      <c r="N83" s="2" t="s">
        <v>156</v>
      </c>
      <c r="O83" s="17">
        <v>10</v>
      </c>
      <c r="AA83" s="2" t="s">
        <v>149</v>
      </c>
      <c r="AB83" s="17" t="s">
        <v>141</v>
      </c>
      <c r="AC83" s="14" t="s">
        <v>148</v>
      </c>
      <c r="AD83" s="14" t="s">
        <v>143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144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171</v>
      </c>
      <c r="N84" s="2" t="s">
        <v>156</v>
      </c>
      <c r="O84" s="17">
        <v>7</v>
      </c>
      <c r="P84" s="2">
        <v>8</v>
      </c>
      <c r="AA84" s="2" t="s">
        <v>152</v>
      </c>
      <c r="AB84" s="17" t="s">
        <v>141</v>
      </c>
      <c r="AC84" s="14" t="s">
        <v>142</v>
      </c>
      <c r="AD84" s="14" t="s">
        <v>143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164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145</v>
      </c>
      <c r="N85" s="2" t="s">
        <v>162</v>
      </c>
      <c r="O85" s="17">
        <v>23</v>
      </c>
      <c r="P85" s="2">
        <v>19</v>
      </c>
      <c r="Q85" s="2">
        <v>6</v>
      </c>
      <c r="AA85" s="2" t="s">
        <v>149</v>
      </c>
      <c r="AB85" s="17" t="s">
        <v>141</v>
      </c>
      <c r="AC85" s="14" t="s">
        <v>148</v>
      </c>
      <c r="AD85" s="14" t="s">
        <v>143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144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145</v>
      </c>
      <c r="N86" s="2" t="s">
        <v>156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149</v>
      </c>
      <c r="AB86" s="17" t="s">
        <v>141</v>
      </c>
      <c r="AC86" s="14" t="s">
        <v>148</v>
      </c>
      <c r="AD86" s="14" t="s">
        <v>143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144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145</v>
      </c>
      <c r="N87" s="2" t="s">
        <v>151</v>
      </c>
      <c r="O87" s="17">
        <v>10</v>
      </c>
      <c r="P87" s="2">
        <v>7</v>
      </c>
      <c r="AA87" s="2" t="s">
        <v>152</v>
      </c>
      <c r="AB87" s="17" t="s">
        <v>158</v>
      </c>
      <c r="AC87" s="14" t="s">
        <v>159</v>
      </c>
      <c r="AD87" s="14" t="s">
        <v>154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144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145</v>
      </c>
      <c r="N88" s="2" t="s">
        <v>146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139</v>
      </c>
      <c r="AB88" s="17" t="s">
        <v>141</v>
      </c>
      <c r="AC88" s="14" t="s">
        <v>142</v>
      </c>
      <c r="AD88" s="14" t="s">
        <v>143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144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145</v>
      </c>
      <c r="N89" s="2" t="s">
        <v>162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149</v>
      </c>
      <c r="AB89" s="17" t="s">
        <v>141</v>
      </c>
      <c r="AC89" s="14" t="s">
        <v>148</v>
      </c>
      <c r="AD89" s="14" t="s">
        <v>143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144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145</v>
      </c>
      <c r="N90" s="2" t="s">
        <v>163</v>
      </c>
      <c r="O90" s="17"/>
      <c r="AA90" s="2" t="s">
        <v>140</v>
      </c>
      <c r="AB90" s="17" t="s">
        <v>141</v>
      </c>
      <c r="AC90" s="14" t="s">
        <v>148</v>
      </c>
      <c r="AD90" s="14" t="s">
        <v>143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144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145</v>
      </c>
      <c r="N91" s="2" t="s">
        <v>156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149</v>
      </c>
      <c r="AB91" s="17" t="s">
        <v>141</v>
      </c>
      <c r="AC91" s="14" t="s">
        <v>148</v>
      </c>
      <c r="AD91" s="14" t="s">
        <v>154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144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145</v>
      </c>
      <c r="N92" s="2" t="s">
        <v>156</v>
      </c>
      <c r="O92" s="17">
        <v>23</v>
      </c>
      <c r="AA92" s="2" t="s">
        <v>149</v>
      </c>
      <c r="AB92" s="17" t="s">
        <v>141</v>
      </c>
      <c r="AC92" s="14" t="s">
        <v>148</v>
      </c>
      <c r="AD92" s="14" t="s">
        <v>143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144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166</v>
      </c>
      <c r="N93" s="2" t="s">
        <v>3</v>
      </c>
      <c r="O93" s="17"/>
      <c r="AA93" s="2" t="s">
        <v>139</v>
      </c>
      <c r="AB93" s="17" t="s">
        <v>141</v>
      </c>
      <c r="AC93" s="14" t="s">
        <v>142</v>
      </c>
      <c r="AD93" s="14" t="s">
        <v>143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167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145</v>
      </c>
      <c r="N94" s="2" t="s">
        <v>156</v>
      </c>
      <c r="O94" s="17"/>
      <c r="AA94" s="2" t="s">
        <v>149</v>
      </c>
      <c r="AB94" s="17" t="s">
        <v>141</v>
      </c>
      <c r="AC94" s="14" t="s">
        <v>148</v>
      </c>
      <c r="AD94" s="14" t="s">
        <v>154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144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145</v>
      </c>
      <c r="N95" s="2" t="s">
        <v>3</v>
      </c>
      <c r="O95" s="17"/>
      <c r="AA95" s="2" t="s">
        <v>149</v>
      </c>
      <c r="AB95" s="17" t="s">
        <v>147</v>
      </c>
      <c r="AC95" s="14" t="s">
        <v>148</v>
      </c>
      <c r="AD95" s="14" t="s">
        <v>143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144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171</v>
      </c>
      <c r="N96" s="2" t="s">
        <v>171</v>
      </c>
      <c r="O96" s="17"/>
      <c r="AA96" s="2" t="s">
        <v>152</v>
      </c>
      <c r="AB96" s="17" t="s">
        <v>158</v>
      </c>
      <c r="AC96" s="14" t="s">
        <v>159</v>
      </c>
      <c r="AD96" s="14" t="s">
        <v>154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144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145</v>
      </c>
      <c r="N97" s="2" t="s">
        <v>3</v>
      </c>
      <c r="O97" s="17"/>
      <c r="AA97" s="2" t="s">
        <v>139</v>
      </c>
      <c r="AB97" s="17" t="s">
        <v>141</v>
      </c>
      <c r="AC97" s="14" t="s">
        <v>142</v>
      </c>
      <c r="AD97" s="14" t="s">
        <v>143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144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145</v>
      </c>
      <c r="N98" s="2" t="s">
        <v>162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149</v>
      </c>
      <c r="AB98" s="17" t="s">
        <v>141</v>
      </c>
      <c r="AC98" s="14" t="s">
        <v>148</v>
      </c>
      <c r="AD98" s="14" t="s">
        <v>154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144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161</v>
      </c>
      <c r="N99" s="2" t="s">
        <v>156</v>
      </c>
      <c r="O99" s="17">
        <v>5</v>
      </c>
      <c r="AA99" s="2" t="s">
        <v>149</v>
      </c>
      <c r="AB99" s="17" t="s">
        <v>147</v>
      </c>
      <c r="AC99" s="14" t="s">
        <v>148</v>
      </c>
      <c r="AD99" s="14" t="s">
        <v>143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144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145</v>
      </c>
      <c r="N100" s="2" t="s">
        <v>156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149</v>
      </c>
      <c r="AB100" s="17" t="s">
        <v>147</v>
      </c>
      <c r="AC100" s="14" t="s">
        <v>148</v>
      </c>
      <c r="AD100" s="14" t="s">
        <v>143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144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161</v>
      </c>
      <c r="N101" s="2" t="s">
        <v>162</v>
      </c>
      <c r="O101" s="17"/>
      <c r="AA101" s="2" t="s">
        <v>149</v>
      </c>
      <c r="AB101" s="17" t="s">
        <v>141</v>
      </c>
      <c r="AC101" s="14" t="s">
        <v>142</v>
      </c>
      <c r="AD101" s="14" t="s">
        <v>154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144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145</v>
      </c>
      <c r="N102" s="2" t="s">
        <v>151</v>
      </c>
      <c r="O102" s="17">
        <v>20</v>
      </c>
      <c r="P102" s="2">
        <v>16</v>
      </c>
      <c r="Q102" s="2">
        <v>20</v>
      </c>
      <c r="R102" s="2">
        <v>26</v>
      </c>
      <c r="AA102" s="2" t="s">
        <v>152</v>
      </c>
      <c r="AB102" s="18" t="s">
        <v>158</v>
      </c>
      <c r="AC102" s="14" t="s">
        <v>159</v>
      </c>
      <c r="AD102" s="14" t="s">
        <v>154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144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172</v>
      </c>
      <c r="O103" s="17"/>
      <c r="AA103" s="2" t="s">
        <v>140</v>
      </c>
      <c r="AB103" s="17" t="s">
        <v>147</v>
      </c>
      <c r="AC103" s="14" t="s">
        <v>148</v>
      </c>
      <c r="AD103" s="14" t="s">
        <v>143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144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161</v>
      </c>
      <c r="N104" s="2" t="s">
        <v>150</v>
      </c>
      <c r="O104" s="17">
        <v>8</v>
      </c>
      <c r="P104" s="2">
        <v>23</v>
      </c>
      <c r="AA104" s="2" t="s">
        <v>149</v>
      </c>
      <c r="AB104" s="17" t="s">
        <v>141</v>
      </c>
      <c r="AC104" s="14" t="s">
        <v>148</v>
      </c>
      <c r="AD104" s="14" t="s">
        <v>143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144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161</v>
      </c>
      <c r="N105" s="2" t="s">
        <v>163</v>
      </c>
      <c r="O105" s="17"/>
      <c r="AA105" s="2" t="s">
        <v>140</v>
      </c>
      <c r="AB105" s="17" t="s">
        <v>141</v>
      </c>
      <c r="AC105" s="14" t="s">
        <v>148</v>
      </c>
      <c r="AD105" s="14" t="s">
        <v>143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167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145</v>
      </c>
      <c r="N106" s="2" t="s">
        <v>176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140</v>
      </c>
      <c r="AB106" s="17" t="s">
        <v>147</v>
      </c>
      <c r="AC106" s="14" t="s">
        <v>148</v>
      </c>
      <c r="AD106" s="14" t="s">
        <v>154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144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161</v>
      </c>
      <c r="N107" s="2" t="s">
        <v>162</v>
      </c>
      <c r="O107" s="17"/>
      <c r="AA107" s="2" t="s">
        <v>149</v>
      </c>
      <c r="AB107" s="17" t="s">
        <v>147</v>
      </c>
      <c r="AC107" s="14" t="s">
        <v>148</v>
      </c>
      <c r="AD107" s="14" t="s">
        <v>154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144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161</v>
      </c>
      <c r="N108" s="2" t="s">
        <v>156</v>
      </c>
      <c r="O108" s="17">
        <v>7</v>
      </c>
      <c r="P108" s="2">
        <v>5</v>
      </c>
      <c r="AA108" s="2" t="s">
        <v>149</v>
      </c>
      <c r="AB108" s="17" t="s">
        <v>147</v>
      </c>
      <c r="AC108" s="14" t="s">
        <v>148</v>
      </c>
      <c r="AD108" s="14" t="s">
        <v>154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144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168</v>
      </c>
      <c r="M109" s="2" t="s">
        <v>145</v>
      </c>
      <c r="N109" s="2" t="s">
        <v>151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152</v>
      </c>
      <c r="AB109" s="17" t="s">
        <v>147</v>
      </c>
      <c r="AC109" s="14" t="s">
        <v>142</v>
      </c>
      <c r="AD109" s="14" t="s">
        <v>154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144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173</v>
      </c>
      <c r="N110" s="2" t="s">
        <v>173</v>
      </c>
      <c r="O110" s="17"/>
      <c r="AA110" s="2" t="s">
        <v>152</v>
      </c>
      <c r="AB110" s="17" t="s">
        <v>158</v>
      </c>
      <c r="AC110" s="14" t="s">
        <v>159</v>
      </c>
      <c r="AD110" s="14" t="s">
        <v>154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144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161</v>
      </c>
      <c r="N111" s="2" t="s">
        <v>162</v>
      </c>
      <c r="O111" s="17"/>
      <c r="AA111" s="2" t="s">
        <v>149</v>
      </c>
      <c r="AB111" s="17" t="s">
        <v>147</v>
      </c>
      <c r="AC111" s="14" t="s">
        <v>148</v>
      </c>
      <c r="AD111" s="14" t="s">
        <v>143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144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145</v>
      </c>
      <c r="N112" s="2" t="s">
        <v>156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149</v>
      </c>
      <c r="AB112" s="17" t="s">
        <v>147</v>
      </c>
      <c r="AC112" s="14" t="s">
        <v>148</v>
      </c>
      <c r="AD112" s="14" t="s">
        <v>143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144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161</v>
      </c>
      <c r="N113" s="2" t="s">
        <v>156</v>
      </c>
      <c r="O113" s="17">
        <v>8</v>
      </c>
      <c r="P113" s="2">
        <v>10</v>
      </c>
      <c r="Q113" s="2">
        <v>23</v>
      </c>
      <c r="AA113" s="2" t="s">
        <v>149</v>
      </c>
      <c r="AB113" s="17" t="s">
        <v>147</v>
      </c>
      <c r="AC113" s="14" t="s">
        <v>148</v>
      </c>
      <c r="AD113" s="14" t="s">
        <v>143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144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161</v>
      </c>
      <c r="N114" s="2" t="s">
        <v>156</v>
      </c>
      <c r="O114" s="17"/>
      <c r="AA114" s="2" t="s">
        <v>139</v>
      </c>
      <c r="AB114" s="17" t="s">
        <v>141</v>
      </c>
      <c r="AC114" s="14" t="s">
        <v>148</v>
      </c>
      <c r="AD114" s="14" t="s">
        <v>154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144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145</v>
      </c>
      <c r="N115" s="2" t="s">
        <v>151</v>
      </c>
      <c r="O115" s="17">
        <v>8</v>
      </c>
      <c r="AA115" s="2" t="s">
        <v>152</v>
      </c>
      <c r="AB115" s="17" t="s">
        <v>158</v>
      </c>
      <c r="AC115" s="14" t="s">
        <v>159</v>
      </c>
      <c r="AD115" s="14" t="s">
        <v>154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144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155</v>
      </c>
      <c r="N116" s="2" t="s">
        <v>156</v>
      </c>
      <c r="O116" s="17"/>
      <c r="AA116" s="2" t="s">
        <v>149</v>
      </c>
      <c r="AB116" s="17" t="s">
        <v>141</v>
      </c>
      <c r="AC116" s="14" t="s">
        <v>148</v>
      </c>
      <c r="AD116" s="14" t="s">
        <v>154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144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138</v>
      </c>
      <c r="N117" s="2" t="s">
        <v>156</v>
      </c>
      <c r="O117" s="17"/>
      <c r="AA117" s="2" t="s">
        <v>149</v>
      </c>
      <c r="AB117" s="17" t="s">
        <v>141</v>
      </c>
      <c r="AC117" s="14" t="s">
        <v>148</v>
      </c>
      <c r="AD117" s="14" t="s">
        <v>154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144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175</v>
      </c>
      <c r="O118" s="17"/>
      <c r="AA118" s="2" t="s">
        <v>140</v>
      </c>
      <c r="AB118" s="17" t="s">
        <v>141</v>
      </c>
      <c r="AC118" s="14" t="s">
        <v>148</v>
      </c>
      <c r="AD118" s="14" t="s">
        <v>143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144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145</v>
      </c>
      <c r="N119" s="2" t="s">
        <v>151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152</v>
      </c>
      <c r="AB119" s="17" t="s">
        <v>158</v>
      </c>
      <c r="AC119" s="14" t="s">
        <v>159</v>
      </c>
      <c r="AD119" s="14" t="s">
        <v>143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144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145</v>
      </c>
      <c r="N120" s="2" t="s">
        <v>156</v>
      </c>
      <c r="O120" s="17">
        <v>6</v>
      </c>
      <c r="P120" s="2">
        <v>23</v>
      </c>
      <c r="Q120" s="2">
        <v>8</v>
      </c>
      <c r="R120" s="2">
        <v>6</v>
      </c>
      <c r="AA120" s="22" t="s">
        <v>149</v>
      </c>
      <c r="AB120" s="18" t="s">
        <v>147</v>
      </c>
      <c r="AC120" s="14" t="s">
        <v>148</v>
      </c>
      <c r="AD120" s="14" t="s">
        <v>143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144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172</v>
      </c>
      <c r="O121" s="17"/>
      <c r="AA121" s="22" t="s">
        <v>140</v>
      </c>
      <c r="AB121" s="18" t="s">
        <v>141</v>
      </c>
      <c r="AC121" s="14" t="s">
        <v>148</v>
      </c>
      <c r="AD121" s="14" t="s">
        <v>143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144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173</v>
      </c>
      <c r="N122" s="2" t="s">
        <v>173</v>
      </c>
      <c r="O122" s="17"/>
      <c r="AA122" s="22" t="s">
        <v>152</v>
      </c>
      <c r="AB122" s="18" t="s">
        <v>158</v>
      </c>
      <c r="AC122" s="14" t="s">
        <v>159</v>
      </c>
      <c r="AD122" s="14" t="s">
        <v>154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144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145</v>
      </c>
      <c r="N123" s="2" t="s">
        <v>156</v>
      </c>
      <c r="O123" s="17">
        <v>16</v>
      </c>
      <c r="P123" s="2">
        <v>6</v>
      </c>
      <c r="Q123" s="2">
        <v>19</v>
      </c>
      <c r="AA123" s="2" t="s">
        <v>149</v>
      </c>
      <c r="AB123" s="17" t="s">
        <v>141</v>
      </c>
      <c r="AC123" s="14" t="s">
        <v>148</v>
      </c>
      <c r="AD123" s="14" t="s">
        <v>154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144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145</v>
      </c>
      <c r="N124" s="2" t="s">
        <v>156</v>
      </c>
      <c r="O124" s="17"/>
      <c r="AA124" s="2" t="s">
        <v>149</v>
      </c>
      <c r="AB124" s="17" t="s">
        <v>141</v>
      </c>
      <c r="AC124" s="14" t="s">
        <v>148</v>
      </c>
      <c r="AD124" s="14" t="s">
        <v>154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144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145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139</v>
      </c>
      <c r="AB125" s="17" t="s">
        <v>141</v>
      </c>
      <c r="AC125" s="14" t="s">
        <v>142</v>
      </c>
      <c r="AD125" s="14" t="s">
        <v>154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144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166</v>
      </c>
      <c r="N126" s="2" t="s">
        <v>3</v>
      </c>
      <c r="O126" s="17"/>
      <c r="AA126" s="2" t="s">
        <v>149</v>
      </c>
      <c r="AB126" s="17" t="s">
        <v>147</v>
      </c>
      <c r="AC126" s="14" t="s">
        <v>142</v>
      </c>
      <c r="AD126" s="14" t="s">
        <v>154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144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172</v>
      </c>
      <c r="O127" s="17"/>
      <c r="AA127" s="2" t="s">
        <v>140</v>
      </c>
      <c r="AB127" s="17" t="s">
        <v>141</v>
      </c>
      <c r="AC127" s="14" t="s">
        <v>148</v>
      </c>
      <c r="AD127" s="14" t="s">
        <v>143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144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161</v>
      </c>
      <c r="N128" s="2" t="s">
        <v>162</v>
      </c>
      <c r="O128" s="17"/>
      <c r="AA128" s="2" t="s">
        <v>149</v>
      </c>
      <c r="AB128" s="17" t="s">
        <v>141</v>
      </c>
      <c r="AC128" s="14" t="s">
        <v>148</v>
      </c>
      <c r="AD128" s="14" t="s">
        <v>154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144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171</v>
      </c>
      <c r="N129" s="2" t="s">
        <v>171</v>
      </c>
      <c r="O129" s="17">
        <v>20</v>
      </c>
      <c r="AA129" s="2" t="s">
        <v>152</v>
      </c>
      <c r="AB129" s="17" t="s">
        <v>141</v>
      </c>
      <c r="AC129" s="14" t="s">
        <v>142</v>
      </c>
      <c r="AD129" s="14" t="s">
        <v>143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144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155</v>
      </c>
      <c r="N130" s="2" t="s">
        <v>176</v>
      </c>
      <c r="O130" s="17"/>
      <c r="AA130" s="2" t="s">
        <v>140</v>
      </c>
      <c r="AB130" s="17" t="s">
        <v>147</v>
      </c>
      <c r="AC130" s="14" t="s">
        <v>148</v>
      </c>
      <c r="AD130" s="14" t="s">
        <v>143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167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161</v>
      </c>
      <c r="N131" s="2" t="s">
        <v>162</v>
      </c>
      <c r="O131" s="17"/>
      <c r="AA131" s="2" t="s">
        <v>149</v>
      </c>
      <c r="AB131" s="17" t="s">
        <v>147</v>
      </c>
      <c r="AC131" s="14" t="s">
        <v>148</v>
      </c>
      <c r="AD131" s="14" t="s">
        <v>154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164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166</v>
      </c>
      <c r="N132" s="2" t="s">
        <v>3</v>
      </c>
      <c r="O132" s="17"/>
      <c r="AA132" s="2" t="s">
        <v>139</v>
      </c>
      <c r="AB132" s="17" t="s">
        <v>147</v>
      </c>
      <c r="AC132" s="14" t="s">
        <v>148</v>
      </c>
      <c r="AD132" s="14" t="s">
        <v>143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144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166</v>
      </c>
      <c r="N133" s="2" t="s">
        <v>163</v>
      </c>
      <c r="O133" s="17"/>
      <c r="AA133" s="2" t="s">
        <v>140</v>
      </c>
      <c r="AB133" s="17" t="s">
        <v>141</v>
      </c>
      <c r="AC133" s="14" t="s">
        <v>148</v>
      </c>
      <c r="AD133" s="14" t="s">
        <v>154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144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161</v>
      </c>
      <c r="N134" s="2" t="s">
        <v>170</v>
      </c>
      <c r="O134" s="17">
        <v>8</v>
      </c>
      <c r="P134" s="2">
        <v>7</v>
      </c>
      <c r="Q134" s="2">
        <v>23</v>
      </c>
      <c r="R134" s="2">
        <v>4</v>
      </c>
      <c r="AA134" s="2" t="s">
        <v>140</v>
      </c>
      <c r="AB134" s="17" t="s">
        <v>141</v>
      </c>
      <c r="AC134" s="14" t="s">
        <v>148</v>
      </c>
      <c r="AD134" s="14" t="s">
        <v>154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167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161</v>
      </c>
      <c r="N135" s="2" t="s">
        <v>156</v>
      </c>
      <c r="O135" s="17"/>
      <c r="AA135" s="2" t="s">
        <v>140</v>
      </c>
      <c r="AB135" s="17" t="s">
        <v>147</v>
      </c>
      <c r="AC135" s="14" t="s">
        <v>148</v>
      </c>
      <c r="AD135" s="14" t="s">
        <v>143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144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161</v>
      </c>
      <c r="N136" s="2" t="s">
        <v>150</v>
      </c>
      <c r="O136" s="17"/>
      <c r="AA136" s="2" t="s">
        <v>149</v>
      </c>
      <c r="AB136" s="17" t="s">
        <v>147</v>
      </c>
      <c r="AC136" s="14" t="s">
        <v>148</v>
      </c>
      <c r="AD136" s="14" t="s">
        <v>154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144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145</v>
      </c>
      <c r="N137" s="2" t="s">
        <v>176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140</v>
      </c>
      <c r="AB137" s="17" t="s">
        <v>141</v>
      </c>
      <c r="AC137" s="14" t="s">
        <v>148</v>
      </c>
      <c r="AD137" s="14" t="s">
        <v>143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164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171</v>
      </c>
      <c r="N138" s="2" t="s">
        <v>171</v>
      </c>
      <c r="O138" s="17"/>
      <c r="AA138" s="2" t="s">
        <v>152</v>
      </c>
      <c r="AB138" s="17" t="s">
        <v>141</v>
      </c>
      <c r="AC138" s="14" t="s">
        <v>148</v>
      </c>
      <c r="AD138" s="14" t="s">
        <v>154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144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161</v>
      </c>
      <c r="N139" s="2" t="s">
        <v>156</v>
      </c>
      <c r="O139" s="17">
        <v>26</v>
      </c>
      <c r="AA139" s="2" t="s">
        <v>149</v>
      </c>
      <c r="AB139" s="17" t="s">
        <v>141</v>
      </c>
      <c r="AC139" s="14" t="s">
        <v>148</v>
      </c>
      <c r="AD139" s="14" t="s">
        <v>154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144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161</v>
      </c>
      <c r="N140" s="2" t="s">
        <v>3</v>
      </c>
      <c r="O140" s="17"/>
      <c r="AA140" s="2" t="s">
        <v>152</v>
      </c>
      <c r="AB140" s="17" t="s">
        <v>141</v>
      </c>
      <c r="AC140" s="14" t="s">
        <v>142</v>
      </c>
      <c r="AD140" s="14" t="s">
        <v>143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144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161</v>
      </c>
      <c r="N141" s="2" t="s">
        <v>156</v>
      </c>
      <c r="O141" s="17">
        <v>27</v>
      </c>
      <c r="AA141" s="2" t="s">
        <v>149</v>
      </c>
      <c r="AB141" s="17" t="s">
        <v>141</v>
      </c>
      <c r="AC141" s="14" t="s">
        <v>148</v>
      </c>
      <c r="AD141" s="14" t="s">
        <v>154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144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175</v>
      </c>
      <c r="O142" s="17"/>
      <c r="AA142" s="2" t="s">
        <v>140</v>
      </c>
      <c r="AB142" s="17" t="s">
        <v>141</v>
      </c>
      <c r="AC142" s="14" t="s">
        <v>148</v>
      </c>
      <c r="AD142" s="14" t="s">
        <v>143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144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161</v>
      </c>
      <c r="N143" s="2" t="s">
        <v>151</v>
      </c>
      <c r="O143" s="17"/>
      <c r="AA143" s="2" t="s">
        <v>139</v>
      </c>
      <c r="AB143" s="17" t="s">
        <v>147</v>
      </c>
      <c r="AC143" s="14" t="s">
        <v>148</v>
      </c>
      <c r="AD143" s="14" t="s">
        <v>143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144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161</v>
      </c>
      <c r="N144" s="2" t="s">
        <v>150</v>
      </c>
      <c r="O144" s="17"/>
      <c r="AA144" s="2" t="s">
        <v>139</v>
      </c>
      <c r="AB144" s="17" t="s">
        <v>147</v>
      </c>
      <c r="AC144" s="14" t="s">
        <v>142</v>
      </c>
      <c r="AD144" s="14" t="s">
        <v>143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167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161</v>
      </c>
      <c r="N145" s="2" t="s">
        <v>3</v>
      </c>
      <c r="O145" s="17"/>
      <c r="AA145" s="2" t="s">
        <v>140</v>
      </c>
      <c r="AB145" s="17" t="s">
        <v>141</v>
      </c>
      <c r="AC145" s="14" t="s">
        <v>148</v>
      </c>
      <c r="AD145" s="14" t="s">
        <v>143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144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161</v>
      </c>
      <c r="N146" s="2" t="s">
        <v>162</v>
      </c>
      <c r="O146" s="17">
        <v>8</v>
      </c>
      <c r="P146" s="2">
        <v>16</v>
      </c>
      <c r="AA146" s="2" t="s">
        <v>149</v>
      </c>
      <c r="AB146" s="17" t="s">
        <v>141</v>
      </c>
      <c r="AC146" s="14" t="s">
        <v>148</v>
      </c>
      <c r="AD146" s="14" t="s">
        <v>154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144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145</v>
      </c>
      <c r="N147" s="2" t="s">
        <v>162</v>
      </c>
      <c r="O147" s="17"/>
      <c r="AA147" s="2" t="s">
        <v>149</v>
      </c>
      <c r="AB147" s="17" t="s">
        <v>147</v>
      </c>
      <c r="AC147" s="14" t="s">
        <v>148</v>
      </c>
      <c r="AD147" s="14" t="s">
        <v>154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144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161</v>
      </c>
      <c r="N148" s="2" t="s">
        <v>3</v>
      </c>
      <c r="O148" s="17"/>
      <c r="AA148" s="2" t="s">
        <v>149</v>
      </c>
      <c r="AB148" s="17" t="s">
        <v>141</v>
      </c>
      <c r="AC148" s="14" t="s">
        <v>148</v>
      </c>
      <c r="AD148" s="14" t="s">
        <v>143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144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145</v>
      </c>
      <c r="N149" s="2" t="s">
        <v>156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149</v>
      </c>
      <c r="AB149" s="17" t="s">
        <v>141</v>
      </c>
      <c r="AC149" s="14" t="s">
        <v>148</v>
      </c>
      <c r="AD149" s="14" t="s">
        <v>154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144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171</v>
      </c>
      <c r="N150" s="2" t="s">
        <v>171</v>
      </c>
      <c r="O150" s="17"/>
      <c r="AA150" s="2" t="s">
        <v>152</v>
      </c>
      <c r="AB150" s="17" t="s">
        <v>158</v>
      </c>
      <c r="AC150" s="14" t="s">
        <v>159</v>
      </c>
      <c r="AD150" s="14" t="s">
        <v>143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144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161</v>
      </c>
      <c r="N151" s="2" t="s">
        <v>151</v>
      </c>
      <c r="O151" s="17">
        <v>19</v>
      </c>
      <c r="P151" s="2">
        <v>18</v>
      </c>
      <c r="Q151" s="2">
        <v>7</v>
      </c>
      <c r="AA151" s="2" t="s">
        <v>152</v>
      </c>
      <c r="AB151" s="17" t="s">
        <v>158</v>
      </c>
      <c r="AC151" s="14" t="s">
        <v>159</v>
      </c>
      <c r="AD151" s="14" t="s">
        <v>154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144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171</v>
      </c>
      <c r="N152" s="2" t="s">
        <v>171</v>
      </c>
      <c r="O152" s="17">
        <v>10</v>
      </c>
      <c r="AA152" s="2" t="s">
        <v>152</v>
      </c>
      <c r="AB152" s="17" t="s">
        <v>141</v>
      </c>
      <c r="AC152" s="14" t="s">
        <v>159</v>
      </c>
      <c r="AD152" s="14" t="s">
        <v>160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144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161</v>
      </c>
      <c r="N153" s="2" t="s">
        <v>162</v>
      </c>
      <c r="O153" s="17">
        <v>8</v>
      </c>
      <c r="AA153" s="2" t="s">
        <v>149</v>
      </c>
      <c r="AB153" s="17" t="s">
        <v>147</v>
      </c>
      <c r="AC153" s="14" t="s">
        <v>148</v>
      </c>
      <c r="AD153" s="14" t="s">
        <v>154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144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171</v>
      </c>
      <c r="N154" s="2" t="s">
        <v>171</v>
      </c>
      <c r="O154" s="17">
        <v>8</v>
      </c>
      <c r="AA154" s="22" t="s">
        <v>152</v>
      </c>
      <c r="AB154" s="18" t="s">
        <v>147</v>
      </c>
      <c r="AC154" s="14" t="s">
        <v>142</v>
      </c>
      <c r="AD154" s="14" t="s">
        <v>154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144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166</v>
      </c>
      <c r="N155" s="2" t="s">
        <v>163</v>
      </c>
      <c r="O155" s="17"/>
      <c r="AA155" s="2" t="s">
        <v>149</v>
      </c>
      <c r="AB155" s="17" t="s">
        <v>147</v>
      </c>
      <c r="AC155" s="14" t="s">
        <v>148</v>
      </c>
      <c r="AD155" s="14" t="s">
        <v>154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144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145</v>
      </c>
      <c r="N156" s="2" t="s">
        <v>162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149</v>
      </c>
      <c r="AB156" s="17" t="s">
        <v>147</v>
      </c>
      <c r="AC156" s="14" t="s">
        <v>148</v>
      </c>
      <c r="AD156" s="14" t="s">
        <v>154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144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145</v>
      </c>
      <c r="N157" s="2" t="s">
        <v>156</v>
      </c>
      <c r="O157" s="17">
        <v>8</v>
      </c>
      <c r="AA157" s="2" t="s">
        <v>139</v>
      </c>
      <c r="AB157" s="17" t="s">
        <v>147</v>
      </c>
      <c r="AC157" s="14" t="s">
        <v>142</v>
      </c>
      <c r="AD157" s="14" t="s">
        <v>154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144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145</v>
      </c>
      <c r="N158" s="2" t="s">
        <v>174</v>
      </c>
      <c r="O158" s="17">
        <v>7</v>
      </c>
      <c r="AA158" s="2" t="s">
        <v>139</v>
      </c>
      <c r="AB158" s="17" t="s">
        <v>147</v>
      </c>
      <c r="AC158" s="14" t="s">
        <v>142</v>
      </c>
      <c r="AD158" s="14" t="s">
        <v>154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144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145</v>
      </c>
      <c r="N159" s="2" t="s">
        <v>3</v>
      </c>
      <c r="O159" s="17">
        <v>27</v>
      </c>
      <c r="AA159" s="2" t="s">
        <v>140</v>
      </c>
      <c r="AB159" s="18" t="s">
        <v>141</v>
      </c>
      <c r="AC159" s="14" t="s">
        <v>148</v>
      </c>
      <c r="AD159" s="14" t="s">
        <v>154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144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161</v>
      </c>
      <c r="N160" s="2" t="s">
        <v>162</v>
      </c>
      <c r="O160" s="17">
        <v>7</v>
      </c>
      <c r="P160" s="2">
        <v>27</v>
      </c>
      <c r="AA160" s="2" t="s">
        <v>149</v>
      </c>
      <c r="AB160" s="17" t="s">
        <v>147</v>
      </c>
      <c r="AC160" s="14" t="s">
        <v>148</v>
      </c>
      <c r="AD160" s="14" t="s">
        <v>143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144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161</v>
      </c>
      <c r="N161" s="2" t="s">
        <v>162</v>
      </c>
      <c r="O161" s="17">
        <v>26</v>
      </c>
      <c r="P161" s="2">
        <v>4</v>
      </c>
      <c r="Q161" s="2">
        <v>27</v>
      </c>
      <c r="AA161" s="2" t="s">
        <v>149</v>
      </c>
      <c r="AB161" s="17" t="s">
        <v>141</v>
      </c>
      <c r="AC161" s="14" t="s">
        <v>148</v>
      </c>
      <c r="AD161" s="14" t="s">
        <v>143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144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161</v>
      </c>
      <c r="N162" s="2" t="s">
        <v>176</v>
      </c>
      <c r="O162" s="17">
        <v>7</v>
      </c>
      <c r="P162" s="2">
        <v>8</v>
      </c>
      <c r="Q162" s="2">
        <v>26</v>
      </c>
      <c r="AA162" s="2" t="s">
        <v>140</v>
      </c>
      <c r="AB162" s="17" t="s">
        <v>141</v>
      </c>
      <c r="AC162" s="14" t="s">
        <v>148</v>
      </c>
      <c r="AD162" s="14" t="s">
        <v>154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144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161</v>
      </c>
      <c r="N163" s="2" t="s">
        <v>163</v>
      </c>
      <c r="O163" s="17"/>
      <c r="AA163" s="22" t="s">
        <v>149</v>
      </c>
      <c r="AB163" s="18" t="s">
        <v>147</v>
      </c>
      <c r="AC163" s="14" t="s">
        <v>148</v>
      </c>
      <c r="AD163" s="14" t="s">
        <v>154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144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161</v>
      </c>
      <c r="N164" s="2" t="s">
        <v>156</v>
      </c>
      <c r="O164" s="17">
        <v>8</v>
      </c>
      <c r="AA164" s="2" t="s">
        <v>139</v>
      </c>
      <c r="AB164" s="17" t="s">
        <v>147</v>
      </c>
      <c r="AC164" s="14" t="s">
        <v>148</v>
      </c>
      <c r="AD164" s="14" t="s">
        <v>154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144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161</v>
      </c>
      <c r="N165" s="2" t="s">
        <v>3</v>
      </c>
      <c r="O165" s="17"/>
      <c r="AA165" s="2" t="s">
        <v>140</v>
      </c>
      <c r="AB165" s="17" t="s">
        <v>141</v>
      </c>
      <c r="AC165" s="14" t="s">
        <v>148</v>
      </c>
      <c r="AD165" s="14" t="s">
        <v>154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144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161</v>
      </c>
      <c r="N166" s="2" t="s">
        <v>162</v>
      </c>
      <c r="O166" s="17"/>
      <c r="AA166" s="2" t="s">
        <v>149</v>
      </c>
      <c r="AB166" s="17" t="s">
        <v>147</v>
      </c>
      <c r="AC166" s="14" t="s">
        <v>148</v>
      </c>
      <c r="AD166" s="14" t="s">
        <v>143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144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161</v>
      </c>
      <c r="N167" s="2" t="s">
        <v>162</v>
      </c>
      <c r="O167" s="17">
        <v>19</v>
      </c>
      <c r="P167" s="2">
        <v>4</v>
      </c>
      <c r="AA167" s="22" t="s">
        <v>149</v>
      </c>
      <c r="AB167" s="18" t="s">
        <v>147</v>
      </c>
      <c r="AC167" s="14" t="s">
        <v>148</v>
      </c>
      <c r="AD167" s="14" t="s">
        <v>154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144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161</v>
      </c>
      <c r="N168" s="2" t="s">
        <v>162</v>
      </c>
      <c r="O168" s="17">
        <v>27</v>
      </c>
      <c r="P168" s="2">
        <v>1</v>
      </c>
      <c r="AA168" s="2" t="s">
        <v>149</v>
      </c>
      <c r="AB168" s="17" t="s">
        <v>147</v>
      </c>
      <c r="AC168" s="14" t="s">
        <v>148</v>
      </c>
      <c r="AD168" s="14" t="s">
        <v>154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144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145</v>
      </c>
      <c r="N169" s="2" t="s">
        <v>162</v>
      </c>
      <c r="O169" s="17"/>
      <c r="AA169" s="2" t="s">
        <v>149</v>
      </c>
      <c r="AB169" s="17" t="s">
        <v>141</v>
      </c>
      <c r="AC169" s="14" t="s">
        <v>148</v>
      </c>
      <c r="AD169" s="14" t="s">
        <v>154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144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161</v>
      </c>
      <c r="N170" s="2" t="s">
        <v>3</v>
      </c>
      <c r="O170" s="17"/>
      <c r="AA170" s="2" t="s">
        <v>140</v>
      </c>
      <c r="AB170" s="17" t="s">
        <v>141</v>
      </c>
      <c r="AC170" s="14" t="s">
        <v>148</v>
      </c>
      <c r="AD170" s="14" t="s">
        <v>154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144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161</v>
      </c>
      <c r="N171" s="2" t="s">
        <v>146</v>
      </c>
      <c r="O171" s="17">
        <v>27</v>
      </c>
      <c r="AA171" s="2" t="s">
        <v>149</v>
      </c>
      <c r="AB171" s="17" t="s">
        <v>147</v>
      </c>
      <c r="AC171" s="14" t="s">
        <v>148</v>
      </c>
      <c r="AD171" s="14" t="s">
        <v>143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144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168</v>
      </c>
      <c r="M172" s="2" t="s">
        <v>171</v>
      </c>
      <c r="N172" s="2" t="s">
        <v>171</v>
      </c>
      <c r="O172" s="17">
        <v>20</v>
      </c>
      <c r="AA172" s="2" t="s">
        <v>139</v>
      </c>
      <c r="AB172" s="17" t="s">
        <v>141</v>
      </c>
      <c r="AC172" s="14" t="s">
        <v>142</v>
      </c>
      <c r="AD172" s="14" t="s">
        <v>154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144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-1</v>
      </c>
      <c r="AP172" s="13">
        <v>0.5</v>
      </c>
      <c r="AQ172" s="19">
        <f t="shared" si="10"/>
        <v>5.0990195135927845</v>
      </c>
      <c r="AR172" s="3">
        <v>3</v>
      </c>
      <c r="AS172" s="13">
        <v>-0.5</v>
      </c>
      <c r="AT172" s="13">
        <v>5</v>
      </c>
      <c r="AU172" s="19">
        <f t="shared" si="11"/>
        <v>0.70710678118654757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155</v>
      </c>
      <c r="N173" s="2" t="s">
        <v>162</v>
      </c>
      <c r="O173" s="17"/>
      <c r="AA173" s="22" t="s">
        <v>149</v>
      </c>
      <c r="AB173" s="18" t="s">
        <v>141</v>
      </c>
      <c r="AC173" s="14" t="s">
        <v>148</v>
      </c>
      <c r="AD173" s="14" t="s">
        <v>154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144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161</v>
      </c>
      <c r="N174" s="2" t="s">
        <v>162</v>
      </c>
      <c r="O174" s="17"/>
      <c r="AA174" s="2" t="s">
        <v>149</v>
      </c>
      <c r="AB174" s="17" t="s">
        <v>147</v>
      </c>
      <c r="AC174" s="14" t="s">
        <v>148</v>
      </c>
      <c r="AD174" s="14" t="s">
        <v>143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144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168</v>
      </c>
      <c r="M175" s="2" t="s">
        <v>145</v>
      </c>
      <c r="N175" s="2" t="s">
        <v>150</v>
      </c>
      <c r="O175" s="17"/>
      <c r="AA175" s="2" t="s">
        <v>140</v>
      </c>
      <c r="AB175" s="17" t="s">
        <v>141</v>
      </c>
      <c r="AC175" s="14" t="s">
        <v>148</v>
      </c>
      <c r="AD175" s="14" t="s">
        <v>154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144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168</v>
      </c>
      <c r="M176" s="2" t="s">
        <v>161</v>
      </c>
      <c r="N176" s="2" t="s">
        <v>153</v>
      </c>
      <c r="O176" s="17"/>
      <c r="AA176" s="2" t="s">
        <v>149</v>
      </c>
      <c r="AB176" s="17" t="s">
        <v>141</v>
      </c>
      <c r="AC176" s="14" t="s">
        <v>148</v>
      </c>
      <c r="AD176" s="14" t="s">
        <v>154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164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161</v>
      </c>
      <c r="N177" s="2" t="s">
        <v>176</v>
      </c>
      <c r="O177" s="17"/>
      <c r="AA177" s="2" t="s">
        <v>140</v>
      </c>
      <c r="AB177" s="17" t="s">
        <v>141</v>
      </c>
      <c r="AC177" s="14" t="s">
        <v>148</v>
      </c>
      <c r="AD177" s="14" t="s">
        <v>154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144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169</v>
      </c>
      <c r="O178" s="17"/>
      <c r="AC178" s="14"/>
      <c r="AD178" s="14"/>
      <c r="AE178" s="18"/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161</v>
      </c>
      <c r="N179" s="2" t="s">
        <v>156</v>
      </c>
      <c r="O179" s="17">
        <v>8</v>
      </c>
      <c r="P179" s="2">
        <v>16</v>
      </c>
      <c r="AA179" s="2" t="s">
        <v>149</v>
      </c>
      <c r="AB179" s="17" t="s">
        <v>141</v>
      </c>
      <c r="AC179" s="14" t="s">
        <v>148</v>
      </c>
      <c r="AD179" s="14" t="s">
        <v>154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144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161</v>
      </c>
      <c r="N180" s="2" t="s">
        <v>162</v>
      </c>
      <c r="O180" s="17">
        <v>8</v>
      </c>
      <c r="AA180" s="2" t="s">
        <v>149</v>
      </c>
      <c r="AB180" s="17" t="s">
        <v>147</v>
      </c>
      <c r="AC180" s="14" t="s">
        <v>148</v>
      </c>
      <c r="AD180" s="14" t="s">
        <v>154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144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166</v>
      </c>
      <c r="N181" s="2" t="s">
        <v>3</v>
      </c>
      <c r="O181" s="17"/>
      <c r="AA181" s="2" t="s">
        <v>139</v>
      </c>
      <c r="AB181" s="17" t="s">
        <v>147</v>
      </c>
      <c r="AC181" s="14" t="s">
        <v>148</v>
      </c>
      <c r="AD181" s="14" t="s">
        <v>154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144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161</v>
      </c>
      <c r="N182" s="2" t="s">
        <v>162</v>
      </c>
      <c r="O182" s="17"/>
      <c r="AA182" s="2" t="s">
        <v>149</v>
      </c>
      <c r="AB182" s="17" t="s">
        <v>141</v>
      </c>
      <c r="AC182" s="14" t="s">
        <v>148</v>
      </c>
      <c r="AD182" s="14" t="s">
        <v>154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144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161</v>
      </c>
      <c r="N183" s="2" t="s">
        <v>162</v>
      </c>
      <c r="O183" s="17">
        <v>10</v>
      </c>
      <c r="P183" s="2">
        <v>20</v>
      </c>
      <c r="AA183" s="2" t="s">
        <v>149</v>
      </c>
      <c r="AB183" s="17" t="s">
        <v>147</v>
      </c>
      <c r="AC183" s="14" t="s">
        <v>148</v>
      </c>
      <c r="AD183" s="14" t="s">
        <v>154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144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168</v>
      </c>
      <c r="M184" s="2" t="s">
        <v>161</v>
      </c>
      <c r="N184" s="2" t="s">
        <v>162</v>
      </c>
      <c r="O184" s="17"/>
      <c r="AA184" s="2" t="s">
        <v>149</v>
      </c>
      <c r="AB184" s="17" t="s">
        <v>141</v>
      </c>
      <c r="AC184" s="14" t="s">
        <v>148</v>
      </c>
      <c r="AD184" s="14" t="s">
        <v>143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144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161</v>
      </c>
      <c r="N185" s="2" t="s">
        <v>156</v>
      </c>
      <c r="O185" s="17"/>
      <c r="AA185" s="2" t="s">
        <v>149</v>
      </c>
      <c r="AB185" s="17" t="s">
        <v>147</v>
      </c>
      <c r="AC185" s="14" t="s">
        <v>148</v>
      </c>
      <c r="AD185" s="14" t="s">
        <v>154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144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168</v>
      </c>
      <c r="M186" s="2" t="s">
        <v>161</v>
      </c>
      <c r="N186" s="2" t="s">
        <v>163</v>
      </c>
      <c r="O186" s="17"/>
      <c r="AA186" s="2" t="s">
        <v>140</v>
      </c>
      <c r="AB186" s="17" t="s">
        <v>147</v>
      </c>
      <c r="AC186" s="14" t="s">
        <v>148</v>
      </c>
      <c r="AD186" s="14" t="s">
        <v>154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144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161</v>
      </c>
      <c r="N187" s="2" t="s">
        <v>3</v>
      </c>
      <c r="O187" s="17"/>
      <c r="AA187" s="2" t="s">
        <v>149</v>
      </c>
      <c r="AB187" s="17" t="s">
        <v>141</v>
      </c>
      <c r="AC187" s="14" t="s">
        <v>148</v>
      </c>
      <c r="AD187" s="14" t="s">
        <v>154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144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161</v>
      </c>
      <c r="N188" s="2" t="s">
        <v>163</v>
      </c>
      <c r="O188" s="17"/>
      <c r="AA188" s="2" t="s">
        <v>152</v>
      </c>
      <c r="AB188" s="17" t="s">
        <v>141</v>
      </c>
      <c r="AC188" s="14" t="s">
        <v>142</v>
      </c>
      <c r="AD188" s="14" t="s">
        <v>154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144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145</v>
      </c>
      <c r="N189" s="2" t="s">
        <v>150</v>
      </c>
      <c r="O189" s="17">
        <v>4</v>
      </c>
      <c r="P189" s="2">
        <v>1</v>
      </c>
      <c r="Q189" s="2">
        <v>23</v>
      </c>
      <c r="R189" s="2">
        <v>6</v>
      </c>
      <c r="AA189" s="22" t="s">
        <v>149</v>
      </c>
      <c r="AB189" s="18" t="s">
        <v>141</v>
      </c>
      <c r="AC189" s="14" t="s">
        <v>148</v>
      </c>
      <c r="AD189" s="14" t="s">
        <v>154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144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161</v>
      </c>
      <c r="N190" s="2" t="s">
        <v>156</v>
      </c>
      <c r="O190" s="17"/>
      <c r="AA190" s="2" t="s">
        <v>149</v>
      </c>
      <c r="AB190" s="17" t="s">
        <v>147</v>
      </c>
      <c r="AC190" s="14" t="s">
        <v>148</v>
      </c>
      <c r="AD190" s="14" t="s">
        <v>143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144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161</v>
      </c>
      <c r="N191" s="2" t="s">
        <v>170</v>
      </c>
      <c r="O191" s="17">
        <v>18</v>
      </c>
      <c r="P191" s="2">
        <v>4</v>
      </c>
      <c r="AA191" s="2" t="s">
        <v>140</v>
      </c>
      <c r="AB191" s="17" t="s">
        <v>141</v>
      </c>
      <c r="AC191" s="14" t="s">
        <v>148</v>
      </c>
      <c r="AD191" s="14" t="s">
        <v>143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167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161</v>
      </c>
      <c r="N192" s="2" t="s">
        <v>163</v>
      </c>
      <c r="O192" s="17"/>
      <c r="AA192" s="22" t="s">
        <v>140</v>
      </c>
      <c r="AB192" s="18" t="s">
        <v>147</v>
      </c>
      <c r="AC192" s="14" t="s">
        <v>148</v>
      </c>
      <c r="AD192" s="14" t="s">
        <v>154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144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161</v>
      </c>
      <c r="N193" s="2" t="s">
        <v>163</v>
      </c>
      <c r="O193" s="17"/>
      <c r="AA193" s="2" t="s">
        <v>149</v>
      </c>
      <c r="AB193" s="17" t="s">
        <v>141</v>
      </c>
      <c r="AC193" s="14" t="s">
        <v>148</v>
      </c>
      <c r="AD193" s="14" t="s">
        <v>154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144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161</v>
      </c>
      <c r="N194" s="2" t="s">
        <v>3</v>
      </c>
      <c r="O194" s="17"/>
      <c r="AA194" s="2" t="s">
        <v>139</v>
      </c>
      <c r="AB194" s="17" t="s">
        <v>141</v>
      </c>
      <c r="AC194" s="14" t="s">
        <v>148</v>
      </c>
      <c r="AD194" s="14" t="s">
        <v>154</v>
      </c>
      <c r="AE194" s="18"/>
      <c r="AF194" s="13">
        <v>-0.5</v>
      </c>
      <c r="AG194" s="13">
        <v>15</v>
      </c>
      <c r="AH194" s="19">
        <f t="shared" ref="AH194:AH225" si="12">IF($L194="ET","",IF($AF194&gt;3.66,SQRT($AG194^2+($AF194-(7.32/2))^2),IF($AF194&lt;-3.66,SQRT($AG194^2+($AF194+(7.32/2))^2),$AG194)))</f>
        <v>15</v>
      </c>
      <c r="AI194" s="19">
        <f t="shared" ref="AI194:AI225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144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168</v>
      </c>
      <c r="M195" s="2" t="s">
        <v>161</v>
      </c>
      <c r="N195" s="2" t="s">
        <v>151</v>
      </c>
      <c r="O195" s="17">
        <v>27</v>
      </c>
      <c r="P195" s="2">
        <v>10</v>
      </c>
      <c r="Q195" s="2">
        <v>20</v>
      </c>
      <c r="AA195" s="2" t="s">
        <v>152</v>
      </c>
      <c r="AB195" s="17" t="s">
        <v>141</v>
      </c>
      <c r="AC195" s="14" t="s">
        <v>142</v>
      </c>
      <c r="AD195" s="14" t="s">
        <v>154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144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161</v>
      </c>
      <c r="N196" s="2" t="s">
        <v>176</v>
      </c>
      <c r="O196" s="17">
        <v>5</v>
      </c>
      <c r="AA196" s="2" t="s">
        <v>139</v>
      </c>
      <c r="AB196" s="17" t="s">
        <v>141</v>
      </c>
      <c r="AC196" s="14" t="s">
        <v>142</v>
      </c>
      <c r="AD196" s="14" t="s">
        <v>143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144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161</v>
      </c>
      <c r="N197" s="2" t="s">
        <v>163</v>
      </c>
      <c r="O197" s="17"/>
      <c r="AA197" s="2" t="s">
        <v>140</v>
      </c>
      <c r="AB197" s="17" t="s">
        <v>141</v>
      </c>
      <c r="AC197" s="14" t="s">
        <v>148</v>
      </c>
      <c r="AD197" s="14" t="s">
        <v>143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167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161</v>
      </c>
      <c r="N198" s="2" t="s">
        <v>156</v>
      </c>
      <c r="O198" s="17">
        <v>23</v>
      </c>
      <c r="P198" s="2">
        <v>10</v>
      </c>
      <c r="Q198" s="2">
        <v>27</v>
      </c>
      <c r="AA198" s="2" t="s">
        <v>140</v>
      </c>
      <c r="AB198" s="17" t="s">
        <v>141</v>
      </c>
      <c r="AC198" s="14" t="s">
        <v>148</v>
      </c>
      <c r="AD198" s="14" t="s">
        <v>143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144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161</v>
      </c>
      <c r="N199" s="2" t="s">
        <v>162</v>
      </c>
      <c r="O199" s="17"/>
      <c r="AA199" s="2" t="s">
        <v>149</v>
      </c>
      <c r="AB199" s="17" t="s">
        <v>141</v>
      </c>
      <c r="AC199" s="14" t="s">
        <v>148</v>
      </c>
      <c r="AD199" s="14" t="s">
        <v>143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144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2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145</v>
      </c>
      <c r="N200" s="2" t="s">
        <v>150</v>
      </c>
      <c r="O200" s="17"/>
      <c r="AA200" s="2" t="s">
        <v>149</v>
      </c>
      <c r="AB200" s="17" t="s">
        <v>141</v>
      </c>
      <c r="AC200" s="14" t="s">
        <v>148</v>
      </c>
      <c r="AD200" s="14" t="s">
        <v>154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144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161</v>
      </c>
      <c r="N201" s="2" t="s">
        <v>3</v>
      </c>
      <c r="O201" s="17"/>
      <c r="AA201" s="2" t="s">
        <v>139</v>
      </c>
      <c r="AB201" s="17" t="s">
        <v>141</v>
      </c>
      <c r="AC201" s="14" t="s">
        <v>148</v>
      </c>
      <c r="AD201" s="14" t="s">
        <v>143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164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138</v>
      </c>
      <c r="N202" s="2" t="s">
        <v>3</v>
      </c>
      <c r="O202" s="17"/>
      <c r="AA202" s="2" t="s">
        <v>139</v>
      </c>
      <c r="AB202" s="17" t="s">
        <v>147</v>
      </c>
      <c r="AC202" s="14" t="s">
        <v>142</v>
      </c>
      <c r="AD202" s="14" t="s">
        <v>160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164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161</v>
      </c>
      <c r="N203" s="2" t="s">
        <v>162</v>
      </c>
      <c r="O203" s="17"/>
      <c r="AA203" s="2" t="s">
        <v>149</v>
      </c>
      <c r="AB203" s="17" t="s">
        <v>147</v>
      </c>
      <c r="AC203" s="14" t="s">
        <v>148</v>
      </c>
      <c r="AD203" s="14" t="s">
        <v>154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144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25" si="14">IF(AN203=0,"",SQRT(($AF203-$AO203)^2+($AG203-$AP203)^2))</f>
        <v>2.5</v>
      </c>
      <c r="AR203" s="3">
        <v>0</v>
      </c>
      <c r="AU203" s="19" t="str">
        <f t="shared" ref="AU203:AU225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161</v>
      </c>
      <c r="N204" s="2" t="s">
        <v>3</v>
      </c>
      <c r="O204" s="17"/>
      <c r="AA204" s="22" t="s">
        <v>140</v>
      </c>
      <c r="AB204" s="18" t="s">
        <v>141</v>
      </c>
      <c r="AC204" s="14" t="s">
        <v>148</v>
      </c>
      <c r="AD204" s="14" t="s">
        <v>143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144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175</v>
      </c>
      <c r="O205" s="17"/>
      <c r="AA205" s="2" t="s">
        <v>140</v>
      </c>
      <c r="AB205" s="17" t="s">
        <v>141</v>
      </c>
      <c r="AC205" s="14" t="s">
        <v>148</v>
      </c>
      <c r="AD205" s="14" t="s">
        <v>143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144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145</v>
      </c>
      <c r="N206" s="2" t="s">
        <v>162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149</v>
      </c>
      <c r="AB206" s="17" t="s">
        <v>141</v>
      </c>
      <c r="AC206" s="14" t="s">
        <v>148</v>
      </c>
      <c r="AD206" s="14" t="s">
        <v>143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144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168</v>
      </c>
      <c r="M207" s="3" t="s">
        <v>172</v>
      </c>
      <c r="O207" s="17"/>
      <c r="AA207" s="22" t="s">
        <v>140</v>
      </c>
      <c r="AB207" s="18" t="s">
        <v>141</v>
      </c>
      <c r="AC207" s="14" t="s">
        <v>148</v>
      </c>
      <c r="AD207" s="14" t="s">
        <v>143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144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161</v>
      </c>
      <c r="N208" s="2" t="s">
        <v>162</v>
      </c>
      <c r="O208" s="17">
        <v>10</v>
      </c>
      <c r="AA208" s="2" t="s">
        <v>149</v>
      </c>
      <c r="AB208" s="17" t="s">
        <v>141</v>
      </c>
      <c r="AC208" s="14" t="s">
        <v>148</v>
      </c>
      <c r="AD208" s="14" t="s">
        <v>143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144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0</v>
      </c>
      <c r="AU208" s="19" t="str">
        <f t="shared" si="15"/>
        <v/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155</v>
      </c>
      <c r="N209" s="2" t="s">
        <v>3</v>
      </c>
      <c r="O209" s="17"/>
      <c r="AA209" s="2" t="s">
        <v>139</v>
      </c>
      <c r="AB209" s="17" t="s">
        <v>147</v>
      </c>
      <c r="AC209" s="14" t="s">
        <v>142</v>
      </c>
      <c r="AD209" s="14" t="s">
        <v>154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144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155</v>
      </c>
      <c r="N210" s="2" t="s">
        <v>163</v>
      </c>
      <c r="O210" s="17"/>
      <c r="AA210" s="2" t="s">
        <v>139</v>
      </c>
      <c r="AB210" s="17" t="s">
        <v>147</v>
      </c>
      <c r="AC210" s="14" t="s">
        <v>142</v>
      </c>
      <c r="AD210" s="14" t="s">
        <v>154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144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155</v>
      </c>
      <c r="N211" s="2" t="s">
        <v>163</v>
      </c>
      <c r="O211" s="17"/>
      <c r="AA211" s="2" t="s">
        <v>149</v>
      </c>
      <c r="AB211" s="17" t="s">
        <v>141</v>
      </c>
      <c r="AC211" s="14" t="s">
        <v>148</v>
      </c>
      <c r="AD211" s="14" t="s">
        <v>143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144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172</v>
      </c>
      <c r="O212" s="17"/>
      <c r="AA212" s="2" t="s">
        <v>140</v>
      </c>
      <c r="AB212" s="17" t="s">
        <v>141</v>
      </c>
      <c r="AC212" s="14" t="s">
        <v>148</v>
      </c>
      <c r="AD212" s="14" t="s">
        <v>143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144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161</v>
      </c>
      <c r="N213" s="2" t="s">
        <v>151</v>
      </c>
      <c r="O213" s="17"/>
      <c r="AA213" s="2" t="s">
        <v>152</v>
      </c>
      <c r="AB213" s="17" t="s">
        <v>158</v>
      </c>
      <c r="AC213" s="14" t="s">
        <v>159</v>
      </c>
      <c r="AD213" s="14" t="s">
        <v>154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144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161</v>
      </c>
      <c r="N214" s="2" t="s">
        <v>162</v>
      </c>
      <c r="O214" s="17">
        <v>7</v>
      </c>
      <c r="AA214" s="2" t="s">
        <v>149</v>
      </c>
      <c r="AB214" s="17" t="s">
        <v>147</v>
      </c>
      <c r="AC214" s="14" t="s">
        <v>148</v>
      </c>
      <c r="AD214" s="14" t="s">
        <v>154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144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155</v>
      </c>
      <c r="N215" s="2" t="s">
        <v>156</v>
      </c>
      <c r="O215" s="17">
        <v>7</v>
      </c>
      <c r="P215" s="2">
        <v>4</v>
      </c>
      <c r="AA215" s="2" t="s">
        <v>139</v>
      </c>
      <c r="AB215" s="17" t="s">
        <v>141</v>
      </c>
      <c r="AC215" s="14" t="s">
        <v>142</v>
      </c>
      <c r="AD215" s="14" t="s">
        <v>143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144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172</v>
      </c>
      <c r="O216" s="17"/>
      <c r="AA216" s="2" t="s">
        <v>140</v>
      </c>
      <c r="AB216" s="17" t="s">
        <v>141</v>
      </c>
      <c r="AC216" s="14" t="s">
        <v>148</v>
      </c>
      <c r="AD216" s="14" t="s">
        <v>154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144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172</v>
      </c>
      <c r="O217" s="17"/>
      <c r="AA217" s="2" t="s">
        <v>140</v>
      </c>
      <c r="AB217" s="17" t="s">
        <v>141</v>
      </c>
      <c r="AC217" s="14" t="s">
        <v>148</v>
      </c>
      <c r="AD217" s="14" t="s">
        <v>143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144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138</v>
      </c>
      <c r="N218" s="2" t="s">
        <v>163</v>
      </c>
      <c r="O218" s="17"/>
      <c r="AA218" s="2" t="s">
        <v>140</v>
      </c>
      <c r="AB218" s="17" t="s">
        <v>147</v>
      </c>
      <c r="AC218" s="14" t="s">
        <v>148</v>
      </c>
      <c r="AD218" s="14" t="s">
        <v>143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144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161</v>
      </c>
      <c r="N219" s="2" t="s">
        <v>150</v>
      </c>
      <c r="O219" s="17">
        <v>7</v>
      </c>
      <c r="P219" s="2">
        <v>20</v>
      </c>
      <c r="AA219" s="2" t="s">
        <v>140</v>
      </c>
      <c r="AB219" s="17" t="s">
        <v>147</v>
      </c>
      <c r="AC219" s="14" t="s">
        <v>148</v>
      </c>
      <c r="AD219" s="14" t="s">
        <v>143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144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161</v>
      </c>
      <c r="N220" s="2" t="s">
        <v>3</v>
      </c>
      <c r="O220" s="17"/>
      <c r="AA220" s="2" t="s">
        <v>140</v>
      </c>
      <c r="AB220" s="17" t="s">
        <v>141</v>
      </c>
      <c r="AC220" s="14" t="s">
        <v>148</v>
      </c>
      <c r="AD220" s="14" t="s">
        <v>154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144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157</v>
      </c>
      <c r="N221" s="2" t="s">
        <v>174</v>
      </c>
      <c r="O221" s="17">
        <v>25</v>
      </c>
      <c r="P221" s="2">
        <v>4</v>
      </c>
      <c r="AA221" s="2" t="s">
        <v>152</v>
      </c>
      <c r="AB221" s="17" t="s">
        <v>147</v>
      </c>
      <c r="AC221" s="14" t="s">
        <v>142</v>
      </c>
      <c r="AD221" s="14" t="s">
        <v>154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144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161</v>
      </c>
      <c r="N222" s="2" t="s">
        <v>156</v>
      </c>
      <c r="O222" s="17"/>
      <c r="AA222" s="2" t="s">
        <v>140</v>
      </c>
      <c r="AB222" s="17" t="s">
        <v>141</v>
      </c>
      <c r="AC222" s="14" t="s">
        <v>148</v>
      </c>
      <c r="AD222" s="14" t="s">
        <v>143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144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161</v>
      </c>
      <c r="N223" s="2" t="s">
        <v>156</v>
      </c>
      <c r="O223" s="17">
        <v>13</v>
      </c>
      <c r="P223" s="2">
        <v>8</v>
      </c>
      <c r="Q223" s="2">
        <v>20</v>
      </c>
      <c r="AA223" s="2" t="s">
        <v>149</v>
      </c>
      <c r="AB223" s="17" t="s">
        <v>141</v>
      </c>
      <c r="AC223" s="14" t="s">
        <v>148</v>
      </c>
      <c r="AD223" s="14" t="s">
        <v>143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167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161</v>
      </c>
      <c r="N224" s="2" t="s">
        <v>170</v>
      </c>
      <c r="O224" s="17">
        <v>25</v>
      </c>
      <c r="P224" s="2">
        <v>13</v>
      </c>
      <c r="AA224" s="2" t="s">
        <v>139</v>
      </c>
      <c r="AB224" s="17" t="s">
        <v>147</v>
      </c>
      <c r="AC224" s="14" t="s">
        <v>142</v>
      </c>
      <c r="AD224" s="14" t="s">
        <v>154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144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161</v>
      </c>
      <c r="N225" s="2" t="s">
        <v>156</v>
      </c>
      <c r="O225" s="17"/>
      <c r="AA225" s="2" t="s">
        <v>149</v>
      </c>
      <c r="AB225" s="17" t="s">
        <v>147</v>
      </c>
      <c r="AC225" s="14" t="s">
        <v>148</v>
      </c>
      <c r="AD225" s="14" t="s">
        <v>154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144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13</v>
      </c>
      <c r="B226" s="2" t="s">
        <v>76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FCN</v>
      </c>
      <c r="E226" s="18">
        <f>IF(Abschlüsse[[#This Row],[Ergeb]]="ET",0,COUNTIFS($A$2:$A226,$A226,$B$2:$B226,$B226,$L$2:$L226,"&lt;&gt;ET"))</f>
        <v>1</v>
      </c>
      <c r="F226" s="11">
        <v>7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20</v>
      </c>
      <c r="M226" s="2" t="s">
        <v>161</v>
      </c>
      <c r="N226" s="2" t="s">
        <v>156</v>
      </c>
      <c r="O226" s="17"/>
      <c r="AA226" s="2" t="s">
        <v>140</v>
      </c>
      <c r="AB226" s="17" t="s">
        <v>147</v>
      </c>
      <c r="AC226" s="14" t="s">
        <v>148</v>
      </c>
      <c r="AD226" s="14" t="s">
        <v>154</v>
      </c>
      <c r="AE226" s="18"/>
      <c r="AF226" s="13">
        <v>-2</v>
      </c>
      <c r="AG226" s="13">
        <v>17.5</v>
      </c>
      <c r="AH226" s="19">
        <f t="shared" ref="AH226:AH254" si="16">IF($L226="ET","",IF($AF226&gt;3.66,SQRT($AG226^2+($AF226-(7.32/2))^2),IF($AF226&lt;-3.66,SQRT($AG226^2+($AF226+(7.32/2))^2),$AG226)))</f>
        <v>17.5</v>
      </c>
      <c r="AI226" s="19">
        <f t="shared" ref="AI226:AI254" si="17">IF($L226="ET","",IF(DEGREES(ATAN((7.32*$AG226)/($AG226^2+$AF226^2-(7.32/2)^2)))&lt;=0,180+DEGREES(ATAN((7.32*$AG226)/($AG226^2+$AF226^2-(7.32/2)^2))),DEGREES(ATAN((7.32*$AG226)/($AG226^2+$AF226^2-(7.32/2)^2)))))</f>
        <v>23.341389828691302</v>
      </c>
      <c r="AJ226" s="2" t="s">
        <v>144</v>
      </c>
      <c r="AK226" s="13">
        <v>-0.5</v>
      </c>
      <c r="AL226" s="13">
        <v>0.5</v>
      </c>
      <c r="AM226" s="19">
        <f>IF(Abschlüsse[[#This Row],[Ergeb]]="ET","",SQRT(($AF226-$AK226)^2+($AG226-$AL226)^2))</f>
        <v>17.066048165876012</v>
      </c>
      <c r="AN226" s="3">
        <v>1</v>
      </c>
      <c r="AO226" s="13">
        <v>-2.5</v>
      </c>
      <c r="AP226" s="13">
        <v>17</v>
      </c>
      <c r="AQ226" s="19">
        <f t="shared" ref="AQ226:AQ254" si="18">IF(AN226=0,"",SQRT(($AF226-$AO226)^2+($AG226-$AP226)^2))</f>
        <v>0.70710678118654757</v>
      </c>
      <c r="AR226" s="3">
        <v>2</v>
      </c>
      <c r="AS226" s="13">
        <v>-2</v>
      </c>
      <c r="AT226" s="13">
        <v>14</v>
      </c>
      <c r="AU226" s="19">
        <f t="shared" ref="AU226:AU254" si="19">IF(AR226=0,"",SQRT(($AF226-$AS226)^2+($AG226-$AT226)^2))</f>
        <v>3.5</v>
      </c>
    </row>
    <row r="227" spans="1:47" ht="25.05" customHeight="1">
      <c r="A227" s="3">
        <v>13</v>
      </c>
      <c r="B227" s="2" t="s">
        <v>76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FCN</v>
      </c>
      <c r="E227" s="18">
        <f>IF(Abschlüsse[[#This Row],[Ergeb]]="ET",0,COUNTIFS($A$2:$A227,$A227,$B$2:$B227,$B227,$L$2:$L227,"&lt;&gt;ET"))</f>
        <v>2</v>
      </c>
      <c r="F227" s="11">
        <v>7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1</v>
      </c>
      <c r="L227" s="17" t="s">
        <v>19</v>
      </c>
      <c r="M227" s="2" t="s">
        <v>161</v>
      </c>
      <c r="N227" s="2" t="s">
        <v>163</v>
      </c>
      <c r="O227" s="17"/>
      <c r="AA227" s="2" t="s">
        <v>152</v>
      </c>
      <c r="AB227" s="17" t="s">
        <v>141</v>
      </c>
      <c r="AC227" s="14" t="s">
        <v>159</v>
      </c>
      <c r="AD227" s="14" t="s">
        <v>160</v>
      </c>
      <c r="AE227" s="18"/>
      <c r="AF227" s="13">
        <v>-12</v>
      </c>
      <c r="AG227" s="13">
        <v>15.5</v>
      </c>
      <c r="AH227" s="19">
        <f t="shared" si="16"/>
        <v>17.601295406872758</v>
      </c>
      <c r="AI227" s="19">
        <f t="shared" si="17"/>
        <v>17.011080950867086</v>
      </c>
      <c r="AJ227" s="2" t="s">
        <v>144</v>
      </c>
      <c r="AK227" s="13">
        <v>-2</v>
      </c>
      <c r="AL227" s="13">
        <v>1</v>
      </c>
      <c r="AM227" s="19">
        <f>IF(Abschlüsse[[#This Row],[Ergeb]]="ET","",SQRT(($AF227-$AK227)^2+($AG227-$AL227)^2))</f>
        <v>17.613914953808536</v>
      </c>
      <c r="AN227" s="3">
        <v>0</v>
      </c>
      <c r="AO227" s="13"/>
      <c r="AP227" s="13"/>
      <c r="AQ227" s="19" t="str">
        <f t="shared" si="18"/>
        <v/>
      </c>
      <c r="AR227" s="3">
        <v>2</v>
      </c>
      <c r="AS227" s="13">
        <v>-10.5</v>
      </c>
      <c r="AT227" s="13">
        <v>13.5</v>
      </c>
      <c r="AU227" s="19">
        <f t="shared" si="19"/>
        <v>2.5</v>
      </c>
    </row>
    <row r="228" spans="1:47" ht="25.05" customHeight="1">
      <c r="A228" s="3">
        <v>13</v>
      </c>
      <c r="B228" s="2" t="s">
        <v>8</v>
      </c>
      <c r="C228" s="17" t="str">
        <f>IF($A228="","",IF(VLOOKUP($A228,Spiele!$A$2:$D$15,3,FALSE)=$B228,"H","G"))</f>
        <v>H</v>
      </c>
      <c r="D228" s="17" t="str">
        <f>IF($B228="","",IF(VLOOKUP($A228,Spiele!$A$2:$F$15,3,FALSE)=$B228,VLOOKUP($A228,Spiele!$A$2:$F$15,4,FALSE),VLOOKUP($A228,Spiele!$A$2:$F$15,3,FALSE)))</f>
        <v>60M</v>
      </c>
      <c r="E228" s="18">
        <f>IF(Abschlüsse[[#This Row],[Ergeb]]="ET",0,COUNTIFS($A$2:$A228,$A228,$B$2:$B228,$B228,$L$2:$L228,"&lt;&gt;ET"))</f>
        <v>1</v>
      </c>
      <c r="F228" s="11">
        <v>8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2</v>
      </c>
      <c r="L228" s="17" t="s">
        <v>19</v>
      </c>
      <c r="M228" s="2" t="s">
        <v>161</v>
      </c>
      <c r="N228" s="2" t="s">
        <v>162</v>
      </c>
      <c r="O228" s="17">
        <v>8</v>
      </c>
      <c r="AA228" s="2" t="s">
        <v>149</v>
      </c>
      <c r="AB228" s="17" t="s">
        <v>141</v>
      </c>
      <c r="AC228" s="14" t="s">
        <v>148</v>
      </c>
      <c r="AD228" s="14" t="s">
        <v>154</v>
      </c>
      <c r="AE228" s="18">
        <v>9</v>
      </c>
      <c r="AF228" s="13">
        <v>-3.5</v>
      </c>
      <c r="AG228" s="13">
        <v>11.5</v>
      </c>
      <c r="AH228" s="19">
        <f t="shared" si="16"/>
        <v>11.5</v>
      </c>
      <c r="AI228" s="19">
        <f t="shared" si="17"/>
        <v>32.703859314557576</v>
      </c>
      <c r="AJ228" s="2" t="s">
        <v>144</v>
      </c>
      <c r="AK228" s="13">
        <v>-1.5</v>
      </c>
      <c r="AL228" s="13">
        <v>3.5</v>
      </c>
      <c r="AM228" s="19">
        <f>IF(Abschlüsse[[#This Row],[Ergeb]]="ET","",SQRT(($AF228-$AK228)^2+($AG228-$AL228)^2))</f>
        <v>8.2462112512353212</v>
      </c>
      <c r="AN228" s="3">
        <v>0</v>
      </c>
      <c r="AO228" s="13"/>
      <c r="AP228" s="13"/>
      <c r="AQ228" s="19" t="str">
        <f t="shared" si="18"/>
        <v/>
      </c>
      <c r="AR228" s="3">
        <v>1</v>
      </c>
      <c r="AS228" s="13">
        <v>-3.5</v>
      </c>
      <c r="AT228" s="13">
        <v>9.5</v>
      </c>
      <c r="AU228" s="19">
        <f t="shared" si="19"/>
        <v>2</v>
      </c>
    </row>
    <row r="229" spans="1:47" ht="25.05" customHeight="1">
      <c r="A229" s="3">
        <v>13</v>
      </c>
      <c r="B229" s="2" t="s">
        <v>76</v>
      </c>
      <c r="C229" s="17" t="str">
        <f>IF($A229="","",IF(VLOOKUP($A229,Spiele!$A$2:$D$15,3,FALSE)=$B229,"H","G"))</f>
        <v>G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3</v>
      </c>
      <c r="F229" s="11">
        <v>9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3</v>
      </c>
      <c r="L229" s="17" t="s">
        <v>18</v>
      </c>
      <c r="M229" s="2" t="s">
        <v>145</v>
      </c>
      <c r="N229" s="2" t="s">
        <v>156</v>
      </c>
      <c r="O229" s="17"/>
      <c r="AA229" s="2" t="s">
        <v>152</v>
      </c>
      <c r="AB229" s="17" t="s">
        <v>141</v>
      </c>
      <c r="AC229" s="14" t="s">
        <v>142</v>
      </c>
      <c r="AD229" s="14" t="s">
        <v>154</v>
      </c>
      <c r="AE229" s="18"/>
      <c r="AF229" s="13">
        <v>-0.5</v>
      </c>
      <c r="AG229" s="13">
        <v>15.5</v>
      </c>
      <c r="AH229" s="19">
        <f t="shared" si="16"/>
        <v>15.5</v>
      </c>
      <c r="AI229" s="19">
        <f t="shared" si="17"/>
        <v>26.546439371443093</v>
      </c>
      <c r="AJ229" s="2" t="s">
        <v>144</v>
      </c>
      <c r="AK229" s="13">
        <v>0.5</v>
      </c>
      <c r="AL229" s="13">
        <v>0.5</v>
      </c>
      <c r="AM229" s="19">
        <f>IF(Abschlüsse[[#This Row],[Ergeb]]="ET","",SQRT(($AF229-$AK229)^2+($AG229-$AL229)^2))</f>
        <v>15.033296378372908</v>
      </c>
      <c r="AN229" s="3">
        <v>0</v>
      </c>
      <c r="AO229" s="13"/>
      <c r="AP229" s="13"/>
      <c r="AQ229" s="19" t="str">
        <f t="shared" si="18"/>
        <v/>
      </c>
      <c r="AR229" s="3">
        <v>2</v>
      </c>
      <c r="AS229" s="13">
        <v>-1</v>
      </c>
      <c r="AT229" s="13">
        <v>9.5</v>
      </c>
      <c r="AU229" s="19">
        <f t="shared" si="19"/>
        <v>6.0207972893961479</v>
      </c>
    </row>
    <row r="230" spans="1:47" ht="25.05" customHeight="1">
      <c r="A230" s="3">
        <v>13</v>
      </c>
      <c r="B230" s="2" t="s">
        <v>8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60M</v>
      </c>
      <c r="E230" s="18">
        <f>IF(Abschlüsse[[#This Row],[Ergeb]]="ET",0,COUNTIFS($A$2:$A230,$A230,$B$2:$B230,$B230,$L$2:$L230,"&lt;&gt;ET"))</f>
        <v>2</v>
      </c>
      <c r="F230" s="11">
        <v>10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4</v>
      </c>
      <c r="L230" s="17" t="s">
        <v>19</v>
      </c>
      <c r="M230" s="2" t="s">
        <v>161</v>
      </c>
      <c r="N230" s="2" t="s">
        <v>150</v>
      </c>
      <c r="O230" s="17">
        <v>9</v>
      </c>
      <c r="P230" s="2">
        <v>6</v>
      </c>
      <c r="Q230" s="2">
        <v>7</v>
      </c>
      <c r="R230" s="2">
        <v>23</v>
      </c>
      <c r="AA230" s="2" t="s">
        <v>149</v>
      </c>
      <c r="AB230" s="17" t="s">
        <v>141</v>
      </c>
      <c r="AC230" s="14" t="s">
        <v>148</v>
      </c>
      <c r="AD230" s="14" t="s">
        <v>143</v>
      </c>
      <c r="AE230" s="18">
        <v>7</v>
      </c>
      <c r="AF230" s="13">
        <v>15</v>
      </c>
      <c r="AG230" s="13">
        <v>7.5</v>
      </c>
      <c r="AH230" s="19">
        <f t="shared" si="16"/>
        <v>13.595793467098565</v>
      </c>
      <c r="AI230" s="19">
        <f t="shared" si="17"/>
        <v>11.583042211219654</v>
      </c>
      <c r="AJ230" s="2" t="s">
        <v>144</v>
      </c>
      <c r="AK230" s="13">
        <v>4</v>
      </c>
      <c r="AL230" s="13">
        <v>1.5</v>
      </c>
      <c r="AM230" s="19">
        <f>IF(Abschlüsse[[#This Row],[Ergeb]]="ET","",SQRT(($AF230-$AK230)^2+($AG230-$AL230)^2))</f>
        <v>12.529964086141668</v>
      </c>
      <c r="AN230" s="3">
        <v>1</v>
      </c>
      <c r="AO230" s="13">
        <v>13.5</v>
      </c>
      <c r="AP230" s="13">
        <v>8.5</v>
      </c>
      <c r="AQ230" s="19">
        <f t="shared" si="18"/>
        <v>1.8027756377319946</v>
      </c>
      <c r="AR230" s="3">
        <v>0</v>
      </c>
      <c r="AU230" s="19" t="str">
        <f t="shared" si="19"/>
        <v/>
      </c>
    </row>
    <row r="231" spans="1:47" ht="25.05" customHeight="1">
      <c r="A231" s="3">
        <v>13</v>
      </c>
      <c r="B231" s="2" t="s">
        <v>76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FCN</v>
      </c>
      <c r="E231" s="18">
        <f>IF(Abschlüsse[[#This Row],[Ergeb]]="ET",0,COUNTIFS($A$2:$A231,$A231,$B$2:$B231,$B231,$L$2:$L231,"&lt;&gt;ET"))</f>
        <v>4</v>
      </c>
      <c r="F231" s="11">
        <v>14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/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5</v>
      </c>
      <c r="L231" s="17" t="s">
        <v>20</v>
      </c>
      <c r="M231" s="2" t="s">
        <v>145</v>
      </c>
      <c r="N231" s="2" t="s">
        <v>151</v>
      </c>
      <c r="O231" s="17"/>
      <c r="AA231" s="2" t="s">
        <v>152</v>
      </c>
      <c r="AB231" s="17" t="s">
        <v>158</v>
      </c>
      <c r="AC231" s="14" t="s">
        <v>159</v>
      </c>
      <c r="AD231" s="14" t="s">
        <v>154</v>
      </c>
      <c r="AE231" s="18"/>
      <c r="AF231" s="13">
        <v>7.5</v>
      </c>
      <c r="AG231" s="13">
        <v>13</v>
      </c>
      <c r="AH231" s="19">
        <f t="shared" si="16"/>
        <v>13.555279414309393</v>
      </c>
      <c r="AI231" s="19">
        <f t="shared" si="17"/>
        <v>24.188491715950388</v>
      </c>
      <c r="AJ231" s="2" t="s">
        <v>144</v>
      </c>
      <c r="AK231" s="13">
        <v>1</v>
      </c>
      <c r="AL231" s="13">
        <v>0.5</v>
      </c>
      <c r="AM231" s="19">
        <f>IF(Abschlüsse[[#This Row],[Ergeb]]="ET","",SQRT(($AF231-$AK231)^2+($AG231-$AL231)^2))</f>
        <v>14.089002803605371</v>
      </c>
      <c r="AN231" s="3">
        <v>0</v>
      </c>
      <c r="AO231" s="13"/>
      <c r="AP231" s="13"/>
      <c r="AQ231" s="19" t="str">
        <f t="shared" si="18"/>
        <v/>
      </c>
      <c r="AR231" s="3">
        <v>2</v>
      </c>
      <c r="AS231" s="13">
        <v>7</v>
      </c>
      <c r="AT231" s="13">
        <v>12</v>
      </c>
      <c r="AU231" s="19">
        <f t="shared" si="19"/>
        <v>1.1180339887498949</v>
      </c>
    </row>
    <row r="232" spans="1:47" ht="25.05" customHeight="1">
      <c r="A232" s="3">
        <v>13</v>
      </c>
      <c r="B232" s="2" t="s">
        <v>76</v>
      </c>
      <c r="C232" s="17" t="str">
        <f>IF($A232="","",IF(VLOOKUP($A232,Spiele!$A$2:$D$15,3,FALSE)=$B232,"H","G"))</f>
        <v>G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5</v>
      </c>
      <c r="F232" s="11">
        <v>18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0</v>
      </c>
      <c r="K232" s="3">
        <v>6</v>
      </c>
      <c r="L232" s="17" t="s">
        <v>20</v>
      </c>
      <c r="M232" s="2" t="s">
        <v>161</v>
      </c>
      <c r="N232" s="2" t="s">
        <v>3</v>
      </c>
      <c r="O232" s="17"/>
      <c r="AA232" s="2" t="s">
        <v>139</v>
      </c>
      <c r="AB232" s="17" t="s">
        <v>147</v>
      </c>
      <c r="AC232" s="14" t="s">
        <v>148</v>
      </c>
      <c r="AD232" s="14" t="s">
        <v>143</v>
      </c>
      <c r="AE232" s="18"/>
      <c r="AF232" s="13">
        <v>1</v>
      </c>
      <c r="AG232" s="13">
        <v>19</v>
      </c>
      <c r="AH232" s="19">
        <f t="shared" si="16"/>
        <v>19</v>
      </c>
      <c r="AI232" s="19">
        <f t="shared" si="17"/>
        <v>21.750134253188115</v>
      </c>
      <c r="AJ232" s="2" t="s">
        <v>144</v>
      </c>
      <c r="AK232" s="13">
        <v>0</v>
      </c>
      <c r="AL232" s="13">
        <v>0.5</v>
      </c>
      <c r="AM232" s="19">
        <f>IF(Abschlüsse[[#This Row],[Ergeb]]="ET","",SQRT(($AF232-$AK232)^2+($AG232-$AL232)^2))</f>
        <v>18.527007313648905</v>
      </c>
      <c r="AN232" s="3">
        <v>1</v>
      </c>
      <c r="AO232" s="13">
        <v>-1.5</v>
      </c>
      <c r="AP232" s="13">
        <v>18</v>
      </c>
      <c r="AQ232" s="19">
        <f t="shared" si="18"/>
        <v>2.6925824035672519</v>
      </c>
      <c r="AR232" s="3">
        <v>2</v>
      </c>
      <c r="AS232" s="13">
        <v>1</v>
      </c>
      <c r="AT232" s="13">
        <v>14</v>
      </c>
      <c r="AU232" s="19">
        <f t="shared" si="19"/>
        <v>5</v>
      </c>
    </row>
    <row r="233" spans="1:47" ht="25.05" customHeight="1">
      <c r="A233" s="3">
        <v>13</v>
      </c>
      <c r="B233" s="2" t="s">
        <v>76</v>
      </c>
      <c r="C233" s="17" t="str">
        <f>IF($A233="","",IF(VLOOKUP($A233,Spiele!$A$2:$D$15,3,FALSE)=$B233,"H","G"))</f>
        <v>G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6</v>
      </c>
      <c r="F233" s="11">
        <v>18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0</v>
      </c>
      <c r="K233" s="3">
        <v>6</v>
      </c>
      <c r="L233" s="17" t="s">
        <v>20</v>
      </c>
      <c r="M233" s="2" t="s">
        <v>161</v>
      </c>
      <c r="N233" s="2" t="s">
        <v>3</v>
      </c>
      <c r="O233" s="17"/>
      <c r="AA233" s="2" t="s">
        <v>140</v>
      </c>
      <c r="AB233" s="17" t="s">
        <v>147</v>
      </c>
      <c r="AC233" s="14" t="s">
        <v>148</v>
      </c>
      <c r="AD233" s="14" t="s">
        <v>143</v>
      </c>
      <c r="AE233" s="18"/>
      <c r="AF233" s="13">
        <v>6.5</v>
      </c>
      <c r="AG233" s="13">
        <v>14.5</v>
      </c>
      <c r="AH233" s="19">
        <f t="shared" si="16"/>
        <v>14.775506759498978</v>
      </c>
      <c r="AI233" s="19">
        <f t="shared" si="17"/>
        <v>23.936746455580142</v>
      </c>
      <c r="AJ233" s="2" t="s">
        <v>144</v>
      </c>
      <c r="AK233" s="13">
        <v>0.5</v>
      </c>
      <c r="AL233" s="13">
        <v>0.5</v>
      </c>
      <c r="AM233" s="19">
        <f>IF(Abschlüsse[[#This Row],[Ergeb]]="ET","",SQRT(($AF233-$AK233)^2+($AG233-$AL233)^2))</f>
        <v>15.231546211727817</v>
      </c>
      <c r="AN233" s="3">
        <v>2</v>
      </c>
      <c r="AO233" s="13">
        <v>3</v>
      </c>
      <c r="AP233" s="13">
        <v>14.5</v>
      </c>
      <c r="AQ233" s="19">
        <f t="shared" si="18"/>
        <v>3.5</v>
      </c>
      <c r="AR233" s="3">
        <v>2</v>
      </c>
      <c r="AS233" s="13">
        <v>6</v>
      </c>
      <c r="AT233" s="13">
        <v>13.5</v>
      </c>
      <c r="AU233" s="19">
        <f t="shared" si="19"/>
        <v>1.1180339887498949</v>
      </c>
    </row>
    <row r="234" spans="1:47" ht="25.05" customHeight="1">
      <c r="A234" s="3">
        <v>13</v>
      </c>
      <c r="B234" s="2" t="s">
        <v>8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60M</v>
      </c>
      <c r="E234" s="18">
        <f>IF(Abschlüsse[[#This Row],[Ergeb]]="ET",0,COUNTIFS($A$2:$A234,$A234,$B$2:$B234,$B234,$L$2:$L234,"&lt;&gt;ET"))</f>
        <v>3</v>
      </c>
      <c r="F234" s="11">
        <v>18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0</v>
      </c>
      <c r="K234" s="3">
        <v>7</v>
      </c>
      <c r="L234" s="17" t="s">
        <v>19</v>
      </c>
      <c r="M234" s="2" t="s">
        <v>161</v>
      </c>
      <c r="N234" s="2" t="s">
        <v>156</v>
      </c>
      <c r="O234" s="17">
        <v>7</v>
      </c>
      <c r="AA234" s="2" t="s">
        <v>149</v>
      </c>
      <c r="AB234" s="17" t="s">
        <v>147</v>
      </c>
      <c r="AC234" s="14" t="s">
        <v>148</v>
      </c>
      <c r="AD234" s="14" t="s">
        <v>143</v>
      </c>
      <c r="AE234" s="18">
        <v>8</v>
      </c>
      <c r="AF234" s="13">
        <v>4.5</v>
      </c>
      <c r="AG234" s="13">
        <v>14.5</v>
      </c>
      <c r="AH234" s="19">
        <f t="shared" si="16"/>
        <v>14.524310654898565</v>
      </c>
      <c r="AI234" s="19">
        <f t="shared" si="17"/>
        <v>26.053510457112758</v>
      </c>
      <c r="AJ234" s="2" t="s">
        <v>144</v>
      </c>
      <c r="AK234" s="13">
        <v>1.5</v>
      </c>
      <c r="AL234" s="13">
        <v>3.5</v>
      </c>
      <c r="AM234" s="19">
        <f>IF(Abschlüsse[[#This Row],[Ergeb]]="ET","",SQRT(($AF234-$AK234)^2+($AG234-$AL234)^2))</f>
        <v>11.401754250991379</v>
      </c>
      <c r="AN234" s="3">
        <v>1</v>
      </c>
      <c r="AO234" s="13">
        <v>7</v>
      </c>
      <c r="AP234" s="13">
        <v>11.5</v>
      </c>
      <c r="AQ234" s="19">
        <f t="shared" si="18"/>
        <v>3.905124837953327</v>
      </c>
      <c r="AR234" s="3">
        <v>2</v>
      </c>
      <c r="AS234" s="13">
        <v>4</v>
      </c>
      <c r="AT234" s="13">
        <v>10.5</v>
      </c>
      <c r="AU234" s="19">
        <f t="shared" si="19"/>
        <v>4.0311288741492746</v>
      </c>
    </row>
    <row r="235" spans="1:47" ht="25.05" customHeight="1">
      <c r="A235" s="3">
        <v>13</v>
      </c>
      <c r="B235" s="2" t="s">
        <v>8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60M</v>
      </c>
      <c r="E235" s="18">
        <f>IF(Abschlüsse[[#This Row],[Ergeb]]="ET",0,COUNTIFS($A$2:$A235,$A235,$B$2:$B235,$B235,$L$2:$L235,"&lt;&gt;ET"))</f>
        <v>4</v>
      </c>
      <c r="F235" s="11">
        <v>22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0</v>
      </c>
      <c r="K235" s="3">
        <v>8</v>
      </c>
      <c r="L235" s="17" t="s">
        <v>19</v>
      </c>
      <c r="M235" s="2" t="s">
        <v>166</v>
      </c>
      <c r="N235" s="2" t="s">
        <v>3</v>
      </c>
      <c r="O235" s="17"/>
      <c r="AA235" s="2" t="s">
        <v>139</v>
      </c>
      <c r="AB235" s="17" t="s">
        <v>141</v>
      </c>
      <c r="AC235" s="14" t="s">
        <v>142</v>
      </c>
      <c r="AD235" s="14" t="s">
        <v>143</v>
      </c>
      <c r="AE235" s="18">
        <v>6</v>
      </c>
      <c r="AF235" s="13">
        <v>-6.5</v>
      </c>
      <c r="AG235" s="13">
        <v>16.5</v>
      </c>
      <c r="AH235" s="19">
        <f t="shared" si="16"/>
        <v>16.742628228566744</v>
      </c>
      <c r="AI235" s="19">
        <f t="shared" si="17"/>
        <v>21.856872591143812</v>
      </c>
      <c r="AJ235" s="2" t="s">
        <v>144</v>
      </c>
      <c r="AK235" s="13">
        <v>-1.5</v>
      </c>
      <c r="AL235" s="13">
        <v>2</v>
      </c>
      <c r="AM235" s="19">
        <f>IF(Abschlüsse[[#This Row],[Ergeb]]="ET","",SQRT(($AF235-$AK235)^2+($AG235-$AL235)^2))</f>
        <v>15.337861650177967</v>
      </c>
      <c r="AN235" s="3">
        <v>1</v>
      </c>
      <c r="AO235" s="13">
        <v>-3</v>
      </c>
      <c r="AP235" s="13">
        <v>14</v>
      </c>
      <c r="AQ235" s="19">
        <f t="shared" si="18"/>
        <v>4.3011626335213133</v>
      </c>
      <c r="AR235" s="3">
        <v>2</v>
      </c>
      <c r="AS235" s="13">
        <v>-2</v>
      </c>
      <c r="AT235" s="13">
        <v>6</v>
      </c>
      <c r="AU235" s="19">
        <f t="shared" si="19"/>
        <v>11.423659658795863</v>
      </c>
    </row>
    <row r="236" spans="1:47" ht="25.05" customHeight="1">
      <c r="A236" s="3">
        <v>13</v>
      </c>
      <c r="B236" s="2" t="s">
        <v>8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60M</v>
      </c>
      <c r="E236" s="18">
        <f>IF(Abschlüsse[[#This Row],[Ergeb]]="ET",0,COUNTIFS($A$2:$A236,$A236,$B$2:$B236,$B236,$L$2:$L236,"&lt;&gt;ET"))</f>
        <v>5</v>
      </c>
      <c r="F236" s="11">
        <v>25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/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0</v>
      </c>
      <c r="K236" s="3">
        <v>9</v>
      </c>
      <c r="L236" s="17" t="s">
        <v>20</v>
      </c>
      <c r="M236" s="2" t="s">
        <v>155</v>
      </c>
      <c r="N236" s="2" t="s">
        <v>3</v>
      </c>
      <c r="O236" s="17"/>
      <c r="AA236" s="2" t="s">
        <v>149</v>
      </c>
      <c r="AB236" s="17" t="s">
        <v>147</v>
      </c>
      <c r="AC236" s="14" t="s">
        <v>148</v>
      </c>
      <c r="AD236" s="14" t="s">
        <v>154</v>
      </c>
      <c r="AE236" s="18">
        <v>20</v>
      </c>
      <c r="AF236" s="13">
        <v>-13.5</v>
      </c>
      <c r="AG236" s="13">
        <v>21.5</v>
      </c>
      <c r="AH236" s="19">
        <f t="shared" si="16"/>
        <v>23.644779550674606</v>
      </c>
      <c r="AI236" s="19">
        <f t="shared" si="17"/>
        <v>14.002393253988416</v>
      </c>
      <c r="AJ236" s="2" t="s">
        <v>144</v>
      </c>
      <c r="AK236" s="13">
        <v>-0.5</v>
      </c>
      <c r="AL236" s="13">
        <v>3</v>
      </c>
      <c r="AM236" s="19">
        <f>IF(Abschlüsse[[#This Row],[Ergeb]]="ET","",SQRT(($AF236-$AK236)^2+($AG236-$AL236)^2))</f>
        <v>22.610838109190027</v>
      </c>
      <c r="AN236" s="3">
        <v>0</v>
      </c>
      <c r="AO236" s="13"/>
      <c r="AP236" s="13"/>
      <c r="AQ236" s="19" t="str">
        <f t="shared" si="18"/>
        <v/>
      </c>
      <c r="AR236" s="3">
        <v>2</v>
      </c>
      <c r="AS236" s="13">
        <v>-12</v>
      </c>
      <c r="AT236" s="13">
        <v>20.5</v>
      </c>
      <c r="AU236" s="19">
        <f t="shared" si="19"/>
        <v>1.8027756377319946</v>
      </c>
    </row>
    <row r="237" spans="1:47" ht="25.05" customHeight="1">
      <c r="A237" s="3">
        <v>13</v>
      </c>
      <c r="B237" s="2" t="s">
        <v>76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FCN</v>
      </c>
      <c r="E237" s="18">
        <f>IF(Abschlüsse[[#This Row],[Ergeb]]="ET",0,COUNTIFS($A$2:$A237,$A237,$B$2:$B237,$B237,$L$2:$L237,"&lt;&gt;ET"))</f>
        <v>7</v>
      </c>
      <c r="F237" s="11">
        <v>28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10</v>
      </c>
      <c r="L237" s="17" t="s">
        <v>18</v>
      </c>
      <c r="M237" s="2" t="s">
        <v>161</v>
      </c>
      <c r="N237" s="2" t="s">
        <v>156</v>
      </c>
      <c r="O237" s="17"/>
      <c r="AA237" s="2" t="s">
        <v>149</v>
      </c>
      <c r="AB237" s="17" t="s">
        <v>141</v>
      </c>
      <c r="AC237" s="14" t="s">
        <v>148</v>
      </c>
      <c r="AD237" s="14" t="s">
        <v>143</v>
      </c>
      <c r="AE237" s="18"/>
      <c r="AF237" s="13">
        <v>0</v>
      </c>
      <c r="AG237" s="13">
        <v>25.5</v>
      </c>
      <c r="AH237" s="19">
        <f t="shared" si="16"/>
        <v>25.5</v>
      </c>
      <c r="AI237" s="19">
        <f t="shared" si="17"/>
        <v>16.335693207949546</v>
      </c>
      <c r="AJ237" s="2" t="s">
        <v>144</v>
      </c>
      <c r="AK237" s="13">
        <v>0</v>
      </c>
      <c r="AL237" s="13">
        <v>0.5</v>
      </c>
      <c r="AM237" s="19">
        <f>IF(Abschlüsse[[#This Row],[Ergeb]]="ET","",SQRT(($AF237-$AK237)^2+($AG237-$AL237)^2))</f>
        <v>25</v>
      </c>
      <c r="AN237" s="3">
        <v>1</v>
      </c>
      <c r="AO237" s="13">
        <v>-2</v>
      </c>
      <c r="AP237" s="13">
        <v>28</v>
      </c>
      <c r="AQ237" s="19">
        <f t="shared" si="18"/>
        <v>3.2015621187164243</v>
      </c>
      <c r="AR237" s="3">
        <v>1</v>
      </c>
      <c r="AS237" s="13">
        <v>0</v>
      </c>
      <c r="AT237" s="13">
        <v>17</v>
      </c>
      <c r="AU237" s="19">
        <f t="shared" si="19"/>
        <v>8.5</v>
      </c>
    </row>
    <row r="238" spans="1:47" ht="25.05" customHeight="1">
      <c r="A238" s="3">
        <v>13</v>
      </c>
      <c r="B238" s="2" t="s">
        <v>8</v>
      </c>
      <c r="C238" s="17" t="str">
        <f>IF($A238="","",IF(VLOOKUP($A238,Spiele!$A$2:$D$15,3,FALSE)=$B238,"H","G"))</f>
        <v>H</v>
      </c>
      <c r="D238" s="17" t="str">
        <f>IF($B238="","",IF(VLOOKUP($A238,Spiele!$A$2:$F$15,3,FALSE)=$B238,VLOOKUP($A238,Spiele!$A$2:$F$15,4,FALSE),VLOOKUP($A238,Spiele!$A$2:$F$15,3,FALSE)))</f>
        <v>60M</v>
      </c>
      <c r="E238" s="18">
        <f>IF(Abschlüsse[[#This Row],[Ergeb]]="ET",0,COUNTIFS($A$2:$A238,$A238,$B$2:$B238,$B238,$L$2:$L238,"&lt;&gt;ET"))</f>
        <v>6</v>
      </c>
      <c r="F238" s="11">
        <v>33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11</v>
      </c>
      <c r="L238" s="17" t="s">
        <v>19</v>
      </c>
      <c r="M238" s="2" t="s">
        <v>161</v>
      </c>
      <c r="N238" s="2" t="s">
        <v>162</v>
      </c>
      <c r="O238" s="17">
        <v>8</v>
      </c>
      <c r="P238" s="2">
        <v>16</v>
      </c>
      <c r="Q238" s="2">
        <v>26</v>
      </c>
      <c r="AA238" s="2" t="s">
        <v>149</v>
      </c>
      <c r="AB238" s="17" t="s">
        <v>147</v>
      </c>
      <c r="AC238" s="14" t="s">
        <v>148</v>
      </c>
      <c r="AD238" s="14" t="s">
        <v>143</v>
      </c>
      <c r="AE238" s="18">
        <v>7</v>
      </c>
      <c r="AF238" s="13">
        <v>5.5</v>
      </c>
      <c r="AG238" s="13">
        <v>17.5</v>
      </c>
      <c r="AH238" s="19">
        <f t="shared" si="16"/>
        <v>17.59646555419582</v>
      </c>
      <c r="AI238" s="19">
        <f t="shared" si="17"/>
        <v>21.626656434445117</v>
      </c>
      <c r="AJ238" s="2" t="s">
        <v>144</v>
      </c>
      <c r="AK238" s="13">
        <v>1</v>
      </c>
      <c r="AL238" s="13">
        <v>3</v>
      </c>
      <c r="AM238" s="19">
        <f>IF(Abschlüsse[[#This Row],[Ergeb]]="ET","",SQRT(($AF238-$AK238)^2+($AG238-$AL238)^2))</f>
        <v>15.182226450688976</v>
      </c>
      <c r="AN238" s="3">
        <v>2</v>
      </c>
      <c r="AO238" s="13">
        <v>6.5</v>
      </c>
      <c r="AP238" s="13">
        <v>18.5</v>
      </c>
      <c r="AQ238" s="19">
        <f t="shared" si="18"/>
        <v>1.4142135623730951</v>
      </c>
      <c r="AR238" s="3">
        <v>0</v>
      </c>
      <c r="AU238" s="19" t="str">
        <f t="shared" si="19"/>
        <v/>
      </c>
    </row>
    <row r="239" spans="1:47" ht="25.05" customHeight="1">
      <c r="A239" s="3">
        <v>13</v>
      </c>
      <c r="B239" s="2" t="s">
        <v>76</v>
      </c>
      <c r="C239" s="17" t="str">
        <f>IF($A239="","",IF(VLOOKUP($A239,Spiele!$A$2:$D$15,3,FALSE)=$B239,"H","G"))</f>
        <v>G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35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12</v>
      </c>
      <c r="L239" s="17" t="s">
        <v>19</v>
      </c>
      <c r="M239" s="2" t="s">
        <v>161</v>
      </c>
      <c r="N239" s="2" t="s">
        <v>151</v>
      </c>
      <c r="O239" s="17"/>
      <c r="AA239" s="2" t="s">
        <v>152</v>
      </c>
      <c r="AB239" s="17" t="s">
        <v>158</v>
      </c>
      <c r="AC239" s="14" t="s">
        <v>159</v>
      </c>
      <c r="AD239" s="14" t="s">
        <v>154</v>
      </c>
      <c r="AE239" s="18"/>
      <c r="AF239" s="13">
        <v>-1</v>
      </c>
      <c r="AG239" s="13">
        <v>9</v>
      </c>
      <c r="AH239" s="19">
        <f t="shared" si="16"/>
        <v>9</v>
      </c>
      <c r="AI239" s="19">
        <f t="shared" si="17"/>
        <v>43.839454439268671</v>
      </c>
      <c r="AJ239" s="2" t="s">
        <v>144</v>
      </c>
      <c r="AK239" s="13">
        <v>-1</v>
      </c>
      <c r="AL239" s="13">
        <v>0.5</v>
      </c>
      <c r="AM239" s="19">
        <f>IF(Abschlüsse[[#This Row],[Ergeb]]="ET","",SQRT(($AF239-$AK239)^2+($AG239-$AL239)^2))</f>
        <v>8.5</v>
      </c>
      <c r="AN239" s="3">
        <v>1</v>
      </c>
      <c r="AO239" s="13">
        <v>0</v>
      </c>
      <c r="AP239" s="13">
        <v>9</v>
      </c>
      <c r="AQ239" s="19">
        <f t="shared" si="18"/>
        <v>1</v>
      </c>
      <c r="AR239" s="3">
        <v>0</v>
      </c>
      <c r="AU239" s="19" t="str">
        <f t="shared" si="19"/>
        <v/>
      </c>
    </row>
    <row r="240" spans="1:47" ht="25.05" customHeight="1">
      <c r="A240" s="3">
        <v>13</v>
      </c>
      <c r="B240" s="2" t="s">
        <v>76</v>
      </c>
      <c r="C240" s="17" t="str">
        <f>IF($A240="","",IF(VLOOKUP($A240,Spiele!$A$2:$D$15,3,FALSE)=$B240,"H","G"))</f>
        <v>G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37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13</v>
      </c>
      <c r="L240" s="17" t="s">
        <v>19</v>
      </c>
      <c r="M240" s="2" t="s">
        <v>171</v>
      </c>
      <c r="N240" s="2" t="s">
        <v>171</v>
      </c>
      <c r="O240" s="17"/>
      <c r="AA240" s="2" t="s">
        <v>152</v>
      </c>
      <c r="AB240" s="17" t="s">
        <v>158</v>
      </c>
      <c r="AC240" s="14" t="s">
        <v>159</v>
      </c>
      <c r="AD240" s="14" t="s">
        <v>143</v>
      </c>
      <c r="AE240" s="18"/>
      <c r="AF240" s="13">
        <v>-6</v>
      </c>
      <c r="AG240" s="13">
        <v>1</v>
      </c>
      <c r="AH240" s="19">
        <f t="shared" si="16"/>
        <v>2.5447200238926087</v>
      </c>
      <c r="AI240" s="19">
        <f t="shared" si="17"/>
        <v>17.229273479884245</v>
      </c>
      <c r="AJ240" s="2" t="s">
        <v>144</v>
      </c>
      <c r="AK240" s="13">
        <v>-4</v>
      </c>
      <c r="AL240" s="13">
        <v>0.5</v>
      </c>
      <c r="AM240" s="19">
        <f>IF(Abschlüsse[[#This Row],[Ergeb]]="ET","",SQRT(($AF240-$AK240)^2+($AG240-$AL240)^2))</f>
        <v>2.0615528128088303</v>
      </c>
      <c r="AN240" s="3">
        <v>1</v>
      </c>
      <c r="AO240" s="13">
        <v>-5</v>
      </c>
      <c r="AP240" s="13">
        <v>1</v>
      </c>
      <c r="AQ240" s="19">
        <f t="shared" si="18"/>
        <v>1</v>
      </c>
      <c r="AR240" s="3">
        <v>1</v>
      </c>
      <c r="AS240" s="13">
        <v>-3.5</v>
      </c>
      <c r="AT240" s="13">
        <v>0.5</v>
      </c>
      <c r="AU240" s="19">
        <f t="shared" si="19"/>
        <v>2.5495097567963922</v>
      </c>
    </row>
    <row r="241" spans="1:47" ht="25.05" customHeight="1">
      <c r="A241" s="3">
        <v>13</v>
      </c>
      <c r="B241" s="2" t="s">
        <v>8</v>
      </c>
      <c r="C241" s="17" t="str">
        <f>IF($A241="","",IF(VLOOKUP($A241,Spiele!$A$2:$D$15,3,FALSE)=$B241,"H","G"))</f>
        <v>H</v>
      </c>
      <c r="D241" s="17" t="str">
        <f>IF($B241="","",IF(VLOOKUP($A241,Spiele!$A$2:$F$15,3,FALSE)=$B241,VLOOKUP($A241,Spiele!$A$2:$F$15,4,FALSE),VLOOKUP($A241,Spiele!$A$2:$F$15,3,FALSE)))</f>
        <v>60M</v>
      </c>
      <c r="E241" s="18">
        <f>IF(Abschlüsse[[#This Row],[Ergeb]]="ET",0,COUNTIFS($A$2:$A241,$A241,$B$2:$B241,$B241,$L$2:$L241,"&lt;&gt;ET"))</f>
        <v>7</v>
      </c>
      <c r="F241" s="11">
        <v>40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/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14</v>
      </c>
      <c r="L241" s="17" t="s">
        <v>18</v>
      </c>
      <c r="M241" s="2" t="s">
        <v>161</v>
      </c>
      <c r="N241" s="2" t="s">
        <v>151</v>
      </c>
      <c r="O241" s="17">
        <v>7</v>
      </c>
      <c r="AA241" s="2" t="s">
        <v>152</v>
      </c>
      <c r="AB241" s="17" t="s">
        <v>158</v>
      </c>
      <c r="AC241" s="14" t="s">
        <v>159</v>
      </c>
      <c r="AD241" s="14" t="s">
        <v>154</v>
      </c>
      <c r="AE241" s="18">
        <v>9</v>
      </c>
      <c r="AF241" s="13">
        <v>-2</v>
      </c>
      <c r="AG241" s="13">
        <v>9</v>
      </c>
      <c r="AH241" s="19">
        <f t="shared" si="16"/>
        <v>9</v>
      </c>
      <c r="AI241" s="19">
        <f t="shared" si="17"/>
        <v>42.615768593997174</v>
      </c>
      <c r="AJ241" s="2" t="s">
        <v>144</v>
      </c>
      <c r="AK241" s="13">
        <v>-2</v>
      </c>
      <c r="AL241" s="13">
        <v>2.5</v>
      </c>
      <c r="AM241" s="19">
        <f>IF(Abschlüsse[[#This Row],[Ergeb]]="ET","",SQRT(($AF241-$AK241)^2+($AG241-$AL241)^2))</f>
        <v>6.5</v>
      </c>
      <c r="AN241" s="3">
        <v>2</v>
      </c>
      <c r="AO241" s="13">
        <v>-0.5</v>
      </c>
      <c r="AP241" s="13">
        <v>9</v>
      </c>
      <c r="AQ241" s="19">
        <f t="shared" si="18"/>
        <v>1.5</v>
      </c>
      <c r="AR241" s="3">
        <v>0</v>
      </c>
      <c r="AU241" s="19" t="str">
        <f t="shared" si="19"/>
        <v/>
      </c>
    </row>
    <row r="242" spans="1:47" ht="25.05" customHeight="1">
      <c r="A242" s="3">
        <v>13</v>
      </c>
      <c r="B242" s="2" t="s">
        <v>8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60M</v>
      </c>
      <c r="E242" s="18">
        <f>IF(Abschlüsse[[#This Row],[Ergeb]]="ET",0,COUNTIFS($A$2:$A242,$A242,$B$2:$B242,$B242,$L$2:$L242,"&lt;&gt;ET"))</f>
        <v>8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>1:0</v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0</v>
      </c>
      <c r="K242" s="3">
        <v>14</v>
      </c>
      <c r="L242" s="17" t="s">
        <v>0</v>
      </c>
      <c r="M242" s="2" t="s">
        <v>161</v>
      </c>
      <c r="N242" s="2" t="s">
        <v>3</v>
      </c>
      <c r="O242" s="17"/>
      <c r="AA242" s="2" t="s">
        <v>152</v>
      </c>
      <c r="AB242" s="17" t="s">
        <v>158</v>
      </c>
      <c r="AC242" s="14" t="s">
        <v>159</v>
      </c>
      <c r="AD242" s="14" t="s">
        <v>143</v>
      </c>
      <c r="AE242" s="18">
        <v>7</v>
      </c>
      <c r="AF242" s="13">
        <v>-6.5</v>
      </c>
      <c r="AG242" s="13">
        <v>5</v>
      </c>
      <c r="AH242" s="19">
        <f t="shared" si="16"/>
        <v>5.7502695588989567</v>
      </c>
      <c r="AI242" s="19">
        <f t="shared" si="17"/>
        <v>34.200427604672875</v>
      </c>
      <c r="AJ242" s="2" t="s">
        <v>167</v>
      </c>
      <c r="AK242" s="13">
        <v>0.5</v>
      </c>
      <c r="AL242" s="13">
        <v>2</v>
      </c>
      <c r="AM242" s="19">
        <f>IF(Abschlüsse[[#This Row],[Ergeb]]="ET","",SQRT(($AF242-$AK242)^2+($AG242-$AL242)^2))</f>
        <v>7.6157731058639087</v>
      </c>
      <c r="AN242" s="3">
        <v>1</v>
      </c>
      <c r="AO242" s="13">
        <v>-4</v>
      </c>
      <c r="AP242" s="13">
        <v>5.5</v>
      </c>
      <c r="AQ242" s="19">
        <f t="shared" si="18"/>
        <v>2.5495097567963922</v>
      </c>
      <c r="AR242" s="3">
        <v>0</v>
      </c>
      <c r="AU242" s="19" t="str">
        <f t="shared" si="19"/>
        <v/>
      </c>
    </row>
    <row r="243" spans="1:47" ht="25.05" customHeight="1">
      <c r="A243" s="3">
        <v>13</v>
      </c>
      <c r="B243" s="2" t="s">
        <v>76</v>
      </c>
      <c r="C243" s="17" t="str">
        <f>IF($A243="","",IF(VLOOKUP($A243,Spiele!$A$2:$D$15,3,FALSE)=$B243,"H","G"))</f>
        <v>G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10</v>
      </c>
      <c r="F243" s="11">
        <v>44</v>
      </c>
      <c r="G243" s="12">
        <v>2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0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/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15</v>
      </c>
      <c r="L243" s="17" t="s">
        <v>19</v>
      </c>
      <c r="M243" s="2" t="s">
        <v>172</v>
      </c>
      <c r="O243" s="17"/>
      <c r="AA243" s="2" t="s">
        <v>140</v>
      </c>
      <c r="AB243" s="17" t="s">
        <v>141</v>
      </c>
      <c r="AC243" s="14" t="s">
        <v>148</v>
      </c>
      <c r="AD243" s="14" t="s">
        <v>154</v>
      </c>
      <c r="AE243" s="18"/>
      <c r="AF243" s="13">
        <v>-3</v>
      </c>
      <c r="AG243" s="13">
        <v>34</v>
      </c>
      <c r="AH243" s="19">
        <f t="shared" si="16"/>
        <v>34</v>
      </c>
      <c r="AI243" s="19">
        <f t="shared" si="17"/>
        <v>12.194976603981754</v>
      </c>
      <c r="AJ243" s="2" t="s">
        <v>144</v>
      </c>
      <c r="AK243" s="13">
        <v>0.5</v>
      </c>
      <c r="AL243" s="13">
        <v>0.5</v>
      </c>
      <c r="AM243" s="19">
        <f>IF(Abschlüsse[[#This Row],[Ergeb]]="ET","",SQRT(($AF243-$AK243)^2+($AG243-$AL243)^2))</f>
        <v>33.68233958619858</v>
      </c>
      <c r="AN243" s="3">
        <v>0</v>
      </c>
      <c r="AO243" s="13"/>
      <c r="AP243" s="13"/>
      <c r="AQ243" s="19" t="str">
        <f t="shared" si="18"/>
        <v/>
      </c>
      <c r="AR243" s="3">
        <v>3</v>
      </c>
      <c r="AS243" s="13">
        <v>-3.5</v>
      </c>
      <c r="AT243" s="13">
        <v>27</v>
      </c>
      <c r="AU243" s="19">
        <f t="shared" si="19"/>
        <v>7.0178344238090995</v>
      </c>
    </row>
    <row r="244" spans="1:47" ht="25.05" customHeight="1">
      <c r="A244" s="3">
        <v>13</v>
      </c>
      <c r="B244" s="2" t="s">
        <v>8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60M</v>
      </c>
      <c r="E244" s="18">
        <f>IF(Abschlüsse[[#This Row],[Ergeb]]="ET",0,COUNTIFS($A$2:$A244,$A244,$B$2:$B244,$B244,$L$2:$L244,"&lt;&gt;ET"))</f>
        <v>9</v>
      </c>
      <c r="F244" s="11">
        <v>51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0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1</v>
      </c>
      <c r="K244" s="3">
        <v>16</v>
      </c>
      <c r="L244" s="18" t="s">
        <v>18</v>
      </c>
      <c r="M244" s="3" t="s">
        <v>161</v>
      </c>
      <c r="N244" s="2" t="s">
        <v>162</v>
      </c>
      <c r="O244" s="17">
        <v>8</v>
      </c>
      <c r="P244" s="2">
        <v>26</v>
      </c>
      <c r="Q244" s="2">
        <v>6</v>
      </c>
      <c r="AA244" s="22" t="s">
        <v>149</v>
      </c>
      <c r="AB244" s="18" t="s">
        <v>141</v>
      </c>
      <c r="AC244" s="14" t="s">
        <v>148</v>
      </c>
      <c r="AD244" s="14" t="s">
        <v>143</v>
      </c>
      <c r="AE244" s="18">
        <v>10</v>
      </c>
      <c r="AF244" s="13">
        <v>-10.5</v>
      </c>
      <c r="AG244" s="13">
        <v>13</v>
      </c>
      <c r="AH244" s="19">
        <f t="shared" si="16"/>
        <v>14.689642609675703</v>
      </c>
      <c r="AI244" s="19">
        <f t="shared" si="17"/>
        <v>19.694334659050181</v>
      </c>
      <c r="AJ244" s="3" t="s">
        <v>144</v>
      </c>
      <c r="AK244" s="13">
        <v>-3.5</v>
      </c>
      <c r="AL244" s="13">
        <v>2.5</v>
      </c>
      <c r="AM244" s="19">
        <f>IF(Abschlüsse[[#This Row],[Ergeb]]="ET","",SQRT(($AF244-$AK244)^2+($AG244-$AL244)^2))</f>
        <v>12.619429464123963</v>
      </c>
      <c r="AN244" s="3">
        <v>2</v>
      </c>
      <c r="AO244" s="13">
        <v>-10</v>
      </c>
      <c r="AP244" s="13">
        <v>13.5</v>
      </c>
      <c r="AQ244" s="19">
        <f t="shared" si="18"/>
        <v>0.70710678118654757</v>
      </c>
      <c r="AR244" s="3">
        <v>1</v>
      </c>
      <c r="AS244" s="13">
        <v>-3</v>
      </c>
      <c r="AT244" s="13">
        <v>7.5</v>
      </c>
      <c r="AU244" s="19">
        <f t="shared" si="19"/>
        <v>9.3005376188691375</v>
      </c>
    </row>
    <row r="245" spans="1:47" ht="25.05" customHeight="1">
      <c r="A245" s="3">
        <v>13</v>
      </c>
      <c r="B245" s="2" t="s">
        <v>76</v>
      </c>
      <c r="C245" s="17" t="str">
        <f>IF($A245="","",IF(VLOOKUP($A245,Spiele!$A$2:$D$15,3,FALSE)=$B245,"H","G"))</f>
        <v>G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11</v>
      </c>
      <c r="F245" s="11">
        <v>57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0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-1</v>
      </c>
      <c r="K245" s="3">
        <v>17</v>
      </c>
      <c r="L245" s="17" t="s">
        <v>19</v>
      </c>
      <c r="M245" s="2" t="s">
        <v>161</v>
      </c>
      <c r="N245" s="2" t="s">
        <v>150</v>
      </c>
      <c r="O245" s="17"/>
      <c r="AA245" s="2" t="s">
        <v>140</v>
      </c>
      <c r="AB245" s="17" t="s">
        <v>141</v>
      </c>
      <c r="AC245" s="14" t="s">
        <v>148</v>
      </c>
      <c r="AD245" s="14" t="s">
        <v>143</v>
      </c>
      <c r="AE245" s="18"/>
      <c r="AF245" s="13">
        <v>12</v>
      </c>
      <c r="AG245" s="13">
        <v>7.5</v>
      </c>
      <c r="AH245" s="19">
        <f t="shared" si="16"/>
        <v>11.216309553502882</v>
      </c>
      <c r="AI245" s="19">
        <f t="shared" si="17"/>
        <v>16.373402664953399</v>
      </c>
      <c r="AJ245" s="2" t="s">
        <v>144</v>
      </c>
      <c r="AK245" s="13">
        <v>3.5</v>
      </c>
      <c r="AL245" s="13">
        <v>0.5</v>
      </c>
      <c r="AM245" s="19">
        <f>IF(Abschlüsse[[#This Row],[Ergeb]]="ET","",SQRT(($AF245-$AK245)^2+($AG245-$AL245)^2))</f>
        <v>11.01135777277262</v>
      </c>
      <c r="AN245" s="3">
        <v>1</v>
      </c>
      <c r="AO245" s="13">
        <v>9</v>
      </c>
      <c r="AP245" s="13">
        <v>8.5</v>
      </c>
      <c r="AQ245" s="19">
        <f t="shared" si="18"/>
        <v>3.1622776601683795</v>
      </c>
      <c r="AR245" s="3">
        <v>0</v>
      </c>
      <c r="AU245" s="19" t="str">
        <f t="shared" si="19"/>
        <v/>
      </c>
    </row>
    <row r="246" spans="1:47" ht="25.05" customHeight="1">
      <c r="A246" s="3">
        <v>13</v>
      </c>
      <c r="B246" s="2" t="s">
        <v>8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60M</v>
      </c>
      <c r="E246" s="18">
        <f>IF(Abschlüsse[[#This Row],[Ergeb]]="ET",0,COUNTIFS($A$2:$A246,$A246,$B$2:$B246,$B246,$L$2:$L246,"&lt;&gt;ET"))</f>
        <v>10</v>
      </c>
      <c r="F246" s="11">
        <v>59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0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1</v>
      </c>
      <c r="K246" s="3">
        <v>18</v>
      </c>
      <c r="L246" s="17" t="s">
        <v>18</v>
      </c>
      <c r="M246" s="2" t="s">
        <v>145</v>
      </c>
      <c r="N246" s="2" t="s">
        <v>156</v>
      </c>
      <c r="O246" s="17">
        <v>4</v>
      </c>
      <c r="P246" s="2">
        <v>23</v>
      </c>
      <c r="Q246" s="2">
        <v>6</v>
      </c>
      <c r="R246" s="2">
        <v>8</v>
      </c>
      <c r="S246" s="2">
        <v>20</v>
      </c>
      <c r="T246" s="2">
        <v>4</v>
      </c>
      <c r="AA246" s="2" t="s">
        <v>149</v>
      </c>
      <c r="AB246" s="17" t="s">
        <v>141</v>
      </c>
      <c r="AC246" s="14" t="s">
        <v>148</v>
      </c>
      <c r="AD246" s="14" t="s">
        <v>154</v>
      </c>
      <c r="AE246" s="18">
        <v>18</v>
      </c>
      <c r="AF246" s="13">
        <v>-14</v>
      </c>
      <c r="AG246" s="13">
        <v>19.5</v>
      </c>
      <c r="AH246" s="19">
        <f t="shared" si="16"/>
        <v>22.071828197954062</v>
      </c>
      <c r="AI246" s="19">
        <f t="shared" si="17"/>
        <v>14.230221882728383</v>
      </c>
      <c r="AJ246" s="2" t="s">
        <v>144</v>
      </c>
      <c r="AK246" s="13">
        <v>-1.5</v>
      </c>
      <c r="AL246" s="13">
        <v>2.5</v>
      </c>
      <c r="AM246" s="19">
        <f>IF(Abschlüsse[[#This Row],[Ergeb]]="ET","",SQRT(($AF246-$AK246)^2+($AG246-$AL246)^2))</f>
        <v>21.100947846009191</v>
      </c>
      <c r="AN246" s="3">
        <v>1</v>
      </c>
      <c r="AO246" s="13">
        <v>-14</v>
      </c>
      <c r="AP246" s="13">
        <v>18</v>
      </c>
      <c r="AQ246" s="19">
        <f t="shared" si="18"/>
        <v>1.5</v>
      </c>
      <c r="AR246" s="3">
        <v>2</v>
      </c>
      <c r="AS246" s="13">
        <v>-11</v>
      </c>
      <c r="AT246" s="13">
        <v>14.5</v>
      </c>
      <c r="AU246" s="19">
        <f t="shared" si="19"/>
        <v>5.8309518948453007</v>
      </c>
    </row>
    <row r="247" spans="1:47" ht="25.05" customHeight="1">
      <c r="A247" s="3">
        <v>13</v>
      </c>
      <c r="B247" s="2" t="s">
        <v>8</v>
      </c>
      <c r="C247" s="17" t="str">
        <f>IF($A247="","",IF(VLOOKUP($A247,Spiele!$A$2:$D$15,3,FALSE)=$B247,"H","G"))</f>
        <v>H</v>
      </c>
      <c r="D247" s="17" t="str">
        <f>IF($B247="","",IF(VLOOKUP($A247,Spiele!$A$2:$F$15,3,FALSE)=$B247,VLOOKUP($A247,Spiele!$A$2:$F$15,4,FALSE),VLOOKUP($A247,Spiele!$A$2:$F$15,3,FALSE)))</f>
        <v>60M</v>
      </c>
      <c r="E247" s="18">
        <f>IF(Abschlüsse[[#This Row],[Ergeb]]="ET",0,COUNTIFS($A$2:$A247,$A247,$B$2:$B247,$B247,$L$2:$L247,"&lt;&gt;ET"))</f>
        <v>11</v>
      </c>
      <c r="F247" s="11">
        <v>60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0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/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1</v>
      </c>
      <c r="K247" s="3">
        <v>19</v>
      </c>
      <c r="L247" s="17" t="s">
        <v>18</v>
      </c>
      <c r="M247" s="2" t="s">
        <v>172</v>
      </c>
      <c r="O247" s="17"/>
      <c r="AA247" s="2" t="s">
        <v>140</v>
      </c>
      <c r="AB247" s="17" t="s">
        <v>141</v>
      </c>
      <c r="AC247" s="14" t="s">
        <v>148</v>
      </c>
      <c r="AD247" s="14" t="s">
        <v>143</v>
      </c>
      <c r="AE247" s="18">
        <v>8</v>
      </c>
      <c r="AF247" s="13">
        <v>14</v>
      </c>
      <c r="AG247" s="13">
        <v>23.5</v>
      </c>
      <c r="AH247" s="19">
        <f t="shared" si="16"/>
        <v>25.674220533445606</v>
      </c>
      <c r="AI247" s="19">
        <f t="shared" si="17"/>
        <v>13.174977970680043</v>
      </c>
      <c r="AJ247" s="2" t="s">
        <v>144</v>
      </c>
      <c r="AK247" s="13">
        <v>0</v>
      </c>
      <c r="AL247" s="13">
        <v>2.5</v>
      </c>
      <c r="AM247" s="19">
        <f>IF(Abschlüsse[[#This Row],[Ergeb]]="ET","",SQRT(($AF247-$AK247)^2+($AG247-$AL247)^2))</f>
        <v>25.238858928247925</v>
      </c>
      <c r="AN247" s="3">
        <v>0</v>
      </c>
      <c r="AO247" s="13"/>
      <c r="AP247" s="13"/>
      <c r="AQ247" s="19" t="str">
        <f t="shared" si="18"/>
        <v/>
      </c>
      <c r="AR247" s="3">
        <v>3</v>
      </c>
      <c r="AS247" s="13">
        <v>9</v>
      </c>
      <c r="AT247" s="13">
        <v>16</v>
      </c>
      <c r="AU247" s="19">
        <f t="shared" si="19"/>
        <v>9.013878188659973</v>
      </c>
    </row>
    <row r="248" spans="1:47" ht="25.05" customHeight="1">
      <c r="A248" s="3">
        <v>13</v>
      </c>
      <c r="B248" s="2" t="s">
        <v>76</v>
      </c>
      <c r="C248" s="17" t="str">
        <f>IF($A248="","",IF(VLOOKUP($A248,Spiele!$A$2:$D$15,3,FALSE)=$B248,"H","G"))</f>
        <v>G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12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0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>1:1</v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20</v>
      </c>
      <c r="L248" s="17" t="s">
        <v>0</v>
      </c>
      <c r="M248" s="2" t="s">
        <v>161</v>
      </c>
      <c r="N248" s="2" t="s">
        <v>150</v>
      </c>
      <c r="O248" s="17"/>
      <c r="AA248" s="2" t="s">
        <v>149</v>
      </c>
      <c r="AB248" s="17" t="s">
        <v>147</v>
      </c>
      <c r="AC248" s="14" t="s">
        <v>148</v>
      </c>
      <c r="AD248" s="14" t="s">
        <v>154</v>
      </c>
      <c r="AE248" s="18"/>
      <c r="AF248" s="13">
        <v>-8.5</v>
      </c>
      <c r="AG248" s="13">
        <v>7</v>
      </c>
      <c r="AH248" s="19">
        <f t="shared" si="16"/>
        <v>8.5103231431009725</v>
      </c>
      <c r="AI248" s="19">
        <f t="shared" si="17"/>
        <v>25.411688271902904</v>
      </c>
      <c r="AJ248" s="2" t="s">
        <v>144</v>
      </c>
      <c r="AK248" s="13">
        <v>-3</v>
      </c>
      <c r="AL248" s="13">
        <v>0.5</v>
      </c>
      <c r="AM248" s="19">
        <f>IF(Abschlüsse[[#This Row],[Ergeb]]="ET","",SQRT(($AF248-$AK248)^2+($AG248-$AL248)^2))</f>
        <v>8.5146931829632013</v>
      </c>
      <c r="AN248" s="3">
        <v>1</v>
      </c>
      <c r="AO248" s="13">
        <v>-5</v>
      </c>
      <c r="AP248" s="13">
        <v>6.5</v>
      </c>
      <c r="AQ248" s="19">
        <f t="shared" si="18"/>
        <v>3.5355339059327378</v>
      </c>
      <c r="AR248" s="3">
        <v>0</v>
      </c>
      <c r="AU248" s="19" t="str">
        <f t="shared" si="19"/>
        <v/>
      </c>
    </row>
    <row r="249" spans="1:47" ht="25.05" customHeight="1">
      <c r="A249" s="3">
        <v>13</v>
      </c>
      <c r="B249" s="2" t="s">
        <v>76</v>
      </c>
      <c r="C249" s="17" t="str">
        <f>IF($A249="","",IF(VLOOKUP($A249,Spiele!$A$2:$D$15,3,FALSE)=$B249,"H","G"))</f>
        <v>G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13</v>
      </c>
      <c r="F249" s="11">
        <v>65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0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0</v>
      </c>
      <c r="K249" s="3">
        <v>21</v>
      </c>
      <c r="L249" s="17" t="s">
        <v>18</v>
      </c>
      <c r="M249" s="2" t="s">
        <v>161</v>
      </c>
      <c r="N249" s="2" t="s">
        <v>3</v>
      </c>
      <c r="O249" s="17"/>
      <c r="AA249" s="2" t="s">
        <v>139</v>
      </c>
      <c r="AB249" s="17" t="s">
        <v>141</v>
      </c>
      <c r="AC249" s="14" t="s">
        <v>148</v>
      </c>
      <c r="AD249" s="14" t="s">
        <v>154</v>
      </c>
      <c r="AE249" s="18"/>
      <c r="AF249" s="13">
        <v>4.5</v>
      </c>
      <c r="AG249" s="13">
        <v>11</v>
      </c>
      <c r="AH249" s="19">
        <f t="shared" si="16"/>
        <v>11.032026105842935</v>
      </c>
      <c r="AI249" s="19">
        <f t="shared" si="17"/>
        <v>32.201857009576806</v>
      </c>
      <c r="AJ249" s="2" t="s">
        <v>144</v>
      </c>
      <c r="AK249" s="13">
        <v>1</v>
      </c>
      <c r="AL249" s="13">
        <v>0.5</v>
      </c>
      <c r="AM249" s="19">
        <f>IF(Abschlüsse[[#This Row],[Ergeb]]="ET","",SQRT(($AF249-$AK249)^2+($AG249-$AL249)^2))</f>
        <v>11.067971810589327</v>
      </c>
      <c r="AN249" s="3">
        <v>1</v>
      </c>
      <c r="AO249" s="13">
        <v>4.5</v>
      </c>
      <c r="AP249" s="13">
        <v>9</v>
      </c>
      <c r="AQ249" s="19">
        <f t="shared" si="18"/>
        <v>2</v>
      </c>
      <c r="AR249" s="3">
        <v>1</v>
      </c>
      <c r="AS249" s="13">
        <v>4</v>
      </c>
      <c r="AT249" s="13">
        <v>5.5</v>
      </c>
      <c r="AU249" s="19">
        <f t="shared" si="19"/>
        <v>5.5226805085936306</v>
      </c>
    </row>
    <row r="250" spans="1:47" ht="25.05" customHeight="1">
      <c r="A250" s="3">
        <v>13</v>
      </c>
      <c r="B250" s="2" t="s">
        <v>8</v>
      </c>
      <c r="C250" s="17" t="str">
        <f>IF($A250="","",IF(VLOOKUP($A250,Spiele!$A$2:$D$15,3,FALSE)=$B250,"H","G"))</f>
        <v>H</v>
      </c>
      <c r="D250" s="17" t="str">
        <f>IF($B250="","",IF(VLOOKUP($A250,Spiele!$A$2:$F$15,3,FALSE)=$B250,VLOOKUP($A250,Spiele!$A$2:$F$15,4,FALSE),VLOOKUP($A250,Spiele!$A$2:$F$15,3,FALSE)))</f>
        <v>60M</v>
      </c>
      <c r="E250" s="18">
        <f>IF(Abschlüsse[[#This Row],[Ergeb]]="ET",0,COUNTIFS($A$2:$A250,$A250,$B$2:$B250,$B250,$L$2:$L250,"&lt;&gt;ET"))</f>
        <v>12</v>
      </c>
      <c r="F250" s="11">
        <v>68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0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0</v>
      </c>
      <c r="K250" s="3">
        <v>22</v>
      </c>
      <c r="L250" s="17" t="s">
        <v>20</v>
      </c>
      <c r="M250" s="2" t="s">
        <v>138</v>
      </c>
      <c r="N250" s="2" t="s">
        <v>151</v>
      </c>
      <c r="O250" s="17">
        <v>8</v>
      </c>
      <c r="P250" s="2">
        <v>5</v>
      </c>
      <c r="Q250" s="2">
        <v>8</v>
      </c>
      <c r="R250" s="2">
        <v>6</v>
      </c>
      <c r="AA250" s="2" t="s">
        <v>152</v>
      </c>
      <c r="AB250" s="17" t="s">
        <v>158</v>
      </c>
      <c r="AC250" s="14" t="s">
        <v>159</v>
      </c>
      <c r="AD250" s="14" t="s">
        <v>143</v>
      </c>
      <c r="AE250" s="18">
        <v>16</v>
      </c>
      <c r="AF250" s="13">
        <v>-5.5</v>
      </c>
      <c r="AG250" s="13">
        <v>4</v>
      </c>
      <c r="AH250" s="19">
        <f t="shared" si="16"/>
        <v>4.4029081298614443</v>
      </c>
      <c r="AI250" s="19">
        <f t="shared" si="17"/>
        <v>41.707579601485392</v>
      </c>
      <c r="AJ250" s="2" t="s">
        <v>167</v>
      </c>
      <c r="AK250" s="13">
        <v>-4</v>
      </c>
      <c r="AL250" s="13">
        <v>3</v>
      </c>
      <c r="AM250" s="19">
        <f>IF(Abschlüsse[[#This Row],[Ergeb]]="ET","",SQRT(($AF250-$AK250)^2+($AG250-$AL250)^2))</f>
        <v>1.8027756377319946</v>
      </c>
      <c r="AN250" s="3">
        <v>1</v>
      </c>
      <c r="AO250" s="13">
        <v>-5.5</v>
      </c>
      <c r="AP250" s="13">
        <v>3.5</v>
      </c>
      <c r="AQ250" s="19">
        <f t="shared" si="18"/>
        <v>0.5</v>
      </c>
      <c r="AR250" s="3">
        <v>2</v>
      </c>
      <c r="AS250" s="13">
        <v>0.5</v>
      </c>
      <c r="AT250" s="13">
        <v>1.5</v>
      </c>
      <c r="AU250" s="19">
        <f t="shared" si="19"/>
        <v>6.5</v>
      </c>
    </row>
    <row r="251" spans="1:47" ht="25.05" customHeight="1">
      <c r="A251" s="3">
        <v>13</v>
      </c>
      <c r="B251" s="2" t="s">
        <v>8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60M</v>
      </c>
      <c r="E251" s="18">
        <f>IF(Abschlüsse[[#This Row],[Ergeb]]="ET",0,COUNTIFS($A$2:$A251,$A251,$B$2:$B251,$B251,$L$2:$L251,"&lt;&gt;ET"))</f>
        <v>13</v>
      </c>
      <c r="F251" s="11">
        <v>71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0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0</v>
      </c>
      <c r="K251" s="3">
        <v>23</v>
      </c>
      <c r="L251" s="17" t="s">
        <v>19</v>
      </c>
      <c r="M251" s="2" t="s">
        <v>145</v>
      </c>
      <c r="N251" s="2" t="s">
        <v>156</v>
      </c>
      <c r="O251" s="17">
        <v>7</v>
      </c>
      <c r="P251" s="2">
        <v>18</v>
      </c>
      <c r="Q251" s="2">
        <v>8</v>
      </c>
      <c r="R251" s="2">
        <v>7</v>
      </c>
      <c r="S251" s="2">
        <v>23</v>
      </c>
      <c r="T251" s="2">
        <v>6</v>
      </c>
      <c r="U251" s="2">
        <v>5</v>
      </c>
      <c r="V251" s="2">
        <v>16</v>
      </c>
      <c r="W251" s="2">
        <v>20</v>
      </c>
      <c r="AA251" s="2" t="s">
        <v>140</v>
      </c>
      <c r="AB251" s="17" t="s">
        <v>147</v>
      </c>
      <c r="AC251" s="14" t="s">
        <v>148</v>
      </c>
      <c r="AD251" s="14" t="s">
        <v>154</v>
      </c>
      <c r="AE251" s="18">
        <v>10</v>
      </c>
      <c r="AF251" s="13">
        <v>2.5</v>
      </c>
      <c r="AG251" s="13">
        <v>15</v>
      </c>
      <c r="AH251" s="19">
        <f t="shared" si="16"/>
        <v>15</v>
      </c>
      <c r="AI251" s="19">
        <f t="shared" si="17"/>
        <v>26.748394088035369</v>
      </c>
      <c r="AJ251" s="2" t="s">
        <v>144</v>
      </c>
      <c r="AK251" s="13">
        <v>0</v>
      </c>
      <c r="AL251" s="13">
        <v>3.5</v>
      </c>
      <c r="AM251" s="19">
        <f>IF(Abschlüsse[[#This Row],[Ergeb]]="ET","",SQRT(($AF251-$AK251)^2+($AG251-$AL251)^2))</f>
        <v>11.76860229593982</v>
      </c>
      <c r="AN251" s="3">
        <v>0</v>
      </c>
      <c r="AO251" s="13"/>
      <c r="AP251" s="13"/>
      <c r="AQ251" s="19" t="str">
        <f t="shared" si="18"/>
        <v/>
      </c>
      <c r="AR251" s="3">
        <v>3</v>
      </c>
      <c r="AS251" s="13">
        <v>1.5</v>
      </c>
      <c r="AT251" s="13">
        <v>11</v>
      </c>
      <c r="AU251" s="19">
        <f t="shared" si="19"/>
        <v>4.1231056256176606</v>
      </c>
    </row>
    <row r="252" spans="1:47" ht="25.05" customHeight="1">
      <c r="A252" s="3">
        <v>13</v>
      </c>
      <c r="B252" s="2" t="s">
        <v>8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60M</v>
      </c>
      <c r="E252" s="18">
        <f>IF(Abschlüsse[[#This Row],[Ergeb]]="ET",0,COUNTIFS($A$2:$A252,$A252,$B$2:$B252,$B252,$L$2:$L252,"&lt;&gt;ET"))</f>
        <v>14</v>
      </c>
      <c r="F252" s="11">
        <v>73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0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0</v>
      </c>
      <c r="K252" s="3">
        <v>24</v>
      </c>
      <c r="L252" s="17" t="s">
        <v>19</v>
      </c>
      <c r="M252" s="2" t="s">
        <v>161</v>
      </c>
      <c r="N252" s="2" t="s">
        <v>162</v>
      </c>
      <c r="O252" s="17">
        <v>18</v>
      </c>
      <c r="P252" s="2">
        <v>5</v>
      </c>
      <c r="Q252" s="2">
        <v>18</v>
      </c>
      <c r="AA252" s="2" t="s">
        <v>149</v>
      </c>
      <c r="AB252" s="17" t="s">
        <v>141</v>
      </c>
      <c r="AC252" s="14" t="s">
        <v>148</v>
      </c>
      <c r="AD252" s="14" t="s">
        <v>143</v>
      </c>
      <c r="AE252" s="18">
        <v>7</v>
      </c>
      <c r="AF252" s="13">
        <v>-13.5</v>
      </c>
      <c r="AG252" s="13">
        <v>16.5</v>
      </c>
      <c r="AH252" s="19">
        <f t="shared" si="16"/>
        <v>19.211340400919454</v>
      </c>
      <c r="AI252" s="19">
        <f t="shared" si="17"/>
        <v>15.312989252529659</v>
      </c>
      <c r="AJ252" s="2" t="s">
        <v>144</v>
      </c>
      <c r="AK252" s="13">
        <v>-3.5</v>
      </c>
      <c r="AL252" s="13">
        <v>2</v>
      </c>
      <c r="AM252" s="19">
        <f>IF(Abschlüsse[[#This Row],[Ergeb]]="ET","",SQRT(($AF252-$AK252)^2+($AG252-$AL252)^2))</f>
        <v>17.613914953808536</v>
      </c>
      <c r="AN252" s="3">
        <v>2</v>
      </c>
      <c r="AO252" s="13">
        <v>-12.5</v>
      </c>
      <c r="AP252" s="13">
        <v>17.5</v>
      </c>
      <c r="AQ252" s="19">
        <f t="shared" si="18"/>
        <v>1.4142135623730951</v>
      </c>
      <c r="AR252" s="3">
        <v>0</v>
      </c>
      <c r="AU252" s="19" t="str">
        <f t="shared" si="19"/>
        <v/>
      </c>
    </row>
    <row r="253" spans="1:47" ht="25.05" customHeight="1">
      <c r="A253" s="3">
        <v>13</v>
      </c>
      <c r="B253" s="2" t="s">
        <v>8</v>
      </c>
      <c r="C253" s="17" t="str">
        <f>IF($A253="","",IF(VLOOKUP($A253,Spiele!$A$2:$D$15,3,FALSE)=$B253,"H","G"))</f>
        <v>H</v>
      </c>
      <c r="D253" s="17" t="str">
        <f>IF($B253="","",IF(VLOOKUP($A253,Spiele!$A$2:$F$15,3,FALSE)=$B253,VLOOKUP($A253,Spiele!$A$2:$F$15,4,FALSE),VLOOKUP($A253,Spiele!$A$2:$F$15,3,FALSE)))</f>
        <v>60M</v>
      </c>
      <c r="E253" s="18">
        <f>IF(Abschlüsse[[#This Row],[Ergeb]]="ET",0,COUNTIFS($A$2:$A253,$A253,$B$2:$B253,$B253,$L$2:$L253,"&lt;&gt;ET"))</f>
        <v>15</v>
      </c>
      <c r="F253" s="11">
        <v>77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0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/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0</v>
      </c>
      <c r="K253" s="3">
        <v>25</v>
      </c>
      <c r="L253" s="17" t="s">
        <v>20</v>
      </c>
      <c r="M253" s="2" t="s">
        <v>161</v>
      </c>
      <c r="N253" s="2" t="s">
        <v>156</v>
      </c>
      <c r="O253" s="17">
        <v>10</v>
      </c>
      <c r="AA253" s="2" t="s">
        <v>149</v>
      </c>
      <c r="AB253" s="17" t="s">
        <v>141</v>
      </c>
      <c r="AC253" s="14" t="s">
        <v>148</v>
      </c>
      <c r="AD253" s="14" t="s">
        <v>154</v>
      </c>
      <c r="AE253" s="18">
        <v>6</v>
      </c>
      <c r="AF253" s="13">
        <v>14.5</v>
      </c>
      <c r="AG253" s="13">
        <v>14</v>
      </c>
      <c r="AH253" s="19">
        <f t="shared" si="16"/>
        <v>17.7060893480181</v>
      </c>
      <c r="AI253" s="19">
        <f t="shared" si="17"/>
        <v>14.620361026676797</v>
      </c>
      <c r="AJ253" s="2" t="s">
        <v>144</v>
      </c>
      <c r="AK253" s="13">
        <v>2.5</v>
      </c>
      <c r="AL253" s="13">
        <v>1.5</v>
      </c>
      <c r="AM253" s="19">
        <f>IF(Abschlüsse[[#This Row],[Ergeb]]="ET","",SQRT(($AF253-$AK253)^2+($AG253-$AL253)^2))</f>
        <v>17.327723451163457</v>
      </c>
      <c r="AN253" s="3">
        <v>1</v>
      </c>
      <c r="AO253" s="13">
        <v>14</v>
      </c>
      <c r="AP253" s="13">
        <v>14</v>
      </c>
      <c r="AQ253" s="19">
        <f t="shared" si="18"/>
        <v>0.5</v>
      </c>
      <c r="AR253" s="3">
        <v>2</v>
      </c>
      <c r="AS253" s="13">
        <v>8.5</v>
      </c>
      <c r="AT253" s="13">
        <v>8</v>
      </c>
      <c r="AU253" s="19">
        <f t="shared" si="19"/>
        <v>8.4852813742385695</v>
      </c>
    </row>
    <row r="254" spans="1:47" ht="25.05" customHeight="1">
      <c r="A254" s="3">
        <v>13</v>
      </c>
      <c r="B254" s="2" t="s">
        <v>76</v>
      </c>
      <c r="C254" s="17" t="str">
        <f>IF($A254="","",IF(VLOOKUP($A254,Spiele!$A$2:$D$15,3,FALSE)=$B254,"H","G"))</f>
        <v>G</v>
      </c>
      <c r="D254" s="17" t="str">
        <f>IF($B254="","",IF(VLOOKUP($A254,Spiele!$A$2:$F$15,3,FALSE)=$B254,VLOOKUP($A254,Spiele!$A$2:$F$15,4,FALSE),VLOOKUP($A254,Spiele!$A$2:$F$15,3,FALSE)))</f>
        <v>FCN</v>
      </c>
      <c r="E254" s="18">
        <f>IF(Abschlüsse[[#This Row],[Ergeb]]="ET",0,COUNTIFS($A$2:$A254,$A254,$B$2:$B254,$B254,$L$2:$L254,"&lt;&gt;ET"))</f>
        <v>14</v>
      </c>
      <c r="F254" s="11">
        <v>83</v>
      </c>
      <c r="G254" s="12">
        <v>2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26</v>
      </c>
      <c r="L254" s="17" t="s">
        <v>18</v>
      </c>
      <c r="M254" s="2" t="s">
        <v>145</v>
      </c>
      <c r="N254" s="2" t="s">
        <v>150</v>
      </c>
      <c r="O254" s="17"/>
      <c r="AA254" s="2" t="s">
        <v>140</v>
      </c>
      <c r="AB254" s="17" t="s">
        <v>141</v>
      </c>
      <c r="AC254" s="14" t="s">
        <v>148</v>
      </c>
      <c r="AD254" s="14" t="s">
        <v>154</v>
      </c>
      <c r="AE254" s="18"/>
      <c r="AF254" s="13">
        <v>-12</v>
      </c>
      <c r="AG254" s="13">
        <v>18</v>
      </c>
      <c r="AH254" s="19">
        <f t="shared" si="16"/>
        <v>19.838235808660002</v>
      </c>
      <c r="AI254" s="19">
        <f t="shared" si="17"/>
        <v>16.163407255354326</v>
      </c>
      <c r="AJ254" s="2" t="s">
        <v>144</v>
      </c>
      <c r="AK254" s="13">
        <v>-1.5</v>
      </c>
      <c r="AL254" s="13">
        <v>2.5</v>
      </c>
      <c r="AM254" s="19">
        <f>IF(Abschlüsse[[#This Row],[Ergeb]]="ET","",SQRT(($AF254-$AK254)^2+($AG254-$AL254)^2))</f>
        <v>18.721645226849056</v>
      </c>
      <c r="AN254" s="3">
        <v>1</v>
      </c>
      <c r="AO254" s="13">
        <v>-10.5</v>
      </c>
      <c r="AP254" s="13">
        <v>21</v>
      </c>
      <c r="AQ254" s="19">
        <f t="shared" si="18"/>
        <v>3.3541019662496847</v>
      </c>
      <c r="AR254" s="3">
        <v>0</v>
      </c>
      <c r="AU254" s="19" t="str">
        <f t="shared" si="19"/>
        <v/>
      </c>
    </row>
    <row r="256" spans="1:47" ht="25.05" customHeight="1">
      <c r="AC256" s="14"/>
      <c r="AD256" s="14"/>
    </row>
  </sheetData>
  <phoneticPr fontId="5" type="noConversion"/>
  <conditionalFormatting sqref="A2:E254">
    <cfRule type="expression" dxfId="40" priority="126">
      <formula>$C2="H"</formula>
    </cfRule>
  </conditionalFormatting>
  <conditionalFormatting sqref="K2:K254 M2:M254 AC2:AD254 AF2:AG254 AJ2:AL254 AN2:AN254 AR2:AR254">
    <cfRule type="cellIs" dxfId="39" priority="46" operator="notEqual">
      <formula>""</formula>
    </cfRule>
  </conditionalFormatting>
  <conditionalFormatting sqref="K2:M254 AA2:AG254 AJ2:AL254 AN2:AN254 AR2:AR254">
    <cfRule type="expression" dxfId="38" priority="49">
      <formula>$F2&lt;&gt;""</formula>
    </cfRule>
  </conditionalFormatting>
  <conditionalFormatting sqref="M257">
    <cfRule type="cellIs" dxfId="37" priority="121" operator="notEqual">
      <formula>""</formula>
    </cfRule>
    <cfRule type="expression" dxfId="36" priority="122">
      <formula>$F257&lt;&gt;""</formula>
    </cfRule>
  </conditionalFormatting>
  <conditionalFormatting sqref="M2:AU1048576">
    <cfRule type="expression" dxfId="35" priority="13">
      <formula>$L2="ET"</formula>
    </cfRule>
  </conditionalFormatting>
  <conditionalFormatting sqref="N2:N254">
    <cfRule type="cellIs" dxfId="34" priority="3" operator="notEqual">
      <formula>""</formula>
    </cfRule>
    <cfRule type="expression" dxfId="33" priority="4">
      <formula>$M2="nEW"</formula>
    </cfRule>
    <cfRule type="expression" dxfId="32" priority="5">
      <formula>$M2="EW"</formula>
    </cfRule>
    <cfRule type="expression" dxfId="31" priority="6">
      <formula>$M2="n11M"</formula>
    </cfRule>
    <cfRule type="expression" dxfId="30" priority="7">
      <formula>$M2="nFS"</formula>
    </cfRule>
    <cfRule type="expression" dxfId="29" priority="8">
      <formula>$M2="nE"</formula>
    </cfRule>
    <cfRule type="expression" dxfId="28" priority="9">
      <formula>$M2="FSF"</formula>
    </cfRule>
    <cfRule type="expression" dxfId="27" priority="10">
      <formula>$M2="E"</formula>
    </cfRule>
    <cfRule type="expression" dxfId="26" priority="11">
      <formula>$M2="USO"</formula>
    </cfRule>
    <cfRule type="expression" dxfId="25" priority="12">
      <formula>$M2="EB"</formula>
    </cfRule>
  </conditionalFormatting>
  <conditionalFormatting sqref="N257:Z257">
    <cfRule type="expression" dxfId="24" priority="104">
      <formula>$M257="nEW"</formula>
    </cfRule>
    <cfRule type="expression" dxfId="23" priority="105">
      <formula>$M257="EW"</formula>
    </cfRule>
    <cfRule type="expression" dxfId="22" priority="106">
      <formula>$M257="n11M"</formula>
    </cfRule>
    <cfRule type="expression" dxfId="21" priority="107">
      <formula>$M257="nFS"</formula>
    </cfRule>
    <cfRule type="expression" dxfId="20" priority="108">
      <formula>$M257="nE"</formula>
    </cfRule>
    <cfRule type="expression" dxfId="19" priority="109">
      <formula>$M257="FSF"</formula>
    </cfRule>
    <cfRule type="expression" dxfId="18" priority="110">
      <formula>$M257="E"</formula>
    </cfRule>
    <cfRule type="expression" dxfId="17" priority="111">
      <formula>$M257="USO"</formula>
    </cfRule>
    <cfRule type="expression" dxfId="16" priority="123">
      <formula>$M257="EB"</formula>
    </cfRule>
  </conditionalFormatting>
  <conditionalFormatting sqref="N257:AA257">
    <cfRule type="cellIs" dxfId="15" priority="103" operator="notEqual">
      <formula>""</formula>
    </cfRule>
  </conditionalFormatting>
  <conditionalFormatting sqref="AA2:AA254">
    <cfRule type="cellIs" dxfId="14" priority="15" operator="notEqual">
      <formula>""</formula>
    </cfRule>
    <cfRule type="expression" dxfId="13" priority="53">
      <formula>#REF!=1</formula>
    </cfRule>
  </conditionalFormatting>
  <conditionalFormatting sqref="AA257">
    <cfRule type="expression" dxfId="12" priority="124">
      <formula>#REF!=1</formula>
    </cfRule>
  </conditionalFormatting>
  <conditionalFormatting sqref="AB2:AB254 AE2:AE254 L2:L254">
    <cfRule type="cellIs" dxfId="11" priority="47" operator="notEqual">
      <formula>""</formula>
    </cfRule>
  </conditionalFormatting>
  <conditionalFormatting sqref="AC256:AD256">
    <cfRule type="expression" dxfId="10" priority="99">
      <formula>$L256="ET"</formula>
    </cfRule>
    <cfRule type="cellIs" dxfId="9" priority="100" operator="notEqual">
      <formula>""</formula>
    </cfRule>
    <cfRule type="expression" dxfId="8" priority="101">
      <formula>$F256&lt;&gt;""</formula>
    </cfRule>
  </conditionalFormatting>
  <conditionalFormatting sqref="AE2:AE254">
    <cfRule type="expression" dxfId="7" priority="2">
      <formula>$B2&lt;&gt;"FCN"</formula>
    </cfRule>
  </conditionalFormatting>
  <conditionalFormatting sqref="AK2:AL254">
    <cfRule type="expression" dxfId="6" priority="1">
      <formula>$AJ2="niT"</formula>
    </cfRule>
  </conditionalFormatting>
  <conditionalFormatting sqref="AO2:AP254">
    <cfRule type="cellIs" dxfId="5" priority="17" operator="notEqual">
      <formula>""</formula>
    </cfRule>
    <cfRule type="expression" dxfId="4" priority="20">
      <formula>$AN2&gt;0</formula>
    </cfRule>
  </conditionalFormatting>
  <conditionalFormatting sqref="AS2:AT254">
    <cfRule type="cellIs" dxfId="3" priority="14" operator="notEqual">
      <formula>""</formula>
    </cfRule>
    <cfRule type="expression" dxfId="2" priority="54">
      <formula>$AR2&gt;0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1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3"/>
  <sheetViews>
    <sheetView tabSelected="1"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130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126</v>
      </c>
      <c r="C2" s="23" t="s">
        <v>127</v>
      </c>
      <c r="D2" s="26" t="s">
        <v>184</v>
      </c>
    </row>
    <row r="3" spans="1:4" ht="25.05" customHeight="1">
      <c r="A3" s="2">
        <v>2</v>
      </c>
      <c r="B3" s="23" t="s">
        <v>121</v>
      </c>
      <c r="C3" s="23" t="s">
        <v>122</v>
      </c>
      <c r="D3" s="26" t="s">
        <v>185</v>
      </c>
    </row>
    <row r="4" spans="1:4" ht="25.05" customHeight="1">
      <c r="A4" s="2">
        <v>4</v>
      </c>
      <c r="B4" s="23" t="s">
        <v>92</v>
      </c>
      <c r="C4" s="23" t="s">
        <v>108</v>
      </c>
      <c r="D4" s="26" t="s">
        <v>185</v>
      </c>
    </row>
    <row r="5" spans="1:4" ht="25.05" customHeight="1">
      <c r="A5" s="2">
        <v>5</v>
      </c>
      <c r="B5" s="23" t="s">
        <v>123</v>
      </c>
      <c r="C5" s="23" t="s">
        <v>124</v>
      </c>
      <c r="D5" s="26" t="s">
        <v>186</v>
      </c>
    </row>
    <row r="6" spans="1:4" ht="25.05" customHeight="1">
      <c r="A6" s="2">
        <v>6</v>
      </c>
      <c r="B6" s="23" t="s">
        <v>115</v>
      </c>
      <c r="C6" s="23" t="s">
        <v>116</v>
      </c>
      <c r="D6" s="26" t="s">
        <v>186</v>
      </c>
    </row>
    <row r="7" spans="1:4" ht="25.05" customHeight="1">
      <c r="A7" s="2">
        <v>7</v>
      </c>
      <c r="B7" s="23" t="s">
        <v>117</v>
      </c>
      <c r="C7" s="23" t="s">
        <v>118</v>
      </c>
      <c r="D7" s="26" t="s">
        <v>187</v>
      </c>
    </row>
    <row r="8" spans="1:4" ht="25.05" customHeight="1">
      <c r="A8" s="2">
        <v>8</v>
      </c>
      <c r="B8" s="23" t="s">
        <v>109</v>
      </c>
      <c r="C8" s="23" t="s">
        <v>110</v>
      </c>
      <c r="D8" s="26" t="s">
        <v>186</v>
      </c>
    </row>
    <row r="9" spans="1:4" ht="25.05" customHeight="1">
      <c r="A9" s="2">
        <v>9</v>
      </c>
      <c r="B9" s="23" t="s">
        <v>113</v>
      </c>
      <c r="C9" s="23" t="s">
        <v>114</v>
      </c>
      <c r="D9" s="26" t="s">
        <v>187</v>
      </c>
    </row>
    <row r="10" spans="1:4" ht="25.05" customHeight="1">
      <c r="A10" s="2">
        <v>10</v>
      </c>
      <c r="B10" s="23" t="s">
        <v>105</v>
      </c>
      <c r="C10" s="23" t="s">
        <v>182</v>
      </c>
      <c r="D10" s="26" t="s">
        <v>187</v>
      </c>
    </row>
    <row r="11" spans="1:4" ht="25.05" customHeight="1">
      <c r="A11" s="2">
        <v>11</v>
      </c>
      <c r="B11" s="23" t="s">
        <v>94</v>
      </c>
      <c r="C11" s="23" t="s">
        <v>95</v>
      </c>
      <c r="D11" s="26" t="s">
        <v>186</v>
      </c>
    </row>
    <row r="12" spans="1:4" ht="25.05" customHeight="1">
      <c r="A12" s="2">
        <v>13</v>
      </c>
      <c r="B12" s="23" t="s">
        <v>92</v>
      </c>
      <c r="C12" s="23" t="s">
        <v>93</v>
      </c>
      <c r="D12" s="26" t="s">
        <v>185</v>
      </c>
    </row>
    <row r="13" spans="1:4" ht="25.05" customHeight="1">
      <c r="A13" s="2">
        <v>14</v>
      </c>
      <c r="B13" s="23" t="s">
        <v>100</v>
      </c>
      <c r="C13" s="23" t="s">
        <v>101</v>
      </c>
      <c r="D13" s="26" t="s">
        <v>187</v>
      </c>
    </row>
    <row r="14" spans="1:4" ht="25.05" customHeight="1">
      <c r="A14" s="2">
        <v>16</v>
      </c>
      <c r="B14" s="23" t="s">
        <v>96</v>
      </c>
      <c r="C14" s="23" t="s">
        <v>97</v>
      </c>
      <c r="D14" s="26" t="s">
        <v>185</v>
      </c>
    </row>
    <row r="15" spans="1:4" ht="25.05" customHeight="1">
      <c r="A15" s="2">
        <v>18</v>
      </c>
      <c r="B15" s="23" t="s">
        <v>119</v>
      </c>
      <c r="C15" s="23" t="s">
        <v>120</v>
      </c>
      <c r="D15" s="26" t="s">
        <v>187</v>
      </c>
    </row>
    <row r="16" spans="1:4" ht="25.05" customHeight="1">
      <c r="A16" s="2">
        <v>19</v>
      </c>
      <c r="B16" s="23" t="s">
        <v>90</v>
      </c>
      <c r="C16" s="23" t="s">
        <v>91</v>
      </c>
      <c r="D16" s="26" t="s">
        <v>186</v>
      </c>
    </row>
    <row r="17" spans="1:4" ht="25.05" customHeight="1">
      <c r="A17" s="2">
        <v>20</v>
      </c>
      <c r="B17" s="23" t="s">
        <v>98</v>
      </c>
      <c r="C17" s="23" t="s">
        <v>99</v>
      </c>
      <c r="D17" s="26" t="s">
        <v>185</v>
      </c>
    </row>
    <row r="18" spans="1:4" ht="25.05" customHeight="1">
      <c r="A18" s="2">
        <v>21</v>
      </c>
      <c r="B18" s="23" t="s">
        <v>112</v>
      </c>
      <c r="C18" s="23" t="s">
        <v>111</v>
      </c>
      <c r="D18" s="26" t="s">
        <v>184</v>
      </c>
    </row>
    <row r="19" spans="1:4" ht="25.05" customHeight="1">
      <c r="A19" s="2">
        <v>22</v>
      </c>
      <c r="B19" s="23" t="s">
        <v>90</v>
      </c>
      <c r="C19" s="23" t="s">
        <v>125</v>
      </c>
      <c r="D19" s="26" t="s">
        <v>184</v>
      </c>
    </row>
    <row r="20" spans="1:4" ht="25.05" customHeight="1">
      <c r="A20" s="2">
        <v>23</v>
      </c>
      <c r="B20" s="23" t="s">
        <v>128</v>
      </c>
      <c r="C20" s="23" t="s">
        <v>129</v>
      </c>
      <c r="D20" s="26" t="s">
        <v>185</v>
      </c>
    </row>
    <row r="21" spans="1:4" ht="25.05" customHeight="1">
      <c r="A21" s="2">
        <v>25</v>
      </c>
      <c r="B21" s="23" t="s">
        <v>102</v>
      </c>
      <c r="C21" s="23" t="s">
        <v>103</v>
      </c>
      <c r="D21" s="26" t="s">
        <v>187</v>
      </c>
    </row>
    <row r="22" spans="1:4" ht="25.05" customHeight="1">
      <c r="A22" s="2">
        <v>26</v>
      </c>
      <c r="B22" s="23" t="s">
        <v>106</v>
      </c>
      <c r="C22" s="23" t="s">
        <v>107</v>
      </c>
      <c r="D22" s="26" t="s">
        <v>186</v>
      </c>
    </row>
    <row r="23" spans="1:4" ht="25.05" customHeight="1">
      <c r="A23" s="2">
        <v>27</v>
      </c>
      <c r="B23" s="23" t="s">
        <v>104</v>
      </c>
      <c r="C23" s="23" t="s">
        <v>181</v>
      </c>
      <c r="D23" s="26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2025-12-06T18:51:19Z</dcterms:modified>
</cp:coreProperties>
</file>