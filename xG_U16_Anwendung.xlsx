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A1F1F43D-EA32-46F1-93E0-4F1D897EA6FC}" xr6:coauthVersionLast="47" xr6:coauthVersionMax="47" xr10:uidLastSave="{00000000-0000-0000-0000-000000000000}"/>
  <bookViews>
    <workbookView xWindow="-108" yWindow="-108" windowWidth="23256" windowHeight="12456" tabRatio="87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AN181" i="2"/>
  <c r="AR172" i="2"/>
  <c r="AE174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13" i="2"/>
  <c r="D213" i="2"/>
  <c r="I213" i="2"/>
  <c r="C201" i="2"/>
  <c r="C199" i="2"/>
  <c r="I4" i="2"/>
  <c r="J2" i="2"/>
  <c r="I2" i="2"/>
  <c r="I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4" i="2"/>
  <c r="I215" i="2"/>
  <c r="I216" i="2"/>
  <c r="I217" i="2"/>
  <c r="I218" i="2"/>
  <c r="I219" i="2"/>
  <c r="I220" i="2"/>
  <c r="I221" i="2"/>
  <c r="I222" i="2"/>
  <c r="I223" i="2"/>
  <c r="C192" i="2"/>
  <c r="D192" i="2"/>
  <c r="C167" i="2"/>
  <c r="D16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D199" i="2"/>
  <c r="C200" i="2"/>
  <c r="D200" i="2"/>
  <c r="D201" i="2"/>
  <c r="C202" i="2"/>
  <c r="D202" i="2"/>
  <c r="C203" i="2"/>
  <c r="D203" i="2"/>
  <c r="C204" i="2"/>
  <c r="D204" i="2"/>
  <c r="C205" i="2"/>
  <c r="D205" i="2"/>
  <c r="C206" i="2"/>
  <c r="D206" i="2"/>
  <c r="C207" i="2"/>
  <c r="D207" i="2"/>
  <c r="C208" i="2"/>
  <c r="D208" i="2"/>
  <c r="C209" i="2"/>
  <c r="D209" i="2"/>
  <c r="C210" i="2"/>
  <c r="D210" i="2"/>
  <c r="C211" i="2"/>
  <c r="D211" i="2"/>
  <c r="C212" i="2"/>
  <c r="D212" i="2"/>
  <c r="C214" i="2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D2" i="2"/>
  <c r="C2" i="2"/>
  <c r="H15" i="35"/>
  <c r="AN190" i="2"/>
  <c r="AJ168" i="2"/>
  <c r="AE155" i="2"/>
  <c r="H154" i="2"/>
  <c r="AR212" i="2"/>
  <c r="AR198" i="2"/>
  <c r="E213" i="2"/>
  <c r="H213" i="2"/>
  <c r="AE213" i="2"/>
  <c r="AF213" i="2"/>
  <c r="AJ213" i="2"/>
  <c r="AN213" i="2"/>
  <c r="AR213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J143" i="2"/>
  <c r="AN139" i="2"/>
  <c r="AN124" i="2"/>
  <c r="AN109" i="2"/>
  <c r="AE107" i="2"/>
  <c r="AF107" i="2"/>
  <c r="H4" i="2"/>
  <c r="H2" i="2"/>
  <c r="E9" i="2"/>
  <c r="E3" i="2"/>
  <c r="E2" i="2"/>
  <c r="E4" i="2"/>
  <c r="E5" i="2"/>
  <c r="E6" i="2"/>
  <c r="E7" i="2"/>
  <c r="E8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4" i="2"/>
  <c r="E215" i="2"/>
  <c r="E216" i="2"/>
  <c r="E217" i="2"/>
  <c r="E218" i="2"/>
  <c r="E219" i="2"/>
  <c r="E220" i="2"/>
  <c r="E221" i="2"/>
  <c r="E222" i="2"/>
  <c r="E223" i="2"/>
  <c r="H3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4" i="2"/>
  <c r="H215" i="2"/>
  <c r="H216" i="2"/>
  <c r="H217" i="2"/>
  <c r="H218" i="2"/>
  <c r="H219" i="2"/>
  <c r="H220" i="2"/>
  <c r="H221" i="2"/>
  <c r="H222" i="2"/>
  <c r="H223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R83" i="2"/>
  <c r="AN80" i="2"/>
  <c r="AN68" i="2"/>
  <c r="AN62" i="2"/>
  <c r="AJ57" i="2"/>
  <c r="AN56" i="2"/>
  <c r="AE52" i="2"/>
  <c r="AJ43" i="2"/>
  <c r="AR42" i="2"/>
  <c r="AE192" i="2"/>
  <c r="AF192" i="2"/>
  <c r="AJ192" i="2"/>
  <c r="AN192" i="2"/>
  <c r="AR192" i="2"/>
  <c r="AE167" i="2"/>
  <c r="AF167" i="2"/>
  <c r="AJ167" i="2"/>
  <c r="AN167" i="2"/>
  <c r="AR167" i="2"/>
  <c r="AE189" i="2"/>
  <c r="AF189" i="2"/>
  <c r="AJ189" i="2"/>
  <c r="AN189" i="2"/>
  <c r="AR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E122" i="2"/>
  <c r="AF122" i="2"/>
  <c r="AJ122" i="2"/>
  <c r="AN122" i="2"/>
  <c r="AR122" i="2"/>
  <c r="AE121" i="2"/>
  <c r="AF121" i="2"/>
  <c r="AJ121" i="2"/>
  <c r="AN121" i="2"/>
  <c r="AR121" i="2"/>
  <c r="AE120" i="2"/>
  <c r="AF120" i="2"/>
  <c r="AJ120" i="2"/>
  <c r="AN120" i="2"/>
  <c r="AR120" i="2"/>
  <c r="G72" i="41"/>
  <c r="AE30" i="2"/>
  <c r="AF30" i="2"/>
  <c r="AJ30" i="2"/>
  <c r="AN30" i="2"/>
  <c r="AR30" i="2"/>
  <c r="AE4" i="2"/>
  <c r="AF4" i="2"/>
  <c r="AJ4" i="2"/>
  <c r="AN4" i="2"/>
  <c r="AR4" i="2"/>
  <c r="AE27" i="2"/>
  <c r="AJ15" i="2"/>
  <c r="AE15" i="2"/>
  <c r="AN14" i="2"/>
  <c r="AN12" i="2"/>
  <c r="AJ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E182" i="2" l="1"/>
  <c r="AE175" i="2"/>
  <c r="AE173" i="2"/>
  <c r="AF173" i="2"/>
  <c r="AJ173" i="2"/>
  <c r="AN173" i="2"/>
  <c r="AR173" i="2"/>
  <c r="AN158" i="2"/>
  <c r="AN114" i="2"/>
  <c r="AJ56" i="2"/>
  <c r="AJ45" i="2"/>
  <c r="AE18" i="2"/>
  <c r="AJ2" i="2" l="1"/>
  <c r="AJ3" i="2"/>
  <c r="AJ5" i="2"/>
  <c r="AJ6" i="2"/>
  <c r="AJ7" i="2"/>
  <c r="AJ8" i="2"/>
  <c r="AJ9" i="2"/>
  <c r="AJ11" i="2"/>
  <c r="AJ12" i="2"/>
  <c r="AJ13" i="2"/>
  <c r="AJ1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4" i="2"/>
  <c r="AJ46" i="2"/>
  <c r="AJ47" i="2"/>
  <c r="AJ48" i="2"/>
  <c r="AJ49" i="2"/>
  <c r="AJ50" i="2"/>
  <c r="AJ51" i="2"/>
  <c r="AJ52" i="2"/>
  <c r="AJ53" i="2"/>
  <c r="AJ54" i="2"/>
  <c r="AJ55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9" i="2"/>
  <c r="AJ170" i="2"/>
  <c r="AJ171" i="2"/>
  <c r="AJ172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90" i="2"/>
  <c r="AJ191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4" i="2"/>
  <c r="AJ215" i="2"/>
  <c r="AJ216" i="2"/>
  <c r="AJ217" i="2"/>
  <c r="AJ218" i="2"/>
  <c r="AJ219" i="2"/>
  <c r="AJ220" i="2"/>
  <c r="AJ221" i="2"/>
  <c r="AJ222" i="2"/>
  <c r="AJ223" i="2"/>
  <c r="AR3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1" i="2"/>
  <c r="AR32" i="2"/>
  <c r="AR33" i="2"/>
  <c r="AR34" i="2"/>
  <c r="AR35" i="2"/>
  <c r="AR36" i="2"/>
  <c r="AR37" i="2"/>
  <c r="AR38" i="2"/>
  <c r="AR39" i="2"/>
  <c r="AR40" i="2"/>
  <c r="AR41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AR106" i="2"/>
  <c r="AR107" i="2"/>
  <c r="AR108" i="2"/>
  <c r="AR109" i="2"/>
  <c r="AR110" i="2"/>
  <c r="AR111" i="2"/>
  <c r="AR112" i="2"/>
  <c r="AR113" i="2"/>
  <c r="AR114" i="2"/>
  <c r="AR115" i="2"/>
  <c r="AR116" i="2"/>
  <c r="AR117" i="2"/>
  <c r="AR118" i="2"/>
  <c r="AR119" i="2"/>
  <c r="AR123" i="2"/>
  <c r="AR124" i="2"/>
  <c r="AR125" i="2"/>
  <c r="AR126" i="2"/>
  <c r="AR127" i="2"/>
  <c r="AR128" i="2"/>
  <c r="AR129" i="2"/>
  <c r="AR130" i="2"/>
  <c r="AR131" i="2"/>
  <c r="AR132" i="2"/>
  <c r="AR133" i="2"/>
  <c r="AR134" i="2"/>
  <c r="AR135" i="2"/>
  <c r="AR136" i="2"/>
  <c r="AR137" i="2"/>
  <c r="AR138" i="2"/>
  <c r="AR139" i="2"/>
  <c r="AR140" i="2"/>
  <c r="AR141" i="2"/>
  <c r="AR142" i="2"/>
  <c r="AR143" i="2"/>
  <c r="AR144" i="2"/>
  <c r="AR145" i="2"/>
  <c r="AR146" i="2"/>
  <c r="AR147" i="2"/>
  <c r="AR148" i="2"/>
  <c r="AR149" i="2"/>
  <c r="AR150" i="2"/>
  <c r="AR151" i="2"/>
  <c r="AR152" i="2"/>
  <c r="AR153" i="2"/>
  <c r="AR154" i="2"/>
  <c r="AR155" i="2"/>
  <c r="AR156" i="2"/>
  <c r="AR157" i="2"/>
  <c r="AR158" i="2"/>
  <c r="AR159" i="2"/>
  <c r="AR160" i="2"/>
  <c r="AR161" i="2"/>
  <c r="AR162" i="2"/>
  <c r="AR163" i="2"/>
  <c r="AR164" i="2"/>
  <c r="AR165" i="2"/>
  <c r="AR166" i="2"/>
  <c r="AR168" i="2"/>
  <c r="AR169" i="2"/>
  <c r="AR170" i="2"/>
  <c r="AR171" i="2"/>
  <c r="AR174" i="2"/>
  <c r="AR175" i="2"/>
  <c r="AR176" i="2"/>
  <c r="AR177" i="2"/>
  <c r="AR178" i="2"/>
  <c r="AR179" i="2"/>
  <c r="AR180" i="2"/>
  <c r="AR181" i="2"/>
  <c r="AR182" i="2"/>
  <c r="AR183" i="2"/>
  <c r="AR184" i="2"/>
  <c r="AR185" i="2"/>
  <c r="AR186" i="2"/>
  <c r="AR187" i="2"/>
  <c r="AR188" i="2"/>
  <c r="AR190" i="2"/>
  <c r="AR191" i="2"/>
  <c r="AR193" i="2"/>
  <c r="AR194" i="2"/>
  <c r="AR195" i="2"/>
  <c r="AR196" i="2"/>
  <c r="AR197" i="2"/>
  <c r="AR199" i="2"/>
  <c r="AR200" i="2"/>
  <c r="AR201" i="2"/>
  <c r="AR202" i="2"/>
  <c r="AR203" i="2"/>
  <c r="AR204" i="2"/>
  <c r="AR205" i="2"/>
  <c r="AR206" i="2"/>
  <c r="AR207" i="2"/>
  <c r="AR208" i="2"/>
  <c r="AR209" i="2"/>
  <c r="AR210" i="2"/>
  <c r="AR211" i="2"/>
  <c r="AR214" i="2"/>
  <c r="AR215" i="2"/>
  <c r="AR216" i="2"/>
  <c r="AR217" i="2"/>
  <c r="AR218" i="2"/>
  <c r="AR219" i="2"/>
  <c r="AR220" i="2"/>
  <c r="AR221" i="2"/>
  <c r="AR222" i="2"/>
  <c r="AR223" i="2"/>
  <c r="AN3" i="2"/>
  <c r="AN5" i="2"/>
  <c r="AN6" i="2"/>
  <c r="AN7" i="2"/>
  <c r="AN8" i="2"/>
  <c r="AN9" i="2"/>
  <c r="AN10" i="2"/>
  <c r="AN11" i="2"/>
  <c r="AN13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7" i="2"/>
  <c r="AN58" i="2"/>
  <c r="AN59" i="2"/>
  <c r="AN60" i="2"/>
  <c r="AN61" i="2"/>
  <c r="AN63" i="2"/>
  <c r="AN64" i="2"/>
  <c r="AN65" i="2"/>
  <c r="AN66" i="2"/>
  <c r="AN67" i="2"/>
  <c r="AN69" i="2"/>
  <c r="AN70" i="2"/>
  <c r="AN71" i="2"/>
  <c r="AN72" i="2"/>
  <c r="AN73" i="2"/>
  <c r="AN74" i="2"/>
  <c r="AN75" i="2"/>
  <c r="AN76" i="2"/>
  <c r="AN77" i="2"/>
  <c r="AN78" i="2"/>
  <c r="AN79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10" i="2"/>
  <c r="AN111" i="2"/>
  <c r="AN112" i="2"/>
  <c r="AN113" i="2"/>
  <c r="AN115" i="2"/>
  <c r="AN116" i="2"/>
  <c r="AN117" i="2"/>
  <c r="AN118" i="2"/>
  <c r="AN119" i="2"/>
  <c r="AN123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9" i="2"/>
  <c r="AN160" i="2"/>
  <c r="AN161" i="2"/>
  <c r="AN162" i="2"/>
  <c r="AN163" i="2"/>
  <c r="AN164" i="2"/>
  <c r="AN165" i="2"/>
  <c r="AN166" i="2"/>
  <c r="AN168" i="2"/>
  <c r="AN169" i="2"/>
  <c r="AN170" i="2"/>
  <c r="AN171" i="2"/>
  <c r="AN172" i="2"/>
  <c r="AN174" i="2"/>
  <c r="AN175" i="2"/>
  <c r="AN176" i="2"/>
  <c r="AN177" i="2"/>
  <c r="AN178" i="2"/>
  <c r="AN179" i="2"/>
  <c r="AN180" i="2"/>
  <c r="AN182" i="2"/>
  <c r="AN183" i="2"/>
  <c r="AN184" i="2"/>
  <c r="AN185" i="2"/>
  <c r="AN186" i="2"/>
  <c r="AN187" i="2"/>
  <c r="AN188" i="2"/>
  <c r="AN191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4" i="2"/>
  <c r="AN215" i="2"/>
  <c r="AN216" i="2"/>
  <c r="AN217" i="2"/>
  <c r="AN218" i="2"/>
  <c r="AN219" i="2"/>
  <c r="AN220" i="2"/>
  <c r="AN221" i="2"/>
  <c r="AN222" i="2"/>
  <c r="AN223" i="2"/>
  <c r="AE3" i="2"/>
  <c r="AF3" i="2"/>
  <c r="AE5" i="2"/>
  <c r="AF5" i="2"/>
  <c r="AE6" i="2"/>
  <c r="AF6" i="2"/>
  <c r="AE7" i="2"/>
  <c r="AF7" i="2"/>
  <c r="AE8" i="2"/>
  <c r="AF8" i="2"/>
  <c r="AE9" i="2"/>
  <c r="AF9" i="2"/>
  <c r="AE10" i="2"/>
  <c r="AF10" i="2"/>
  <c r="AE11" i="2"/>
  <c r="AF11" i="2"/>
  <c r="AE12" i="2"/>
  <c r="AF12" i="2"/>
  <c r="AE13" i="2"/>
  <c r="AF13" i="2"/>
  <c r="AE14" i="2"/>
  <c r="AF14" i="2"/>
  <c r="AF15" i="2"/>
  <c r="AE16" i="2"/>
  <c r="AF16" i="2"/>
  <c r="AE17" i="2"/>
  <c r="AF17" i="2"/>
  <c r="AF18" i="2"/>
  <c r="AE19" i="2"/>
  <c r="AF19" i="2"/>
  <c r="AE20" i="2"/>
  <c r="AF20" i="2"/>
  <c r="AE21" i="2"/>
  <c r="AF21" i="2"/>
  <c r="AE22" i="2"/>
  <c r="AF22" i="2"/>
  <c r="AE23" i="2"/>
  <c r="AF23" i="2"/>
  <c r="AE24" i="2"/>
  <c r="AF24" i="2"/>
  <c r="AE25" i="2"/>
  <c r="AF25" i="2"/>
  <c r="AE26" i="2"/>
  <c r="AF26" i="2"/>
  <c r="AF27" i="2"/>
  <c r="AE28" i="2"/>
  <c r="AF28" i="2"/>
  <c r="AE29" i="2"/>
  <c r="AF29" i="2"/>
  <c r="AE31" i="2"/>
  <c r="AF31" i="2"/>
  <c r="AE32" i="2"/>
  <c r="AF32" i="2"/>
  <c r="AE33" i="2"/>
  <c r="AF33" i="2"/>
  <c r="AE34" i="2"/>
  <c r="AF34" i="2"/>
  <c r="AE35" i="2"/>
  <c r="AF35" i="2"/>
  <c r="AE36" i="2"/>
  <c r="AF36" i="2"/>
  <c r="AE37" i="2"/>
  <c r="AF37" i="2"/>
  <c r="AE38" i="2"/>
  <c r="AF38" i="2"/>
  <c r="AE39" i="2"/>
  <c r="AF39" i="2"/>
  <c r="AE40" i="2"/>
  <c r="AF40" i="2"/>
  <c r="AE41" i="2"/>
  <c r="AF41" i="2"/>
  <c r="AE42" i="2"/>
  <c r="AF42" i="2"/>
  <c r="AE43" i="2"/>
  <c r="AF43" i="2"/>
  <c r="AE44" i="2"/>
  <c r="AF44" i="2"/>
  <c r="AE45" i="2"/>
  <c r="AF45" i="2"/>
  <c r="AE46" i="2"/>
  <c r="AF46" i="2"/>
  <c r="AE47" i="2"/>
  <c r="AF47" i="2"/>
  <c r="AE48" i="2"/>
  <c r="AF48" i="2"/>
  <c r="AE49" i="2"/>
  <c r="AF49" i="2"/>
  <c r="AE50" i="2"/>
  <c r="AF50" i="2"/>
  <c r="AE51" i="2"/>
  <c r="AF51" i="2"/>
  <c r="AF52" i="2"/>
  <c r="AE53" i="2"/>
  <c r="AF53" i="2"/>
  <c r="AE54" i="2"/>
  <c r="AF54" i="2"/>
  <c r="AE55" i="2"/>
  <c r="AF55" i="2"/>
  <c r="AE56" i="2"/>
  <c r="AF56" i="2"/>
  <c r="AE57" i="2"/>
  <c r="AF57" i="2"/>
  <c r="AE58" i="2"/>
  <c r="AF58" i="2"/>
  <c r="AE59" i="2"/>
  <c r="AF59" i="2"/>
  <c r="AE60" i="2"/>
  <c r="AF60" i="2"/>
  <c r="AE61" i="2"/>
  <c r="AF61" i="2"/>
  <c r="AE62" i="2"/>
  <c r="AF62" i="2"/>
  <c r="AE63" i="2"/>
  <c r="AF63" i="2"/>
  <c r="AE64" i="2"/>
  <c r="AF64" i="2"/>
  <c r="AE65" i="2"/>
  <c r="AF65" i="2"/>
  <c r="AE66" i="2"/>
  <c r="AF66" i="2"/>
  <c r="AE67" i="2"/>
  <c r="AF67" i="2"/>
  <c r="AE68" i="2"/>
  <c r="AF68" i="2"/>
  <c r="AE69" i="2"/>
  <c r="AF69" i="2"/>
  <c r="AE70" i="2"/>
  <c r="AF70" i="2"/>
  <c r="AE71" i="2"/>
  <c r="AF71" i="2"/>
  <c r="AE72" i="2"/>
  <c r="AF72" i="2"/>
  <c r="AE73" i="2"/>
  <c r="AF73" i="2"/>
  <c r="AE74" i="2"/>
  <c r="AF74" i="2"/>
  <c r="AE75" i="2"/>
  <c r="AF75" i="2"/>
  <c r="AE76" i="2"/>
  <c r="AF76" i="2"/>
  <c r="AE77" i="2"/>
  <c r="AF77" i="2"/>
  <c r="AE78" i="2"/>
  <c r="AF78" i="2"/>
  <c r="AE79" i="2"/>
  <c r="AF79" i="2"/>
  <c r="AE80" i="2"/>
  <c r="AF80" i="2"/>
  <c r="AE81" i="2"/>
  <c r="AF81" i="2"/>
  <c r="AE82" i="2"/>
  <c r="AF82" i="2"/>
  <c r="AE83" i="2"/>
  <c r="AF83" i="2"/>
  <c r="AE84" i="2"/>
  <c r="AF84" i="2"/>
  <c r="AE85" i="2"/>
  <c r="AF85" i="2"/>
  <c r="AE86" i="2"/>
  <c r="AF86" i="2"/>
  <c r="AE87" i="2"/>
  <c r="AF87" i="2"/>
  <c r="AE88" i="2"/>
  <c r="AF88" i="2"/>
  <c r="AE89" i="2"/>
  <c r="AF89" i="2"/>
  <c r="AE90" i="2"/>
  <c r="AF90" i="2"/>
  <c r="AE91" i="2"/>
  <c r="AF91" i="2"/>
  <c r="AE92" i="2"/>
  <c r="AF92" i="2"/>
  <c r="AE93" i="2"/>
  <c r="AF93" i="2"/>
  <c r="AE94" i="2"/>
  <c r="AF94" i="2"/>
  <c r="AE95" i="2"/>
  <c r="AF95" i="2"/>
  <c r="AE96" i="2"/>
  <c r="AF96" i="2"/>
  <c r="AE97" i="2"/>
  <c r="AF97" i="2"/>
  <c r="AE98" i="2"/>
  <c r="AF98" i="2"/>
  <c r="AE99" i="2"/>
  <c r="AF99" i="2"/>
  <c r="AE100" i="2"/>
  <c r="AF100" i="2"/>
  <c r="AE101" i="2"/>
  <c r="AF101" i="2"/>
  <c r="AE102" i="2"/>
  <c r="AF102" i="2"/>
  <c r="AE103" i="2"/>
  <c r="AF103" i="2"/>
  <c r="AE104" i="2"/>
  <c r="AF104" i="2"/>
  <c r="AE105" i="2"/>
  <c r="AF105" i="2"/>
  <c r="AE106" i="2"/>
  <c r="AF106" i="2"/>
  <c r="AE108" i="2"/>
  <c r="AF108" i="2"/>
  <c r="AE109" i="2"/>
  <c r="AF109" i="2"/>
  <c r="AE110" i="2"/>
  <c r="AF110" i="2"/>
  <c r="AE111" i="2"/>
  <c r="AF111" i="2"/>
  <c r="AE112" i="2"/>
  <c r="AF112" i="2"/>
  <c r="AE113" i="2"/>
  <c r="AF113" i="2"/>
  <c r="AE114" i="2"/>
  <c r="AF114" i="2"/>
  <c r="AE115" i="2"/>
  <c r="AF115" i="2"/>
  <c r="AE116" i="2"/>
  <c r="AF116" i="2"/>
  <c r="AE117" i="2"/>
  <c r="AF117" i="2"/>
  <c r="AE118" i="2"/>
  <c r="AF118" i="2"/>
  <c r="AE119" i="2"/>
  <c r="AF119" i="2"/>
  <c r="AE123" i="2"/>
  <c r="AF123" i="2"/>
  <c r="AE124" i="2"/>
  <c r="AF124" i="2"/>
  <c r="AE125" i="2"/>
  <c r="AF125" i="2"/>
  <c r="AE126" i="2"/>
  <c r="AF126" i="2"/>
  <c r="AE127" i="2"/>
  <c r="AF127" i="2"/>
  <c r="AE128" i="2"/>
  <c r="AF128" i="2"/>
  <c r="AE129" i="2"/>
  <c r="AF129" i="2"/>
  <c r="AE130" i="2"/>
  <c r="AF130" i="2"/>
  <c r="AE131" i="2"/>
  <c r="AF131" i="2"/>
  <c r="AE132" i="2"/>
  <c r="AF132" i="2"/>
  <c r="AE133" i="2"/>
  <c r="AF133" i="2"/>
  <c r="AE134" i="2"/>
  <c r="AF134" i="2"/>
  <c r="AE135" i="2"/>
  <c r="AF135" i="2"/>
  <c r="AE136" i="2"/>
  <c r="AF136" i="2"/>
  <c r="AE137" i="2"/>
  <c r="AF137" i="2"/>
  <c r="AE138" i="2"/>
  <c r="AF138" i="2"/>
  <c r="AE139" i="2"/>
  <c r="AF139" i="2"/>
  <c r="AE140" i="2"/>
  <c r="AF140" i="2"/>
  <c r="AE141" i="2"/>
  <c r="AF141" i="2"/>
  <c r="AE142" i="2"/>
  <c r="AF142" i="2"/>
  <c r="AE143" i="2"/>
  <c r="AF143" i="2"/>
  <c r="AE144" i="2"/>
  <c r="AF144" i="2"/>
  <c r="AE145" i="2"/>
  <c r="AF145" i="2"/>
  <c r="AE146" i="2"/>
  <c r="AF146" i="2"/>
  <c r="AE147" i="2"/>
  <c r="AF147" i="2"/>
  <c r="AE148" i="2"/>
  <c r="AF148" i="2"/>
  <c r="AE149" i="2"/>
  <c r="AF149" i="2"/>
  <c r="AE150" i="2"/>
  <c r="AF150" i="2"/>
  <c r="AE151" i="2"/>
  <c r="AF151" i="2"/>
  <c r="AE152" i="2"/>
  <c r="AF152" i="2"/>
  <c r="AE153" i="2"/>
  <c r="AF153" i="2"/>
  <c r="AE154" i="2"/>
  <c r="AF154" i="2"/>
  <c r="AF155" i="2"/>
  <c r="AE156" i="2"/>
  <c r="AF156" i="2"/>
  <c r="AE157" i="2"/>
  <c r="AF157" i="2"/>
  <c r="AE158" i="2"/>
  <c r="AF158" i="2"/>
  <c r="AE159" i="2"/>
  <c r="AF159" i="2"/>
  <c r="AE160" i="2"/>
  <c r="AF160" i="2"/>
  <c r="AE161" i="2"/>
  <c r="AF161" i="2"/>
  <c r="AE162" i="2"/>
  <c r="AF162" i="2"/>
  <c r="AE163" i="2"/>
  <c r="AF163" i="2"/>
  <c r="AE164" i="2"/>
  <c r="AF164" i="2"/>
  <c r="AE165" i="2"/>
  <c r="AF165" i="2"/>
  <c r="AE166" i="2"/>
  <c r="AF166" i="2"/>
  <c r="AE168" i="2"/>
  <c r="AF168" i="2"/>
  <c r="AE169" i="2"/>
  <c r="AF169" i="2"/>
  <c r="AE170" i="2"/>
  <c r="AF170" i="2"/>
  <c r="AE171" i="2"/>
  <c r="AF171" i="2"/>
  <c r="AE172" i="2"/>
  <c r="AF172" i="2"/>
  <c r="AF174" i="2"/>
  <c r="AF175" i="2"/>
  <c r="AE176" i="2"/>
  <c r="AF176" i="2"/>
  <c r="AE177" i="2"/>
  <c r="AF177" i="2"/>
  <c r="AE178" i="2"/>
  <c r="AF178" i="2"/>
  <c r="AE179" i="2"/>
  <c r="AF179" i="2"/>
  <c r="AE180" i="2"/>
  <c r="AF180" i="2"/>
  <c r="AE181" i="2"/>
  <c r="AF181" i="2"/>
  <c r="AF182" i="2"/>
  <c r="AE183" i="2"/>
  <c r="AF183" i="2"/>
  <c r="AE184" i="2"/>
  <c r="AF184" i="2"/>
  <c r="AE185" i="2"/>
  <c r="AF185" i="2"/>
  <c r="AE186" i="2"/>
  <c r="AF186" i="2"/>
  <c r="AE187" i="2"/>
  <c r="AF187" i="2"/>
  <c r="AE188" i="2"/>
  <c r="AF188" i="2"/>
  <c r="AE190" i="2"/>
  <c r="AF190" i="2"/>
  <c r="AE191" i="2"/>
  <c r="AF191" i="2"/>
  <c r="AE193" i="2"/>
  <c r="AF193" i="2"/>
  <c r="AE194" i="2"/>
  <c r="AF194" i="2"/>
  <c r="AE195" i="2"/>
  <c r="AF195" i="2"/>
  <c r="AE196" i="2"/>
  <c r="AF196" i="2"/>
  <c r="AE197" i="2"/>
  <c r="AF197" i="2"/>
  <c r="AE198" i="2"/>
  <c r="AF198" i="2"/>
  <c r="AE199" i="2"/>
  <c r="AF199" i="2"/>
  <c r="AE200" i="2"/>
  <c r="AF200" i="2"/>
  <c r="AE201" i="2"/>
  <c r="AF201" i="2"/>
  <c r="AE202" i="2"/>
  <c r="AF202" i="2"/>
  <c r="AE203" i="2"/>
  <c r="AF203" i="2"/>
  <c r="AE204" i="2"/>
  <c r="AF204" i="2"/>
  <c r="AE205" i="2"/>
  <c r="AF205" i="2"/>
  <c r="AE206" i="2"/>
  <c r="AF206" i="2"/>
  <c r="AE207" i="2"/>
  <c r="AF207" i="2"/>
  <c r="AE208" i="2"/>
  <c r="AF208" i="2"/>
  <c r="AE209" i="2"/>
  <c r="AF209" i="2"/>
  <c r="AE210" i="2"/>
  <c r="AF210" i="2"/>
  <c r="AE211" i="2"/>
  <c r="AF211" i="2"/>
  <c r="AE212" i="2"/>
  <c r="AF212" i="2"/>
  <c r="AE214" i="2"/>
  <c r="AF214" i="2"/>
  <c r="AE215" i="2"/>
  <c r="AF215" i="2"/>
  <c r="AE216" i="2"/>
  <c r="AF216" i="2"/>
  <c r="AE217" i="2"/>
  <c r="AF217" i="2"/>
  <c r="AE218" i="2"/>
  <c r="AF218" i="2"/>
  <c r="AE219" i="2"/>
  <c r="AF219" i="2"/>
  <c r="AE220" i="2"/>
  <c r="AF220" i="2"/>
  <c r="AE221" i="2"/>
  <c r="AF221" i="2"/>
  <c r="AE222" i="2"/>
  <c r="AF222" i="2"/>
  <c r="AE223" i="2"/>
  <c r="AF223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N2" i="2"/>
  <c r="AR2" i="2"/>
  <c r="AF2" i="2" l="1"/>
  <c r="AE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X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Y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Z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A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G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J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K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O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R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<sst xmlns="http://schemas.openxmlformats.org/spreadsheetml/2006/main" count="2155" uniqueCount="180">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</sst>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5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4">
  <tableColumns count="10">
    <tableColumn id="3" xr3:uid="{6E46BB75-7AA6-4AE0-A005-D539DDCFC196}" name="SID" dataDxfId="123"/>
    <tableColumn id="4" xr3:uid="{C47A3B61-F28E-4214-BFC3-37A3A33F953B}" name="Datum" dataDxfId="122"/>
    <tableColumn id="5" xr3:uid="{C689F04B-B6CE-4315-BADE-AAA86EC831A6}" name="Heim" dataDxfId="121"/>
    <tableColumn id="6" xr3:uid="{D9B15F89-1F0A-458D-922F-6B2237C4FDDE}" name="Gast" dataDxfId="120"/>
    <tableColumn id="7" xr3:uid="{1F4B0B22-113B-4B13-B735-0BBD579317AF}" name="1. HZ" dataDxfId="119"/>
    <tableColumn id="8" xr3:uid="{12077EEE-5CEB-4092-B79D-C908B22B2779}" name="2. HZ" dataDxfId="118"/>
    <tableColumn id="13" xr3:uid="{9623CA39-28F7-4980-A88A-3573C5D164D8}" name="TH" dataDxfId="117">
      <calculatedColumnFormula>SUM(COUNTIFS(Abschlüsse!$A$2:$A$223,$A2,Abschlüsse!$B$2:$B$223,$C2,Abschlüsse!$L$2:$L$223,"Tor"),COUNTIFS(Abschlüsse!$A$2:$A$223,$A2,Abschlüsse!$B$2:$B$223,$C2,Abschlüsse!$L$2:$L$223,"ET"))</calculatedColumnFormula>
    </tableColumn>
    <tableColumn id="14" xr3:uid="{C91559F3-290E-4254-BCA6-0153E99BEA95}" name="TG" dataDxfId="116">
      <calculatedColumnFormula>SUM(COUNTIFS(Abschlüsse!$A$2:$A$223,$A2,Abschlüsse!$B$2:$B$223,$D2,Abschlüsse!$L$2:$L$223,"Tor"),COUNTIFS(Abschlüsse!$A$2:$A$223,$A2,Abschlüsse!$B$2:$B$223,$D2,Abschlüsse!$L$2:$L$223,"ET"))</calculatedColumnFormula>
    </tableColumn>
    <tableColumn id="15" xr3:uid="{20A97A80-E72B-4108-88BD-336F6FD51B46}" name="PH" dataDxfId="115">
      <calculatedColumnFormula>IF($A2="","",IF($G2&gt;$H2,3,IF($G2=$H2,1,IF($G2&lt;$H2,0,""))))</calculatedColumnFormula>
    </tableColumn>
    <tableColumn id="16" xr3:uid="{4191863F-CF4A-4B49-A67D-B4999F1036F4}" name="PG" dataDxfId="114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3" dataDxfId="112">
  <tableColumns count="7">
    <tableColumn id="1" xr3:uid="{9849534C-FEBF-4D72-A83E-C4921D5B58F8}" name="SID" dataDxfId="111"/>
    <tableColumn id="2" xr3:uid="{30E5CCDD-CD08-4E9F-93D9-14FC799320DA}" name="Nr" dataDxfId="110"/>
    <tableColumn id="3" xr3:uid="{A9A2D9AC-3794-4B06-B135-2E3A2793F85D}" name="1Von" dataDxfId="109"/>
    <tableColumn id="6" xr3:uid="{18616D7C-A504-4C93-9C5F-4ACF1574C27E}" name="1Bis" dataDxfId="108"/>
    <tableColumn id="5" xr3:uid="{8F7065A7-2117-438C-B45D-8A2C4A12E782}" name="2Von" dataDxfId="107"/>
    <tableColumn id="8" xr3:uid="{26DDE481-2A58-4719-BB30-5389A7F8F2B4}" name="2Bis" dataDxfId="106"/>
    <tableColumn id="4" xr3:uid="{9048B275-4ABE-4791-A832-CD383163ECA9}" name="SZ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4" headerRowCellStyle="Standard 2">
  <tableColumns count="5">
    <tableColumn id="3" xr3:uid="{70097416-485F-4F24-982D-9E074C03170E}" name="SID" dataDxfId="103"/>
    <tableColumn id="4" xr3:uid="{B092948C-193B-446C-8856-25DFE9932308}" name="Min" dataDxfId="102"/>
    <tableColumn id="5" xr3:uid="{AA39880A-83A1-4B14-A37F-1A691A8ADEB1}" name="HZ" dataDxfId="101"/>
    <tableColumn id="6" xr3:uid="{5D906F9B-93AA-4C4C-84B2-376AE41ED7BC}" name="Team" dataDxfId="100"/>
    <tableColumn id="2" xr3:uid="{E89E6B47-DF22-428B-B7D5-23F13828C5E5}" name="TNr" dataDxfId="9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R223" totalsRowShown="0" headerRowDxfId="98" dataDxfId="97" headerRowCellStyle="Standard 2">
  <autoFilter ref="A1:AR223" xr:uid="{3C2ACF92-1699-403D-A98C-81F228F02BD5}"/>
  <tableColumns count="44">
    <tableColumn id="3" xr3:uid="{0676AC04-BF24-449C-85E1-9A2476826D3A}" name="SID" dataDxfId="96"/>
    <tableColumn id="4" xr3:uid="{115800A1-176E-47B9-8A68-56625F9DD647}" name="TID" dataDxfId="95"/>
    <tableColumn id="5" xr3:uid="{C19F80A9-D1CF-49F1-8F61-DBA96CBBDD44}" name="HG" dataDxfId="94">
      <calculatedColumnFormula>IF($A2="","",IF(VLOOKUP($A2,Spiele!$A$2:$D$15,3,FALSE)=$B2,"H","G"))</calculatedColumnFormula>
    </tableColumn>
    <tableColumn id="6" xr3:uid="{3DFABB6E-EDFC-4F0E-826F-06C6A5AD8683}" name="GID" dataDxfId="93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2">
      <calculatedColumnFormula>COUNTIFS($A$2:$A2,$A2,$B$2:$B2,$B2,$L$2:$L2,"&lt;&gt;ET")</calculatedColumnFormula>
    </tableColumn>
    <tableColumn id="8" xr3:uid="{3B1D1C24-F95D-4C77-AF08-E4A123A74007}" name="Min" dataDxfId="91"/>
    <tableColumn id="9" xr3:uid="{6606DEAC-71A2-4313-AAE4-5C8A940C1133}" name="HZ" dataDxfId="90"/>
    <tableColumn id="10" xr3:uid="{9F0E3DBA-AEA8-4714-9395-480D67A047DB}" name="PR" dataDxfId="89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88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87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6"/>
    <tableColumn id="14" xr3:uid="{9BB09F34-2ED0-47E9-B84C-40DC097D25F5}" name="Ergeb" dataDxfId="85"/>
    <tableColumn id="15" xr3:uid="{6C57D418-22CA-497C-B088-5843FFCDEDD2}" name="Phase" dataDxfId="84"/>
    <tableColumn id="56" xr3:uid="{AEAE92F2-B7AB-4B3E-848F-FCF45833072A}" name="VorT" dataDxfId="83"/>
    <tableColumn id="1" xr3:uid="{34E9F78F-EFDB-46C3-9BFE-9BCA54759B4E}" name="VNr" dataDxfId="82"/>
    <tableColumn id="19" xr3:uid="{9FA4BEDF-1EBC-4B1F-9742-41586CD52374}" name="2VNr" dataDxfId="81"/>
    <tableColumn id="41" xr3:uid="{F00A10CF-A199-454D-A4F2-B3BCF7A37FC4}" name="3VNr" dataDxfId="80"/>
    <tableColumn id="40" xr3:uid="{0D3A3F12-70B7-4EEB-98A3-C5A87CF96CA6}" name="4VNr" dataDxfId="79"/>
    <tableColumn id="39" xr3:uid="{0CC28612-BE0A-4B32-8F70-5248F77D7169}" name="5VNr" dataDxfId="78"/>
    <tableColumn id="38" xr3:uid="{19D00967-9F96-4B46-B790-07181869FBD6}" name="6VNr" dataDxfId="77"/>
    <tableColumn id="22" xr3:uid="{7217BEA7-2DE9-497F-B43C-3CEA65491CE8}" name="7VNr" dataDxfId="76"/>
    <tableColumn id="44" xr3:uid="{B295D602-77BF-4FED-9C4F-6F1378CD28AF}" name="8VNr" dataDxfId="75"/>
    <tableColumn id="43" xr3:uid="{F3BE3028-C1EC-48FB-AF19-D650ACFF06E5}" name="9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IF($L2="ET","",IF($AC2&gt;3.66,SQRT($AD2^2+($AC2-(7.32/2))^2),IF($AC2&lt;-3.66,SQRT($AD2^2+($AC2+(7.32/2))^2),$AD2)))</calculatedColumnFormula>
    </tableColumn>
    <tableColumn id="30" xr3:uid="{AC9B65EE-53EF-4A59-8FCA-C2D6A0C4A3DA}" name="WinT" dataDxfId="65">
      <calculatedColumnFormula>IF($L2="ET","",IF(DEGREES(ATAN((7.32*$AD2)/($AD2^2+$AC2^2-(7.32/2)^2)))&lt;=0,180+DEGREES(ATAN((7.32*$AD2)/($AD2^2+$AC2^2-(7.32/2)^2))),DEGREES(ATAN((7.32*$AD2)/($AD2^2+$AC2^2-(7.32/2)^2)))))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Row],[Ergeb]]="ET","",SQRT(($AC2-$AH2)^2+($AD2-$AI2)^2))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IF(AK2=0,"",SQRT(($AC2-$AL2)^2+($AD2-$AM2)^2))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IF(AO2=0,"",SQRT(($AC2-$AP2)^2+($AD2-$AQ2)^2))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tabSelected="1"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SUM(COUNTIFS(Abschlüsse!$A$2:$A$223,$A2,Abschlüsse!$B$2:$B$223,$C2,Abschlüsse!$L$2:$L$223,"Tor"),COUNTIFS(Abschlüsse!$A$2:$A$223,$A2,Abschlüsse!$B$2:$B$223,$C2,Abschlüsse!$L$2:$L$223,"ET"))</f>
        <v>4</v>
      </c>
      <c r="H2" s="18">
        <f>SUM(COUNTIFS(Abschlüsse!$A$2:$A$223,$A2,Abschlüsse!$B$2:$B$223,$D2,Abschlüsse!$L$2:$L$223,"Tor"),COUNTIFS(Abschlüsse!$A$2:$A$223,$A2,Abschlüsse!$B$2:$B$223,$D2,Abschlüsse!$L$2:$L$223,"ET"))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SUM(COUNTIFS(Abschlüsse!$A$2:$A$223,$A3,Abschlüsse!$B$2:$B$223,$C3,Abschlüsse!$L$2:$L$223,"Tor"),COUNTIFS(Abschlüsse!$A$2:$A$223,$A3,Abschlüsse!$B$2:$B$223,$C3,Abschlüsse!$L$2:$L$223,"ET"))</f>
        <v>2</v>
      </c>
      <c r="H3" s="18">
        <f>SUM(COUNTIFS(Abschlüsse!$A$2:$A$223,$A3,Abschlüsse!$B$2:$B$223,$D3,Abschlüsse!$L$2:$L$223,"Tor"),COUNTIFS(Abschlüsse!$A$2:$A$223,$A3,Abschlüsse!$B$2:$B$223,$D3,Abschlüsse!$L$2:$L$223,"ET"))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SUM(COUNTIFS(Abschlüsse!$A$2:$A$223,$A4,Abschlüsse!$B$2:$B$223,$C4,Abschlüsse!$L$2:$L$223,"Tor"),COUNTIFS(Abschlüsse!$A$2:$A$223,$A4,Abschlüsse!$B$2:$B$223,$C4,Abschlüsse!$L$2:$L$223,"ET"))</f>
        <v>4</v>
      </c>
      <c r="H4" s="18">
        <f>SUM(COUNTIFS(Abschlüsse!$A$2:$A$223,$A4,Abschlüsse!$B$2:$B$223,$D4,Abschlüsse!$L$2:$L$223,"Tor"),COUNTIFS(Abschlüsse!$A$2:$A$223,$A4,Abschlüsse!$B$2:$B$223,$D4,Abschlüsse!$L$2:$L$223,"ET"))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SUM(COUNTIFS(Abschlüsse!$A$2:$A$223,$A5,Abschlüsse!$B$2:$B$223,$C5,Abschlüsse!$L$2:$L$223,"Tor"),COUNTIFS(Abschlüsse!$A$2:$A$223,$A5,Abschlüsse!$B$2:$B$223,$C5,Abschlüsse!$L$2:$L$223,"ET"))</f>
        <v>0</v>
      </c>
      <c r="H5" s="18">
        <f>SUM(COUNTIFS(Abschlüsse!$A$2:$A$223,$A5,Abschlüsse!$B$2:$B$223,$D5,Abschlüsse!$L$2:$L$223,"Tor"),COUNTIFS(Abschlüsse!$A$2:$A$223,$A5,Abschlüsse!$B$2:$B$223,$D5,Abschlüsse!$L$2:$L$223,"ET"))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SUM(COUNTIFS(Abschlüsse!$A$2:$A$223,$A6,Abschlüsse!$B$2:$B$223,$C6,Abschlüsse!$L$2:$L$223,"Tor"),COUNTIFS(Abschlüsse!$A$2:$A$223,$A6,Abschlüsse!$B$2:$B$223,$C6,Abschlüsse!$L$2:$L$223,"ET"))</f>
        <v>2</v>
      </c>
      <c r="H6" s="18">
        <f>SUM(COUNTIFS(Abschlüsse!$A$2:$A$223,$A6,Abschlüsse!$B$2:$B$223,$D6,Abschlüsse!$L$2:$L$223,"Tor"),COUNTIFS(Abschlüsse!$A$2:$A$223,$A6,Abschlüsse!$B$2:$B$223,$D6,Abschlüsse!$L$2:$L$223,"ET"))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SUM(COUNTIFS(Abschlüsse!$A$2:$A$223,$A7,Abschlüsse!$B$2:$B$223,$C7,Abschlüsse!$L$2:$L$223,"Tor"),COUNTIFS(Abschlüsse!$A$2:$A$223,$A7,Abschlüsse!$B$2:$B$223,$C7,Abschlüsse!$L$2:$L$223,"ET"))</f>
        <v>4</v>
      </c>
      <c r="H7" s="18">
        <f>SUM(COUNTIFS(Abschlüsse!$A$2:$A$223,$A7,Abschlüsse!$B$2:$B$223,$D7,Abschlüsse!$L$2:$L$223,"Tor"),COUNTIFS(Abschlüsse!$A$2:$A$223,$A7,Abschlüsse!$B$2:$B$223,$D7,Abschlüsse!$L$2:$L$223,"ET"))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SUM(COUNTIFS(Abschlüsse!$A$2:$A$223,$A8,Abschlüsse!$B$2:$B$223,$C8,Abschlüsse!$L$2:$L$223,"Tor"),COUNTIFS(Abschlüsse!$A$2:$A$223,$A8,Abschlüsse!$B$2:$B$223,$C8,Abschlüsse!$L$2:$L$223,"ET"))</f>
        <v>2</v>
      </c>
      <c r="H8" s="18">
        <f>SUM(COUNTIFS(Abschlüsse!$A$2:$A$223,$A8,Abschlüsse!$B$2:$B$223,$D8,Abschlüsse!$L$2:$L$223,"Tor"),COUNTIFS(Abschlüsse!$A$2:$A$223,$A8,Abschlüsse!$B$2:$B$223,$D8,Abschlüsse!$L$2:$L$223,"ET"))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SUM(COUNTIFS(Abschlüsse!$A$2:$A$223,$A9,Abschlüsse!$B$2:$B$223,$C9,Abschlüsse!$L$2:$L$223,"Tor"),COUNTIFS(Abschlüsse!$A$2:$A$223,$A9,Abschlüsse!$B$2:$B$223,$C9,Abschlüsse!$L$2:$L$223,"ET"))</f>
        <v>0</v>
      </c>
      <c r="H9" s="18">
        <f>SUM(COUNTIFS(Abschlüsse!$A$2:$A$223,$A9,Abschlüsse!$B$2:$B$223,$D9,Abschlüsse!$L$2:$L$223,"Tor"),COUNTIFS(Abschlüsse!$A$2:$A$223,$A9,Abschlüsse!$B$2:$B$223,$D9,Abschlüsse!$L$2:$L$223,"ET"))</f>
        <v>0</v>
      </c>
      <c r="I9" s="18">
        <f t="shared" si="0"/>
        <v>1</v>
      </c>
      <c r="J9" s="18">
        <f t="shared" si="1"/>
        <v>1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SUM(COUNTIFS(Abschlüsse!$A$2:$A$223,$A10,Abschlüsse!$B$2:$B$223,$C10,Abschlüsse!$L$2:$L$223,"Tor"),COUNTIFS(Abschlüsse!$A$2:$A$223,$A10,Abschlüsse!$B$2:$B$223,$C10,Abschlüsse!$L$2:$L$223,"ET"))</f>
        <v>0</v>
      </c>
      <c r="H10" s="18">
        <f>SUM(COUNTIFS(Abschlüsse!$A$2:$A$223,$A10,Abschlüsse!$B$2:$B$223,$D10,Abschlüsse!$L$2:$L$223,"Tor"),COUNTIFS(Abschlüsse!$A$2:$A$223,$A10,Abschlüsse!$B$2:$B$223,$D10,Abschlüsse!$L$2:$L$223,"ET"))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SUM(COUNTIFS(Abschlüsse!$A$2:$A$223,$A11,Abschlüsse!$B$2:$B$223,$C11,Abschlüsse!$L$2:$L$223,"Tor"),COUNTIFS(Abschlüsse!$A$2:$A$223,$A11,Abschlüsse!$B$2:$B$223,$C11,Abschlüsse!$L$2:$L$223,"ET"))</f>
        <v>0</v>
      </c>
      <c r="H11" s="18">
        <f>SUM(COUNTIFS(Abschlüsse!$A$2:$A$223,$A11,Abschlüsse!$B$2:$B$223,$D11,Abschlüsse!$L$2:$L$223,"Tor"),COUNTIFS(Abschlüsse!$A$2:$A$223,$A11,Abschlüsse!$B$2:$B$223,$D11,Abschlüsse!$L$2:$L$223,"ET"))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SUM(COUNTIFS(Abschlüsse!$A$2:$A$223,$A12,Abschlüsse!$B$2:$B$223,$C12,Abschlüsse!$L$2:$L$223,"Tor"),COUNTIFS(Abschlüsse!$A$2:$A$223,$A12,Abschlüsse!$B$2:$B$223,$C12,Abschlüsse!$L$2:$L$223,"ET"))</f>
        <v>0</v>
      </c>
      <c r="H12" s="18">
        <f>SUM(COUNTIFS(Abschlüsse!$A$2:$A$223,$A12,Abschlüsse!$B$2:$B$223,$D12,Abschlüsse!$L$2:$L$223,"Tor"),COUNTIFS(Abschlüsse!$A$2:$A$223,$A12,Abschlüsse!$B$2:$B$223,$D12,Abschlüsse!$L$2:$L$223,"ET"))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SUM(COUNTIFS(Abschlüsse!$A$2:$A$223,$A13,Abschlüsse!$B$2:$B$223,$C13,Abschlüsse!$L$2:$L$223,"Tor"),COUNTIFS(Abschlüsse!$A$2:$A$223,$A13,Abschlüsse!$B$2:$B$223,$C13,Abschlüsse!$L$2:$L$223,"ET"))</f>
        <v>0</v>
      </c>
      <c r="H13" s="18">
        <f>SUM(COUNTIFS(Abschlüsse!$A$2:$A$223,$A13,Abschlüsse!$B$2:$B$223,$D13,Abschlüsse!$L$2:$L$223,"Tor"),COUNTIFS(Abschlüsse!$A$2:$A$223,$A13,Abschlüsse!$B$2:$B$223,$D13,Abschlüsse!$L$2:$L$223,"ET"))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SUM(COUNTIFS(Abschlüsse!$A$2:$A$223,$A14,Abschlüsse!$B$2:$B$223,$C14,Abschlüsse!$L$2:$L$223,"Tor"),COUNTIFS(Abschlüsse!$A$2:$A$223,$A14,Abschlüsse!$B$2:$B$223,$C14,Abschlüsse!$L$2:$L$223,"ET"))</f>
        <v>1</v>
      </c>
      <c r="H14" s="18">
        <f>SUM(COUNTIFS(Abschlüsse!$A$2:$A$223,$A14,Abschlüsse!$B$2:$B$223,$D14,Abschlüsse!$L$2:$L$223,"Tor"),COUNTIFS(Abschlüsse!$A$2:$A$223,$A14,Abschlüsse!$B$2:$B$223,$D14,Abschlüsse!$L$2:$L$223,"ET"))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SUM(COUNTIFS(Abschlüsse!$A$2:$A$223,$A15,Abschlüsse!$B$2:$B$223,$C15,Abschlüsse!$L$2:$L$223,"Tor"),COUNTIFS(Abschlüsse!$A$2:$A$223,$A15,Abschlüsse!$B$2:$B$223,$C15,Abschlüsse!$L$2:$L$223,"ET"))</f>
        <v>0</v>
      </c>
      <c r="H15" s="18">
        <f>SUM(COUNTIFS(Abschlüsse!$A$2:$A$223,$A15,Abschlüsse!$B$2:$B$223,$D15,Abschlüsse!$L$2:$L$223,"Tor"),COUNTIFS(Abschlüsse!$A$2:$A$223,$A15,Abschlüsse!$B$2:$B$223,$D15,Abschlüsse!$L$2:$L$223,"ET"))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25"/>
  <sheetViews>
    <sheetView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24" width="6.77734375" style="2" customWidth="1"/>
    <col min="25" max="25" width="6.77734375" style="17" customWidth="1"/>
    <col min="26" max="27" width="6.77734375" style="2" customWidth="1"/>
    <col min="28" max="28" width="6.77734375" style="19" customWidth="1"/>
    <col min="29" max="30" width="6.77734375" style="13" customWidth="1"/>
    <col min="31" max="32" width="6.77734375" style="19" customWidth="1"/>
    <col min="33" max="33" width="6.77734375" style="2" customWidth="1"/>
    <col min="34" max="35" width="6.77734375" style="13" customWidth="1"/>
    <col min="36" max="36" width="6.77734375" style="19" customWidth="1"/>
    <col min="37" max="41" width="6.77734375" style="3" customWidth="1"/>
    <col min="42" max="43" width="6.77734375" style="13" customWidth="1"/>
    <col min="44" max="44" width="6.77734375" style="19" customWidth="1"/>
    <col min="45" max="45" width="3.6640625" style="2" customWidth="1"/>
    <col min="46" max="16384" width="11.21875" style="2"/>
  </cols>
  <sheetData>
    <row r="1" spans="1:45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33</v>
      </c>
      <c r="Y1" s="7" t="s">
        <v>15</v>
      </c>
      <c r="Z1" s="4" t="s">
        <v>16</v>
      </c>
      <c r="AA1" s="4" t="s">
        <v>17</v>
      </c>
      <c r="AB1" s="15" t="s">
        <v>47</v>
      </c>
      <c r="AC1" s="16" t="s">
        <v>31</v>
      </c>
      <c r="AD1" s="16" t="s">
        <v>32</v>
      </c>
      <c r="AE1" s="15" t="s">
        <v>12</v>
      </c>
      <c r="AF1" s="15" t="s">
        <v>13</v>
      </c>
      <c r="AG1" s="4" t="s">
        <v>34</v>
      </c>
      <c r="AH1" s="16" t="s">
        <v>42</v>
      </c>
      <c r="AI1" s="16" t="s">
        <v>43</v>
      </c>
      <c r="AJ1" s="15" t="s">
        <v>28</v>
      </c>
      <c r="AK1" s="5" t="s">
        <v>35</v>
      </c>
      <c r="AL1" s="16" t="s">
        <v>48</v>
      </c>
      <c r="AM1" s="16" t="s">
        <v>49</v>
      </c>
      <c r="AN1" s="15" t="s">
        <v>50</v>
      </c>
      <c r="AO1" s="5" t="s">
        <v>36</v>
      </c>
      <c r="AP1" s="16" t="s">
        <v>44</v>
      </c>
      <c r="AQ1" s="16" t="s">
        <v>45</v>
      </c>
      <c r="AR1" s="15" t="s">
        <v>29</v>
      </c>
      <c r="AS1" s="1"/>
    </row>
    <row r="2" spans="1:45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COUNTIFS($A$2:$A2,$A2,$B$2:$B2,$B2,$L$2:$L2,"&lt;&gt;ET")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X2" s="2" t="s">
        <v>141</v>
      </c>
      <c r="Y2" s="17" t="s">
        <v>143</v>
      </c>
      <c r="Z2" s="14" t="s">
        <v>144</v>
      </c>
      <c r="AA2" s="14" t="s">
        <v>145</v>
      </c>
      <c r="AB2" s="18">
        <v>11</v>
      </c>
      <c r="AC2" s="13">
        <v>5</v>
      </c>
      <c r="AD2" s="13">
        <v>18.5</v>
      </c>
      <c r="AE2" s="19">
        <f t="shared" ref="AE2:AE67" si="0">IF($L2="ET","",IF($AC2&gt;3.66,SQRT($AD2^2+($AC2-(7.32/2))^2),IF($AC2&lt;-3.66,SQRT($AD2^2+($AC2+(7.32/2))^2),$AD2)))</f>
        <v>18.548466243870408</v>
      </c>
      <c r="AF2" s="19">
        <f t="shared" ref="AF2:AF67" si="1">IF($L2="ET","",IF(DEGREES(ATAN((7.32*$AD2)/($AD2^2+$AC2^2-(7.32/2)^2)))&lt;=0,180+DEGREES(ATAN((7.32*$AD2)/($AD2^2+$AC2^2-(7.32/2)^2))),DEGREES(ATAN((7.32*$AD2)/($AD2^2+$AC2^2-(7.32/2)^2)))))</f>
        <v>20.941837325172411</v>
      </c>
      <c r="AG2" s="2" t="s">
        <v>146</v>
      </c>
      <c r="AH2" s="13">
        <v>1</v>
      </c>
      <c r="AI2" s="13">
        <v>2</v>
      </c>
      <c r="AJ2" s="19">
        <f>IF(Abschlüsse[[#This Row],[Ergeb]]="ET","",SQRT(($AC2-$AH2)^2+($AD2-$AI2)^2))</f>
        <v>16.977926846349646</v>
      </c>
      <c r="AK2" s="3">
        <v>0</v>
      </c>
      <c r="AL2" s="13"/>
      <c r="AM2" s="13"/>
      <c r="AN2" s="19" t="str">
        <f t="shared" ref="AN2:AN67" si="2">IF(AK2=0,"",SQRT(($AC2-$AL2)^2+($AD2-$AM2)^2))</f>
        <v/>
      </c>
      <c r="AO2" s="3">
        <v>3</v>
      </c>
      <c r="AP2" s="13">
        <v>4.5</v>
      </c>
      <c r="AQ2" s="13">
        <v>17</v>
      </c>
      <c r="AR2" s="19">
        <f t="shared" ref="AR2:AR67" si="3">IF(AO2=0,"",SQRT(($AC2-$AP2)^2+($AD2-$AQ2)^2))</f>
        <v>1.5811388300841898</v>
      </c>
      <c r="AS2" s="1"/>
    </row>
    <row r="3" spans="1:45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COUNTIFS($A$2:$A3,$A3,$B$2:$B3,$B3,$L$2:$L3,"&lt;&gt;ET")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2">
        <v>20</v>
      </c>
      <c r="P3" s="2">
        <v>26</v>
      </c>
      <c r="Q3" s="2">
        <v>23</v>
      </c>
      <c r="X3" s="2" t="s">
        <v>142</v>
      </c>
      <c r="Y3" s="17" t="s">
        <v>149</v>
      </c>
      <c r="Z3" s="14" t="s">
        <v>150</v>
      </c>
      <c r="AA3" s="14" t="s">
        <v>145</v>
      </c>
      <c r="AB3" s="18">
        <v>9</v>
      </c>
      <c r="AC3" s="13">
        <v>-6.5</v>
      </c>
      <c r="AD3" s="13">
        <v>8.5</v>
      </c>
      <c r="AE3" s="19">
        <f t="shared" si="0"/>
        <v>8.9618971205878051</v>
      </c>
      <c r="AF3" s="19">
        <f t="shared" si="1"/>
        <v>31.60828637617816</v>
      </c>
      <c r="AG3" s="2" t="s">
        <v>146</v>
      </c>
      <c r="AH3" s="13">
        <v>-3.5</v>
      </c>
      <c r="AI3" s="13">
        <v>4.5</v>
      </c>
      <c r="AJ3" s="19">
        <f>IF(Abschlüsse[[#This Row],[Ergeb]]="ET","",SQRT(($AC3-$AH3)^2+($AD3-$AI3)^2))</f>
        <v>5</v>
      </c>
      <c r="AK3" s="3">
        <v>2</v>
      </c>
      <c r="AL3" s="13">
        <v>-6</v>
      </c>
      <c r="AM3" s="13">
        <v>8.5</v>
      </c>
      <c r="AN3" s="19">
        <f t="shared" si="2"/>
        <v>0.5</v>
      </c>
      <c r="AO3" s="3">
        <v>0</v>
      </c>
      <c r="AR3" s="19" t="str">
        <f t="shared" si="3"/>
        <v/>
      </c>
      <c r="AS3" s="1"/>
    </row>
    <row r="4" spans="1:45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COUNTIFS($A$2:$A4,$A4,$B$2:$B4,$B4,$L$2:$L4,"&lt;&gt;ET")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2">
        <v>20</v>
      </c>
      <c r="P4" s="2">
        <v>26</v>
      </c>
      <c r="Q4" s="2">
        <v>6</v>
      </c>
      <c r="R4" s="2">
        <v>23</v>
      </c>
      <c r="S4" s="2">
        <v>8</v>
      </c>
      <c r="X4" s="22" t="s">
        <v>151</v>
      </c>
      <c r="Y4" s="18" t="s">
        <v>143</v>
      </c>
      <c r="Z4" s="14" t="s">
        <v>150</v>
      </c>
      <c r="AA4" s="14" t="s">
        <v>156</v>
      </c>
      <c r="AB4" s="18">
        <v>27</v>
      </c>
      <c r="AC4" s="13">
        <v>-17</v>
      </c>
      <c r="AD4" s="13">
        <v>18.5</v>
      </c>
      <c r="AE4" s="19">
        <f>IF($L4="ET","",IF($AC4&gt;3.66,SQRT($AD4^2+($AC4-(7.32/2))^2),IF($AC4&lt;-3.66,SQRT($AD4^2+($AC4+(7.32/2))^2),$AD4)))</f>
        <v>22.808016134683875</v>
      </c>
      <c r="AF4" s="19">
        <f>IF($L4="ET","",IF(DEGREES(ATAN((7.32*$AD4)/($AD4^2+$AC4^2-(7.32/2)^2)))&lt;=0,180+DEGREES(ATAN((7.32*$AD4)/($AD4^2+$AC4^2-(7.32/2)^2))),DEGREES(ATAN((7.32*$AD4)/($AD4^2+$AC4^2-(7.32/2)^2)))))</f>
        <v>12.362479809939884</v>
      </c>
      <c r="AG4" s="3" t="s">
        <v>146</v>
      </c>
      <c r="AH4" s="13">
        <v>-1.5</v>
      </c>
      <c r="AI4" s="13">
        <v>2.5</v>
      </c>
      <c r="AJ4" s="19">
        <f>IF(Abschlüsse[[#This Row],[Ergeb]]="ET","",SQRT(($AC4-$AH4)^2+($AD4-$AI4)^2))</f>
        <v>22.276669409945463</v>
      </c>
      <c r="AK4" s="3">
        <v>1</v>
      </c>
      <c r="AL4" s="13">
        <v>-18</v>
      </c>
      <c r="AM4" s="13">
        <v>20</v>
      </c>
      <c r="AN4" s="19">
        <f>IF(AK4=0,"",SQRT(($AC4-$AL4)^2+($AD4-$AM4)^2))</f>
        <v>1.8027756377319946</v>
      </c>
      <c r="AO4" s="3">
        <v>3</v>
      </c>
      <c r="AP4" s="13">
        <v>-15</v>
      </c>
      <c r="AQ4" s="13">
        <v>16.5</v>
      </c>
      <c r="AR4" s="19">
        <f>IF(AO4=0,"",SQRT(($AC4-$AP4)^2+($AD4-$AQ4)^2))</f>
        <v>2.8284271247461903</v>
      </c>
      <c r="AS4" s="1"/>
    </row>
    <row r="5" spans="1:45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COUNTIFS($A$2:$A5,$A5,$B$2:$B5,$B5,$L$2:$L5,"&lt;&gt;ET")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X5" s="2" t="s">
        <v>151</v>
      </c>
      <c r="Y5" s="17" t="s">
        <v>143</v>
      </c>
      <c r="Z5" s="14" t="s">
        <v>144</v>
      </c>
      <c r="AA5" s="14" t="s">
        <v>145</v>
      </c>
      <c r="AB5" s="18"/>
      <c r="AC5" s="13">
        <v>2</v>
      </c>
      <c r="AD5" s="13">
        <v>26</v>
      </c>
      <c r="AE5" s="19">
        <f t="shared" si="0"/>
        <v>26</v>
      </c>
      <c r="AF5" s="19">
        <f t="shared" si="1"/>
        <v>15.934397372783307</v>
      </c>
      <c r="AG5" s="2" t="s">
        <v>146</v>
      </c>
      <c r="AH5" s="13">
        <v>2</v>
      </c>
      <c r="AI5" s="13">
        <v>5</v>
      </c>
      <c r="AJ5" s="19">
        <f>IF(Abschlüsse[[#This Row],[Ergeb]]="ET","",SQRT(($AC5-$AH5)^2+($AD5-$AI5)^2))</f>
        <v>21</v>
      </c>
      <c r="AK5" s="3">
        <v>0</v>
      </c>
      <c r="AL5" s="13"/>
      <c r="AM5" s="13"/>
      <c r="AN5" s="19" t="str">
        <f t="shared" si="2"/>
        <v/>
      </c>
      <c r="AO5" s="3">
        <v>2</v>
      </c>
      <c r="AP5" s="13">
        <v>1.5</v>
      </c>
      <c r="AQ5" s="13">
        <v>16</v>
      </c>
      <c r="AR5" s="19">
        <f t="shared" si="3"/>
        <v>10.012492197250394</v>
      </c>
      <c r="AS5" s="1"/>
    </row>
    <row r="6" spans="1:45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COUNTIFS($A$2:$A6,$A6,$B$2:$B6,$B6,$L$2:$L6,"&lt;&gt;ET")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2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X6" s="2" t="s">
        <v>151</v>
      </c>
      <c r="Y6" s="17" t="s">
        <v>143</v>
      </c>
      <c r="Z6" s="14" t="s">
        <v>150</v>
      </c>
      <c r="AA6" s="14" t="s">
        <v>145</v>
      </c>
      <c r="AB6" s="18">
        <v>9</v>
      </c>
      <c r="AC6" s="13">
        <v>-1</v>
      </c>
      <c r="AD6" s="13">
        <v>15</v>
      </c>
      <c r="AE6" s="19">
        <f t="shared" si="0"/>
        <v>15</v>
      </c>
      <c r="AF6" s="19">
        <f t="shared" si="1"/>
        <v>27.314189349079449</v>
      </c>
      <c r="AG6" s="2" t="s">
        <v>146</v>
      </c>
      <c r="AH6" s="13">
        <v>-0.5</v>
      </c>
      <c r="AI6" s="13">
        <v>7</v>
      </c>
      <c r="AJ6" s="19">
        <f>IF(Abschlüsse[[#This Row],[Ergeb]]="ET","",SQRT(($AC6-$AH6)^2+($AD6-$AI6)^2))</f>
        <v>8.0156097709406993</v>
      </c>
      <c r="AK6" s="3">
        <v>1</v>
      </c>
      <c r="AL6" s="13">
        <v>-4</v>
      </c>
      <c r="AM6" s="13">
        <v>14.5</v>
      </c>
      <c r="AN6" s="19">
        <f t="shared" si="2"/>
        <v>3.0413812651491097</v>
      </c>
      <c r="AO6" s="3">
        <v>0</v>
      </c>
      <c r="AR6" s="19" t="str">
        <f t="shared" si="3"/>
        <v/>
      </c>
      <c r="AS6" s="1"/>
    </row>
    <row r="7" spans="1:45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COUNTIFS($A$2:$A7,$A7,$B$2:$B7,$B7,$L$2:$L7,"&lt;&gt;ET")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2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X7" s="2" t="s">
        <v>154</v>
      </c>
      <c r="Y7" s="17" t="s">
        <v>143</v>
      </c>
      <c r="Z7" s="14" t="s">
        <v>144</v>
      </c>
      <c r="AA7" s="14" t="s">
        <v>145</v>
      </c>
      <c r="AB7" s="18">
        <v>7</v>
      </c>
      <c r="AC7" s="13">
        <v>0.5</v>
      </c>
      <c r="AD7" s="13">
        <v>6.5</v>
      </c>
      <c r="AE7" s="19">
        <f t="shared" si="0"/>
        <v>6.5</v>
      </c>
      <c r="AF7" s="19">
        <f t="shared" si="1"/>
        <v>58.546125075791529</v>
      </c>
      <c r="AG7" s="2" t="s">
        <v>146</v>
      </c>
      <c r="AH7" s="13">
        <v>0</v>
      </c>
      <c r="AI7" s="13">
        <v>2</v>
      </c>
      <c r="AJ7" s="19">
        <f>IF(Abschlüsse[[#This Row],[Ergeb]]="ET","",SQRT(($AC7-$AH7)^2+($AD7-$AI7)^2))</f>
        <v>4.5276925690687087</v>
      </c>
      <c r="AK7" s="3">
        <v>0</v>
      </c>
      <c r="AL7" s="13"/>
      <c r="AM7" s="13"/>
      <c r="AN7" s="19" t="str">
        <f t="shared" si="2"/>
        <v/>
      </c>
      <c r="AO7" s="3">
        <v>0</v>
      </c>
      <c r="AR7" s="19" t="str">
        <f t="shared" si="3"/>
        <v/>
      </c>
      <c r="AS7" s="1"/>
    </row>
    <row r="8" spans="1:45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COUNTIFS($A$2:$A8,$A8,$B$2:$B8,$B8,$L$2:$L8,"&lt;&gt;ET")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X8" s="2" t="s">
        <v>151</v>
      </c>
      <c r="Y8" s="17" t="s">
        <v>149</v>
      </c>
      <c r="Z8" s="14" t="s">
        <v>150</v>
      </c>
      <c r="AA8" s="14" t="s">
        <v>145</v>
      </c>
      <c r="AB8" s="18"/>
      <c r="AC8" s="13">
        <v>-14.5</v>
      </c>
      <c r="AD8" s="13">
        <v>23.5</v>
      </c>
      <c r="AE8" s="19">
        <f t="shared" si="0"/>
        <v>25.879636782613467</v>
      </c>
      <c r="AF8" s="19">
        <f t="shared" si="1"/>
        <v>12.932857897920591</v>
      </c>
      <c r="AG8" s="2" t="s">
        <v>146</v>
      </c>
      <c r="AH8" s="13">
        <v>-1.5</v>
      </c>
      <c r="AI8" s="13">
        <v>1.5</v>
      </c>
      <c r="AJ8" s="19">
        <f>IF(Abschlüsse[[#This Row],[Ergeb]]="ET","",SQRT(($AC8-$AH8)^2+($AD8-$AI8)^2))</f>
        <v>25.553864678361276</v>
      </c>
      <c r="AK8" s="3">
        <v>0</v>
      </c>
      <c r="AL8" s="13"/>
      <c r="AM8" s="13"/>
      <c r="AN8" s="19" t="str">
        <f t="shared" si="2"/>
        <v/>
      </c>
      <c r="AO8" s="3">
        <v>1</v>
      </c>
      <c r="AP8" s="13">
        <v>-10</v>
      </c>
      <c r="AQ8" s="13">
        <v>17.5</v>
      </c>
      <c r="AR8" s="19">
        <f t="shared" si="3"/>
        <v>7.5</v>
      </c>
      <c r="AS8" s="1"/>
    </row>
    <row r="9" spans="1:45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COUNTIFS($A$2:$A9,$A9,$B$2:$B9,$B9,$L$2:$L9,"&lt;&gt;ET")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X9" s="2" t="s">
        <v>151</v>
      </c>
      <c r="Y9" s="17" t="s">
        <v>143</v>
      </c>
      <c r="Z9" s="14" t="s">
        <v>150</v>
      </c>
      <c r="AA9" s="14" t="s">
        <v>145</v>
      </c>
      <c r="AB9" s="18"/>
      <c r="AC9" s="13">
        <v>7.5</v>
      </c>
      <c r="AD9" s="13">
        <v>26</v>
      </c>
      <c r="AE9" s="19">
        <f t="shared" si="0"/>
        <v>26.282039494681534</v>
      </c>
      <c r="AF9" s="19">
        <f t="shared" si="1"/>
        <v>14.829087796289604</v>
      </c>
      <c r="AG9" s="2" t="s">
        <v>146</v>
      </c>
      <c r="AH9" s="13">
        <v>1.5</v>
      </c>
      <c r="AI9" s="13">
        <v>1.5</v>
      </c>
      <c r="AJ9" s="19">
        <f>IF(Abschlüsse[[#This Row],[Ergeb]]="ET","",SQRT(($AC9-$AH9)^2+($AD9-$AI9)^2))</f>
        <v>25.223996511258878</v>
      </c>
      <c r="AK9" s="3">
        <v>0</v>
      </c>
      <c r="AL9" s="13"/>
      <c r="AM9" s="13"/>
      <c r="AN9" s="19" t="str">
        <f t="shared" si="2"/>
        <v/>
      </c>
      <c r="AO9" s="3">
        <v>1</v>
      </c>
      <c r="AP9" s="13">
        <v>4.5</v>
      </c>
      <c r="AQ9" s="13">
        <v>18</v>
      </c>
      <c r="AR9" s="19">
        <f t="shared" si="3"/>
        <v>8.5440037453175304</v>
      </c>
      <c r="AS9" s="1"/>
    </row>
    <row r="10" spans="1:45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COUNTIFS($A$2:$A10,$A10,$B$2:$B10,$B10,$L$2:$L10,"&lt;&gt;ET")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2">
        <v>13</v>
      </c>
      <c r="X10" s="2" t="s">
        <v>154</v>
      </c>
      <c r="Y10" s="17" t="s">
        <v>160</v>
      </c>
      <c r="Z10" s="14" t="s">
        <v>161</v>
      </c>
      <c r="AA10" s="14" t="s">
        <v>162</v>
      </c>
      <c r="AB10" s="18">
        <v>9</v>
      </c>
      <c r="AC10" s="13">
        <v>-17</v>
      </c>
      <c r="AD10" s="13">
        <v>6.5</v>
      </c>
      <c r="AE10" s="19">
        <f t="shared" si="0"/>
        <v>14.839326130252681</v>
      </c>
      <c r="AF10" s="19">
        <f t="shared" si="1"/>
        <v>8.5134600641829881</v>
      </c>
      <c r="AG10" s="2" t="s">
        <v>146</v>
      </c>
      <c r="AH10" s="13">
        <v>-3</v>
      </c>
      <c r="AI10" s="13">
        <v>1</v>
      </c>
      <c r="AJ10" s="19">
        <f>IF(Abschlüsse[[#This Row],[Ergeb]]="ET","",SQRT(($AC10-$AH10)^2+($AD10-$AI10)^2))</f>
        <v>15.041608956491324</v>
      </c>
      <c r="AK10" s="3">
        <v>2</v>
      </c>
      <c r="AL10" s="13">
        <v>-18</v>
      </c>
      <c r="AM10" s="13">
        <v>7.5</v>
      </c>
      <c r="AN10" s="19">
        <f t="shared" si="2"/>
        <v>1.4142135623730951</v>
      </c>
      <c r="AO10" s="3">
        <v>0</v>
      </c>
      <c r="AR10" s="19" t="str">
        <f t="shared" si="3"/>
        <v/>
      </c>
      <c r="AS10" s="1"/>
    </row>
    <row r="11" spans="1:45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COUNTIFS($A$2:$A11,$A11,$B$2:$B11,$B11,$L$2:$L11,"&lt;&gt;ET")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X11" s="2" t="s">
        <v>151</v>
      </c>
      <c r="Y11" s="17" t="s">
        <v>149</v>
      </c>
      <c r="Z11" s="14" t="s">
        <v>150</v>
      </c>
      <c r="AA11" s="14" t="s">
        <v>145</v>
      </c>
      <c r="AB11" s="18"/>
      <c r="AC11" s="13">
        <v>-5.5</v>
      </c>
      <c r="AD11" s="13">
        <v>15.5</v>
      </c>
      <c r="AE11" s="19">
        <f t="shared" si="0"/>
        <v>15.608830833858121</v>
      </c>
      <c r="AF11" s="19">
        <f t="shared" si="1"/>
        <v>23.81183579249906</v>
      </c>
      <c r="AG11" s="2" t="s">
        <v>146</v>
      </c>
      <c r="AH11" s="13">
        <v>-3.5</v>
      </c>
      <c r="AI11" s="13">
        <v>8</v>
      </c>
      <c r="AJ11" s="19">
        <f>IF(Abschlüsse[[#This Row],[Ergeb]]="ET","",SQRT(($AC11-$AH11)^2+($AD11-$AI11)^2))</f>
        <v>7.7620873481300121</v>
      </c>
      <c r="AK11" s="3">
        <v>2</v>
      </c>
      <c r="AL11" s="13">
        <v>-4.5</v>
      </c>
      <c r="AM11" s="13">
        <v>17.5</v>
      </c>
      <c r="AN11" s="19">
        <f t="shared" si="2"/>
        <v>2.2360679774997898</v>
      </c>
      <c r="AO11" s="3">
        <v>0</v>
      </c>
      <c r="AR11" s="19" t="str">
        <f t="shared" si="3"/>
        <v/>
      </c>
      <c r="AS11" s="1"/>
    </row>
    <row r="12" spans="1:45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COUNTIFS($A$2:$A12,$A12,$B$2:$B12,$B12,$L$2:$L12,"&lt;&gt;ET")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X12" s="2" t="s">
        <v>141</v>
      </c>
      <c r="Y12" s="17" t="s">
        <v>143</v>
      </c>
      <c r="Z12" s="14" t="s">
        <v>150</v>
      </c>
      <c r="AA12" s="14" t="s">
        <v>156</v>
      </c>
      <c r="AB12" s="18"/>
      <c r="AC12" s="13">
        <v>6.5</v>
      </c>
      <c r="AD12" s="13">
        <v>12</v>
      </c>
      <c r="AE12" s="19">
        <f t="shared" si="0"/>
        <v>12.331488150259887</v>
      </c>
      <c r="AF12" s="19">
        <f t="shared" si="1"/>
        <v>26.938463956503323</v>
      </c>
      <c r="AG12" s="2" t="s">
        <v>166</v>
      </c>
      <c r="AH12" s="13">
        <v>-1.5</v>
      </c>
      <c r="AI12" s="13">
        <v>6.5</v>
      </c>
      <c r="AJ12" s="19">
        <f>IF(Abschlüsse[[#This Row],[Ergeb]]="ET","",SQRT(($AC12-$AH12)^2+($AD12-$AI12)^2))</f>
        <v>9.7082439194737997</v>
      </c>
      <c r="AK12" s="3">
        <v>1</v>
      </c>
      <c r="AL12" s="13">
        <v>4</v>
      </c>
      <c r="AM12" s="13">
        <v>11.5</v>
      </c>
      <c r="AN12" s="19">
        <f t="shared" si="2"/>
        <v>2.5495097567963922</v>
      </c>
      <c r="AO12" s="3">
        <v>1</v>
      </c>
      <c r="AP12" s="13">
        <v>0</v>
      </c>
      <c r="AQ12" s="13">
        <v>7</v>
      </c>
      <c r="AR12" s="19">
        <f t="shared" si="3"/>
        <v>8.2006097334283634</v>
      </c>
      <c r="AS12" s="1"/>
    </row>
    <row r="13" spans="1:45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COUNTIFS($A$2:$A13,$A13,$B$2:$B13,$B13,$L$2:$L13,"&lt;&gt;ET")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15,$B13,$A$2:$A15,$A13)+COUNTIFS($L$2:$L13,"ET",$B$2:$B15,$B13,$A$2:$A15,$A13)&amp;":"&amp;COUNTIFS($L$2:$L13,"Tor",$B$2:$B15,"&lt;&gt;"&amp;$B13,$A$2:$A15,$A13)+COUNTIFS($L$2:$L13,"ET",$B$2:$B15,"&lt;&gt;"&amp;$B13,$A$2:$A15,$A13),COUNTIFS($L$2:$L13,"Tor",$B$2:$B15,"&lt;&gt;"&amp;$B13,$A$2:$A15,$A13)+COUNTIFS($L$2:$L13,"ET",$B$2:$B15,"&lt;&gt;"&amp;$B13,$A$2:$A15,$A13)&amp;":"&amp;COUNTIFS($L$2:$L13,"Tor",$B$2:$B15,$B13,$A$2:$A15,$A13)+COUNTIFS($L$2:$L13,"ET",$B$2:$B15,$B13,$A$2:$A15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X13" s="2" t="s">
        <v>151</v>
      </c>
      <c r="Y13" s="17" t="s">
        <v>149</v>
      </c>
      <c r="Z13" s="14" t="s">
        <v>150</v>
      </c>
      <c r="AA13" s="14" t="s">
        <v>156</v>
      </c>
      <c r="AB13" s="18"/>
      <c r="AC13" s="13">
        <v>4</v>
      </c>
      <c r="AD13" s="13">
        <v>33</v>
      </c>
      <c r="AE13" s="19">
        <f t="shared" si="0"/>
        <v>33.001751468672083</v>
      </c>
      <c r="AF13" s="19">
        <f t="shared" si="1"/>
        <v>12.477841871937917</v>
      </c>
      <c r="AG13" s="2" t="s">
        <v>146</v>
      </c>
      <c r="AH13" s="13">
        <v>0.5</v>
      </c>
      <c r="AI13" s="13">
        <v>2</v>
      </c>
      <c r="AJ13" s="19">
        <f>IF(Abschlüsse[[#This Row],[Ergeb]]="ET","",SQRT(($AC13-$AH13)^2+($AD13-$AI13)^2))</f>
        <v>31.196954979612993</v>
      </c>
      <c r="AK13" s="3">
        <v>1</v>
      </c>
      <c r="AL13" s="13">
        <v>6.5</v>
      </c>
      <c r="AM13" s="13">
        <v>32.5</v>
      </c>
      <c r="AN13" s="19">
        <f t="shared" si="2"/>
        <v>2.5495097567963922</v>
      </c>
      <c r="AO13" s="3">
        <v>3</v>
      </c>
      <c r="AP13" s="13">
        <v>3.5</v>
      </c>
      <c r="AQ13" s="13">
        <v>23</v>
      </c>
      <c r="AR13" s="19">
        <f t="shared" si="3"/>
        <v>10.012492197250394</v>
      </c>
      <c r="AS13" s="1"/>
    </row>
    <row r="14" spans="1:45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COUNTIFS($A$2:$A14,$A14,$B$2:$B14,$B14,$L$2:$L14,"&lt;&gt;ET")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15,$B14,$A$2:$A15,$A14)+COUNTIFS($L$2:$L14,"ET",$B$2:$B15,$B14,$A$2:$A15,$A14)&amp;":"&amp;COUNTIFS($L$2:$L14,"Tor",$B$2:$B15,"&lt;&gt;"&amp;$B14,$A$2:$A15,$A14)+COUNTIFS($L$2:$L14,"ET",$B$2:$B15,"&lt;&gt;"&amp;$B14,$A$2:$A15,$A14),COUNTIFS($L$2:$L14,"Tor",$B$2:$B15,"&lt;&gt;"&amp;$B14,$A$2:$A15,$A14)+COUNTIFS($L$2:$L14,"ET",$B$2:$B15,"&lt;&gt;"&amp;$B14,$A$2:$A15,$A14)&amp;":"&amp;COUNTIFS($L$2:$L14,"Tor",$B$2:$B15,$B14,$A$2:$A15,$A14)+COUNTIFS($L$2:$L14,"ET",$B$2:$B15,$B14,$A$2:$A15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2">
        <v>26</v>
      </c>
      <c r="P14" s="2">
        <v>23</v>
      </c>
      <c r="X14" s="2" t="s">
        <v>151</v>
      </c>
      <c r="Y14" s="17" t="s">
        <v>149</v>
      </c>
      <c r="Z14" s="14" t="s">
        <v>150</v>
      </c>
      <c r="AA14" s="14" t="s">
        <v>145</v>
      </c>
      <c r="AB14" s="18">
        <v>13</v>
      </c>
      <c r="AC14" s="13">
        <v>-21.5</v>
      </c>
      <c r="AD14" s="13">
        <v>11.5</v>
      </c>
      <c r="AE14" s="19">
        <f t="shared" si="0"/>
        <v>21.225352765030784</v>
      </c>
      <c r="AF14" s="19">
        <f t="shared" si="1"/>
        <v>8.2426483313961914</v>
      </c>
      <c r="AG14" s="2" t="s">
        <v>146</v>
      </c>
      <c r="AH14" s="13">
        <v>-2</v>
      </c>
      <c r="AI14" s="13">
        <v>2</v>
      </c>
      <c r="AJ14" s="19">
        <f>IF(Abschlüsse[[#This Row],[Ergeb]]="ET","",SQRT(($AC14-$AH14)^2+($AD14-$AI14)^2))</f>
        <v>21.691011963483863</v>
      </c>
      <c r="AK14" s="3">
        <v>1</v>
      </c>
      <c r="AL14" s="13">
        <v>-20.5</v>
      </c>
      <c r="AM14" s="13">
        <v>12.5</v>
      </c>
      <c r="AN14" s="19">
        <f t="shared" si="2"/>
        <v>1.4142135623730951</v>
      </c>
      <c r="AO14" s="3">
        <v>0</v>
      </c>
      <c r="AR14" s="19" t="str">
        <f t="shared" si="3"/>
        <v/>
      </c>
      <c r="AS14" s="1"/>
    </row>
    <row r="15" spans="1:45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COUNTIFS($A$2:$A15,$A15,$B$2:$B15,$B15,$L$2:$L15,"&lt;&gt;ET")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X15" s="2" t="s">
        <v>141</v>
      </c>
      <c r="Y15" s="17" t="s">
        <v>143</v>
      </c>
      <c r="Z15" s="14" t="s">
        <v>150</v>
      </c>
      <c r="AA15" s="14" t="s">
        <v>145</v>
      </c>
      <c r="AB15" s="18">
        <v>11</v>
      </c>
      <c r="AC15" s="13">
        <v>11</v>
      </c>
      <c r="AD15" s="13">
        <v>10</v>
      </c>
      <c r="AE15" s="19">
        <f t="shared" si="0"/>
        <v>12.404660414537755</v>
      </c>
      <c r="AF15" s="19">
        <f t="shared" si="1"/>
        <v>19.422328393009231</v>
      </c>
      <c r="AG15" s="2" t="s">
        <v>146</v>
      </c>
      <c r="AH15" s="13">
        <v>1.5</v>
      </c>
      <c r="AI15" s="13">
        <v>2.5</v>
      </c>
      <c r="AJ15" s="19">
        <f>IF(Abschlüsse[[#This Row],[Ergeb]]="ET","",SQRT(($AC15-$AH15)^2+($AD15-$AI15)^2))</f>
        <v>12.103718436910205</v>
      </c>
      <c r="AK15" s="3">
        <v>0</v>
      </c>
      <c r="AL15" s="13"/>
      <c r="AM15" s="13"/>
      <c r="AN15" s="19" t="str">
        <f t="shared" si="2"/>
        <v/>
      </c>
      <c r="AO15" s="3">
        <v>2</v>
      </c>
      <c r="AP15" s="13">
        <v>8</v>
      </c>
      <c r="AQ15" s="13">
        <v>6.5</v>
      </c>
      <c r="AR15" s="19">
        <f t="shared" si="3"/>
        <v>4.6097722286464435</v>
      </c>
      <c r="AS15" s="1"/>
    </row>
    <row r="16" spans="1:45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COUNTIFS($A$2:$A16,$A16,$B$2:$B16,$B16,$L$2:$L16,"&lt;&gt;ET")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2">
        <v>27</v>
      </c>
      <c r="P16" s="2">
        <v>9</v>
      </c>
      <c r="Q16" s="2">
        <v>6</v>
      </c>
      <c r="X16" s="2" t="s">
        <v>151</v>
      </c>
      <c r="Y16" s="17" t="s">
        <v>149</v>
      </c>
      <c r="Z16" s="14" t="s">
        <v>150</v>
      </c>
      <c r="AA16" s="14" t="s">
        <v>156</v>
      </c>
      <c r="AB16" s="18">
        <v>9</v>
      </c>
      <c r="AC16" s="13">
        <v>-7.5</v>
      </c>
      <c r="AD16" s="13">
        <v>18</v>
      </c>
      <c r="AE16" s="19">
        <f t="shared" si="0"/>
        <v>18.405042787236329</v>
      </c>
      <c r="AF16" s="19">
        <f t="shared" si="1"/>
        <v>19.756337681409438</v>
      </c>
      <c r="AG16" s="2" t="s">
        <v>146</v>
      </c>
      <c r="AH16" s="13">
        <v>-2</v>
      </c>
      <c r="AI16" s="13">
        <v>2</v>
      </c>
      <c r="AJ16" s="19">
        <f>IF(Abschlüsse[[#This Row],[Ergeb]]="ET","",SQRT(($AC16-$AH16)^2+($AD16-$AI16)^2))</f>
        <v>16.918924315688631</v>
      </c>
      <c r="AK16" s="3">
        <v>0</v>
      </c>
      <c r="AL16" s="13"/>
      <c r="AM16" s="13"/>
      <c r="AN16" s="19" t="str">
        <f t="shared" si="2"/>
        <v/>
      </c>
      <c r="AO16" s="3">
        <v>1</v>
      </c>
      <c r="AP16" s="13">
        <v>-6.5</v>
      </c>
      <c r="AQ16" s="13">
        <v>16</v>
      </c>
      <c r="AR16" s="19">
        <f t="shared" si="3"/>
        <v>2.2360679774997898</v>
      </c>
      <c r="AS16" s="1"/>
    </row>
    <row r="17" spans="1:45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COUNTIFS($A$2:$A17,$A17,$B$2:$B17,$B17,$L$2:$L17,"&lt;&gt;ET")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2">
        <v>6</v>
      </c>
      <c r="P17" s="2">
        <v>1</v>
      </c>
      <c r="X17" s="2" t="s">
        <v>151</v>
      </c>
      <c r="Y17" s="17" t="s">
        <v>143</v>
      </c>
      <c r="Z17" s="14" t="s">
        <v>150</v>
      </c>
      <c r="AA17" s="14" t="s">
        <v>156</v>
      </c>
      <c r="AB17" s="18">
        <v>8</v>
      </c>
      <c r="AC17" s="13">
        <v>-7.5</v>
      </c>
      <c r="AD17" s="13">
        <v>19</v>
      </c>
      <c r="AE17" s="19">
        <f t="shared" si="0"/>
        <v>19.38415848057377</v>
      </c>
      <c r="AF17" s="19">
        <f t="shared" si="1"/>
        <v>19.002762201382087</v>
      </c>
      <c r="AG17" s="2" t="s">
        <v>146</v>
      </c>
      <c r="AH17" s="13">
        <v>-1</v>
      </c>
      <c r="AI17" s="13">
        <v>2</v>
      </c>
      <c r="AJ17" s="19">
        <f>IF(Abschlüsse[[#This Row],[Ergeb]]="ET","",SQRT(($AC17-$AH17)^2+($AD17-$AI17)^2))</f>
        <v>18.200274723201296</v>
      </c>
      <c r="AK17" s="3">
        <v>1</v>
      </c>
      <c r="AL17" s="13">
        <v>-9</v>
      </c>
      <c r="AM17" s="13">
        <v>18</v>
      </c>
      <c r="AN17" s="19">
        <f t="shared" si="2"/>
        <v>1.8027756377319946</v>
      </c>
      <c r="AO17" s="3">
        <v>1</v>
      </c>
      <c r="AP17" s="13">
        <v>-6</v>
      </c>
      <c r="AQ17" s="13">
        <v>13.5</v>
      </c>
      <c r="AR17" s="19">
        <f t="shared" si="3"/>
        <v>5.7008771254956896</v>
      </c>
      <c r="AS17" s="1"/>
    </row>
    <row r="18" spans="1:45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COUNTIFS($A$2:$A18,$A18,$B$2:$B18,$B18,$L$2:$L18,"&lt;&gt;ET")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X18" s="2" t="s">
        <v>142</v>
      </c>
      <c r="Y18" s="17" t="s">
        <v>143</v>
      </c>
      <c r="Z18" s="14" t="s">
        <v>150</v>
      </c>
      <c r="AA18" s="14" t="s">
        <v>156</v>
      </c>
      <c r="AB18" s="18"/>
      <c r="AC18" s="13">
        <v>14.5</v>
      </c>
      <c r="AD18" s="13">
        <v>8.5</v>
      </c>
      <c r="AE18" s="19">
        <f t="shared" si="0"/>
        <v>13.775180579578622</v>
      </c>
      <c r="AF18" s="19">
        <f t="shared" si="1"/>
        <v>13.018666912102047</v>
      </c>
      <c r="AG18" s="2" t="s">
        <v>146</v>
      </c>
      <c r="AH18" s="13">
        <v>4</v>
      </c>
      <c r="AI18" s="13">
        <v>0.5</v>
      </c>
      <c r="AJ18" s="19">
        <f>IF(Abschlüsse[[#This Row],[Ergeb]]="ET","",SQRT(($AC18-$AH18)^2+($AD18-$AI18)^2))</f>
        <v>13.200378782444085</v>
      </c>
      <c r="AK18" s="3">
        <v>0</v>
      </c>
      <c r="AL18" s="13"/>
      <c r="AM18" s="13"/>
      <c r="AN18" s="19" t="str">
        <f t="shared" si="2"/>
        <v/>
      </c>
      <c r="AO18" s="3">
        <v>1</v>
      </c>
      <c r="AP18" s="13">
        <v>12</v>
      </c>
      <c r="AQ18" s="13">
        <v>8</v>
      </c>
      <c r="AR18" s="19">
        <f t="shared" si="3"/>
        <v>2.5495097567963922</v>
      </c>
      <c r="AS18" s="1"/>
    </row>
    <row r="19" spans="1:45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COUNTIFS($A$2:$A19,$A19,$B$2:$B19,$B19,$L$2:$L19,"&lt;&gt;ET")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X19" s="2" t="s">
        <v>151</v>
      </c>
      <c r="Y19" s="17" t="s">
        <v>143</v>
      </c>
      <c r="Z19" s="14" t="s">
        <v>150</v>
      </c>
      <c r="AA19" s="14" t="s">
        <v>145</v>
      </c>
      <c r="AB19" s="18">
        <v>6</v>
      </c>
      <c r="AC19" s="13">
        <v>5.5</v>
      </c>
      <c r="AD19" s="13">
        <v>28</v>
      </c>
      <c r="AE19" s="19">
        <f t="shared" si="0"/>
        <v>28.060392014367867</v>
      </c>
      <c r="AF19" s="19">
        <f t="shared" si="1"/>
        <v>14.355393406316038</v>
      </c>
      <c r="AG19" s="2" t="s">
        <v>146</v>
      </c>
      <c r="AH19" s="13">
        <v>0.5</v>
      </c>
      <c r="AI19" s="13">
        <v>2.5</v>
      </c>
      <c r="AJ19" s="19">
        <f>IF(Abschlüsse[[#This Row],[Ergeb]]="ET","",SQRT(($AC19-$AH19)^2+($AD19-$AI19)^2))</f>
        <v>25.985572920372565</v>
      </c>
      <c r="AK19" s="3">
        <v>1</v>
      </c>
      <c r="AL19" s="13">
        <v>7</v>
      </c>
      <c r="AM19" s="13">
        <v>24.5</v>
      </c>
      <c r="AN19" s="19">
        <f t="shared" si="2"/>
        <v>3.8078865529319543</v>
      </c>
      <c r="AO19" s="3">
        <v>1</v>
      </c>
      <c r="AP19" s="13">
        <v>3.5</v>
      </c>
      <c r="AQ19" s="13">
        <v>17.5</v>
      </c>
      <c r="AR19" s="19">
        <f t="shared" si="3"/>
        <v>10.688779163215974</v>
      </c>
      <c r="AS19" s="1"/>
    </row>
    <row r="20" spans="1:45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COUNTIFS($A$2:$A20,$A20,$B$2:$B20,$B20,$L$2:$L20,"&lt;&gt;ET")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X20" s="2" t="s">
        <v>151</v>
      </c>
      <c r="Y20" s="17" t="s">
        <v>143</v>
      </c>
      <c r="Z20" s="14" t="s">
        <v>150</v>
      </c>
      <c r="AA20" s="14" t="s">
        <v>145</v>
      </c>
      <c r="AB20" s="18"/>
      <c r="AC20" s="13">
        <v>-21</v>
      </c>
      <c r="AD20" s="13">
        <v>19</v>
      </c>
      <c r="AE20" s="19">
        <f t="shared" si="0"/>
        <v>25.723055806027403</v>
      </c>
      <c r="AF20" s="19">
        <f t="shared" si="1"/>
        <v>10.001956570180235</v>
      </c>
      <c r="AG20" s="2" t="s">
        <v>146</v>
      </c>
      <c r="AH20" s="13">
        <v>3</v>
      </c>
      <c r="AI20" s="13">
        <v>0.5</v>
      </c>
      <c r="AJ20" s="19">
        <f>IF(Abschlüsse[[#This Row],[Ergeb]]="ET","",SQRT(($AC20-$AH20)^2+($AD20-$AI20)^2))</f>
        <v>30.302640149003519</v>
      </c>
      <c r="AK20" s="3">
        <v>1</v>
      </c>
      <c r="AL20" s="13">
        <v>-19.5</v>
      </c>
      <c r="AM20" s="13">
        <v>19.5</v>
      </c>
      <c r="AN20" s="19">
        <f t="shared" si="2"/>
        <v>1.5811388300841898</v>
      </c>
      <c r="AO20" s="3">
        <v>1</v>
      </c>
      <c r="AP20" s="13">
        <v>-14</v>
      </c>
      <c r="AQ20" s="13">
        <v>15.5</v>
      </c>
      <c r="AR20" s="19">
        <f t="shared" si="3"/>
        <v>7.8262379212492643</v>
      </c>
      <c r="AS20" s="1"/>
    </row>
    <row r="21" spans="1:45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COUNTIFS($A$2:$A21,$A21,$B$2:$B21,$B21,$L$2:$L21,"&lt;&gt;ET")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2">
        <v>8</v>
      </c>
      <c r="X21" s="2" t="s">
        <v>151</v>
      </c>
      <c r="Y21" s="17" t="s">
        <v>149</v>
      </c>
      <c r="Z21" s="14" t="s">
        <v>150</v>
      </c>
      <c r="AA21" s="14" t="s">
        <v>156</v>
      </c>
      <c r="AB21" s="18">
        <v>7</v>
      </c>
      <c r="AC21" s="13">
        <v>-7.5</v>
      </c>
      <c r="AD21" s="13">
        <v>11</v>
      </c>
      <c r="AE21" s="19">
        <f t="shared" si="0"/>
        <v>11.650991374127782</v>
      </c>
      <c r="AF21" s="19">
        <f t="shared" si="1"/>
        <v>26.170050414843899</v>
      </c>
      <c r="AG21" s="2" t="s">
        <v>146</v>
      </c>
      <c r="AH21" s="13">
        <v>-3</v>
      </c>
      <c r="AI21" s="13">
        <v>2.5</v>
      </c>
      <c r="AJ21" s="19">
        <f>IF(Abschlüsse[[#This Row],[Ergeb]]="ET","",SQRT(($AC21-$AH21)^2+($AD21-$AI21)^2))</f>
        <v>9.6176920308356717</v>
      </c>
      <c r="AK21" s="3">
        <v>0</v>
      </c>
      <c r="AL21" s="13"/>
      <c r="AM21" s="13"/>
      <c r="AN21" s="19" t="str">
        <f t="shared" si="2"/>
        <v/>
      </c>
      <c r="AO21" s="3">
        <v>1</v>
      </c>
      <c r="AP21" s="13">
        <v>-6.5</v>
      </c>
      <c r="AQ21" s="13">
        <v>10.5</v>
      </c>
      <c r="AR21" s="19">
        <f t="shared" si="3"/>
        <v>1.1180339887498949</v>
      </c>
      <c r="AS21" s="1"/>
    </row>
    <row r="22" spans="1:45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COUNTIFS($A$2:$A22,$A22,$B$2:$B22,$B22,$L$2:$L22,"&lt;&gt;ET")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2">
        <v>8</v>
      </c>
      <c r="X22" s="2" t="s">
        <v>151</v>
      </c>
      <c r="Y22" s="17" t="s">
        <v>143</v>
      </c>
      <c r="Z22" s="14" t="s">
        <v>150</v>
      </c>
      <c r="AA22" s="14" t="s">
        <v>156</v>
      </c>
      <c r="AB22" s="18">
        <v>7</v>
      </c>
      <c r="AC22" s="13">
        <v>-5.5</v>
      </c>
      <c r="AD22" s="13">
        <v>8</v>
      </c>
      <c r="AE22" s="19">
        <f t="shared" si="0"/>
        <v>8.2088732478946209</v>
      </c>
      <c r="AF22" s="19">
        <f t="shared" si="1"/>
        <v>35.91449326929785</v>
      </c>
      <c r="AG22" s="2" t="s">
        <v>146</v>
      </c>
      <c r="AH22" s="13">
        <v>-2.5</v>
      </c>
      <c r="AI22" s="13">
        <v>1.5</v>
      </c>
      <c r="AJ22" s="19">
        <f>IF(Abschlüsse[[#This Row],[Ergeb]]="ET","",SQRT(($AC22-$AH22)^2+($AD22-$AI22)^2))</f>
        <v>7.1589105316381767</v>
      </c>
      <c r="AK22" s="3">
        <v>0</v>
      </c>
      <c r="AL22" s="13"/>
      <c r="AM22" s="13"/>
      <c r="AN22" s="19" t="str">
        <f t="shared" si="2"/>
        <v/>
      </c>
      <c r="AO22" s="3">
        <v>1</v>
      </c>
      <c r="AP22" s="13">
        <v>-4.5</v>
      </c>
      <c r="AQ22" s="13">
        <v>7.5</v>
      </c>
      <c r="AR22" s="19">
        <f t="shared" si="3"/>
        <v>1.1180339887498949</v>
      </c>
      <c r="AS22" s="1"/>
    </row>
    <row r="23" spans="1:45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COUNTIFS($A$2:$A23,$A23,$B$2:$B23,$B23,$L$2:$L23,"&lt;&gt;ET")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2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X23" s="2" t="s">
        <v>142</v>
      </c>
      <c r="Y23" s="17" t="s">
        <v>149</v>
      </c>
      <c r="Z23" s="14" t="s">
        <v>150</v>
      </c>
      <c r="AA23" s="14" t="s">
        <v>156</v>
      </c>
      <c r="AB23" s="18">
        <v>8</v>
      </c>
      <c r="AC23" s="13">
        <v>-11</v>
      </c>
      <c r="AD23" s="13">
        <v>16</v>
      </c>
      <c r="AE23" s="19">
        <f t="shared" si="0"/>
        <v>17.603283784567015</v>
      </c>
      <c r="AF23" s="19">
        <f t="shared" si="1"/>
        <v>17.854181264274398</v>
      </c>
      <c r="AG23" s="2" t="s">
        <v>146</v>
      </c>
      <c r="AH23" s="13">
        <v>-2.5</v>
      </c>
      <c r="AI23" s="13">
        <v>1</v>
      </c>
      <c r="AJ23" s="19">
        <f>IF(Abschlüsse[[#This Row],[Ergeb]]="ET","",SQRT(($AC23-$AH23)^2+($AD23-$AI23)^2))</f>
        <v>17.240939649566666</v>
      </c>
      <c r="AK23" s="3">
        <v>0</v>
      </c>
      <c r="AL23" s="13"/>
      <c r="AM23" s="13"/>
      <c r="AN23" s="19" t="str">
        <f t="shared" si="2"/>
        <v/>
      </c>
      <c r="AO23" s="3">
        <v>2</v>
      </c>
      <c r="AP23" s="13">
        <v>-9.5</v>
      </c>
      <c r="AQ23" s="13">
        <v>14.5</v>
      </c>
      <c r="AR23" s="19">
        <f t="shared" si="3"/>
        <v>2.1213203435596424</v>
      </c>
      <c r="AS23" s="1"/>
    </row>
    <row r="24" spans="1:45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COUNTIFS($A$2:$A24,$A24,$B$2:$B24,$B24,$L$2:$L24,"&lt;&gt;ET")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2">
        <v>25</v>
      </c>
      <c r="P24" s="2">
        <v>8</v>
      </c>
      <c r="Q24" s="2">
        <v>1</v>
      </c>
      <c r="X24" s="2" t="s">
        <v>151</v>
      </c>
      <c r="Y24" s="17" t="s">
        <v>149</v>
      </c>
      <c r="Z24" s="14" t="s">
        <v>150</v>
      </c>
      <c r="AA24" s="14" t="s">
        <v>145</v>
      </c>
      <c r="AB24" s="18">
        <v>18</v>
      </c>
      <c r="AC24" s="13">
        <v>-8.5</v>
      </c>
      <c r="AD24" s="13">
        <v>7.5</v>
      </c>
      <c r="AE24" s="19">
        <f t="shared" si="0"/>
        <v>8.9261189774727967</v>
      </c>
      <c r="AF24" s="19">
        <f t="shared" si="1"/>
        <v>25.499196058218978</v>
      </c>
      <c r="AG24" s="2" t="s">
        <v>146</v>
      </c>
      <c r="AH24" s="13">
        <v>-5</v>
      </c>
      <c r="AI24" s="13">
        <v>4.5</v>
      </c>
      <c r="AJ24" s="19">
        <f>IF(Abschlüsse[[#This Row],[Ergeb]]="ET","",SQRT(($AC24-$AH24)^2+($AD24-$AI24)^2))</f>
        <v>4.6097722286464435</v>
      </c>
      <c r="AK24" s="3">
        <v>2</v>
      </c>
      <c r="AL24" s="13">
        <v>-7.5</v>
      </c>
      <c r="AM24" s="13">
        <v>8.5</v>
      </c>
      <c r="AN24" s="19">
        <f t="shared" si="2"/>
        <v>1.4142135623730951</v>
      </c>
      <c r="AO24" s="3">
        <v>0</v>
      </c>
      <c r="AR24" s="19" t="str">
        <f t="shared" si="3"/>
        <v/>
      </c>
      <c r="AS24" s="1"/>
    </row>
    <row r="25" spans="1:45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COUNTIFS($A$2:$A25,$A25,$B$2:$B25,$B25,$L$2:$L25,"&lt;&gt;ET")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X25" s="2" t="s">
        <v>151</v>
      </c>
      <c r="Y25" s="17" t="s">
        <v>149</v>
      </c>
      <c r="Z25" s="14" t="s">
        <v>150</v>
      </c>
      <c r="AA25" s="14" t="s">
        <v>156</v>
      </c>
      <c r="AB25" s="18"/>
      <c r="AC25" s="13">
        <v>-13.5</v>
      </c>
      <c r="AD25" s="13">
        <v>22</v>
      </c>
      <c r="AE25" s="19">
        <f t="shared" si="0"/>
        <v>24.100323649279069</v>
      </c>
      <c r="AF25" s="19">
        <f t="shared" si="1"/>
        <v>13.856565051061848</v>
      </c>
      <c r="AG25" s="2" t="s">
        <v>146</v>
      </c>
      <c r="AH25" s="13">
        <v>-1.5</v>
      </c>
      <c r="AI25" s="13">
        <v>1.5</v>
      </c>
      <c r="AJ25" s="19">
        <f>IF(Abschlüsse[[#This Row],[Ergeb]]="ET","",SQRT(($AC25-$AH25)^2+($AD25-$AI25)^2))</f>
        <v>23.753947040439407</v>
      </c>
      <c r="AK25" s="3">
        <v>1</v>
      </c>
      <c r="AL25" s="13">
        <v>-14</v>
      </c>
      <c r="AM25" s="13">
        <v>20</v>
      </c>
      <c r="AN25" s="19">
        <f t="shared" si="2"/>
        <v>2.0615528128088303</v>
      </c>
      <c r="AO25" s="3">
        <v>1</v>
      </c>
      <c r="AP25" s="13">
        <v>-7.5</v>
      </c>
      <c r="AQ25" s="13">
        <v>17</v>
      </c>
      <c r="AR25" s="19">
        <f t="shared" si="3"/>
        <v>7.810249675906654</v>
      </c>
      <c r="AS25" s="1"/>
    </row>
    <row r="26" spans="1:45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COUNTIFS($A$2:$A26,$A26,$B$2:$B26,$B26,$L$2:$L26,"&lt;&gt;ET")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X26" s="2" t="s">
        <v>154</v>
      </c>
      <c r="Y26" s="17" t="s">
        <v>160</v>
      </c>
      <c r="Z26" s="14" t="s">
        <v>161</v>
      </c>
      <c r="AA26" s="14" t="s">
        <v>145</v>
      </c>
      <c r="AB26" s="18">
        <v>25</v>
      </c>
      <c r="AC26" s="13">
        <v>-6.5</v>
      </c>
      <c r="AD26" s="13">
        <v>2</v>
      </c>
      <c r="AE26" s="19">
        <f t="shared" si="0"/>
        <v>3.4735572544583166</v>
      </c>
      <c r="AF26" s="19">
        <f t="shared" si="1"/>
        <v>24.017868200965708</v>
      </c>
      <c r="AG26" s="2" t="s">
        <v>169</v>
      </c>
      <c r="AH26" s="13">
        <v>-1.5</v>
      </c>
      <c r="AI26" s="13">
        <v>1.5</v>
      </c>
      <c r="AJ26" s="19">
        <f>IF(Abschlüsse[[#This Row],[Ergeb]]="ET","",SQRT(($AC26-$AH26)^2+($AD26-$AI26)^2))</f>
        <v>5.024937810560445</v>
      </c>
      <c r="AK26" s="3">
        <v>0</v>
      </c>
      <c r="AL26" s="13"/>
      <c r="AM26" s="13"/>
      <c r="AN26" s="19" t="str">
        <f t="shared" si="2"/>
        <v/>
      </c>
      <c r="AO26" s="3">
        <v>1</v>
      </c>
      <c r="AP26" s="13">
        <v>-4.5</v>
      </c>
      <c r="AQ26" s="13">
        <v>1.5</v>
      </c>
      <c r="AR26" s="19">
        <f t="shared" si="3"/>
        <v>2.0615528128088303</v>
      </c>
      <c r="AS26" s="1"/>
    </row>
    <row r="27" spans="1:45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COUNTIFS($A$2:$A27,$A27,$B$2:$B27,$B27,$L$2:$L27,"&lt;&gt;ET")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X27" s="2" t="s">
        <v>142</v>
      </c>
      <c r="Y27" s="17" t="s">
        <v>143</v>
      </c>
      <c r="Z27" s="14" t="s">
        <v>150</v>
      </c>
      <c r="AA27" s="14" t="s">
        <v>145</v>
      </c>
      <c r="AB27" s="18">
        <v>5</v>
      </c>
      <c r="AC27" s="13">
        <v>9</v>
      </c>
      <c r="AD27" s="13">
        <v>11</v>
      </c>
      <c r="AE27" s="19">
        <f t="shared" si="0"/>
        <v>12.227657175436349</v>
      </c>
      <c r="AF27" s="19">
        <f t="shared" si="1"/>
        <v>23.118864658126963</v>
      </c>
      <c r="AG27" s="2" t="s">
        <v>146</v>
      </c>
      <c r="AH27" s="13">
        <v>2.5</v>
      </c>
      <c r="AI27" s="13">
        <v>0.5</v>
      </c>
      <c r="AJ27" s="19">
        <f>IF(Abschlüsse[[#This Row],[Ergeb]]="ET","",SQRT(($AC27-$AH27)^2+($AD27-$AI27)^2))</f>
        <v>12.349089035228468</v>
      </c>
      <c r="AK27" s="3">
        <v>0</v>
      </c>
      <c r="AL27" s="13"/>
      <c r="AM27" s="13"/>
      <c r="AN27" s="19" t="str">
        <f t="shared" si="2"/>
        <v/>
      </c>
      <c r="AO27" s="3">
        <v>1</v>
      </c>
      <c r="AP27" s="13">
        <v>9</v>
      </c>
      <c r="AQ27" s="13">
        <v>10.5</v>
      </c>
      <c r="AR27" s="19">
        <f t="shared" si="3"/>
        <v>0.5</v>
      </c>
      <c r="AS27" s="1"/>
    </row>
    <row r="28" spans="1:45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COUNTIFS($A$2:$A28,$A28,$B$2:$B28,$B28,$L$2:$L28,"&lt;&gt;ET")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X28" s="2" t="s">
        <v>151</v>
      </c>
      <c r="Y28" s="17" t="s">
        <v>143</v>
      </c>
      <c r="Z28" s="14" t="s">
        <v>150</v>
      </c>
      <c r="AA28" s="14" t="s">
        <v>145</v>
      </c>
      <c r="AB28" s="18"/>
      <c r="AC28" s="13">
        <v>1.5</v>
      </c>
      <c r="AD28" s="13">
        <v>19</v>
      </c>
      <c r="AE28" s="19">
        <f t="shared" si="0"/>
        <v>19</v>
      </c>
      <c r="AF28" s="19">
        <f t="shared" si="1"/>
        <v>21.679641810257319</v>
      </c>
      <c r="AG28" s="2" t="s">
        <v>146</v>
      </c>
      <c r="AH28" s="13">
        <v>0</v>
      </c>
      <c r="AI28" s="13">
        <v>0.5</v>
      </c>
      <c r="AJ28" s="19">
        <f>IF(Abschlüsse[[#This Row],[Ergeb]]="ET","",SQRT(($AC28-$AH28)^2+($AD28-$AI28)^2))</f>
        <v>18.560711193270585</v>
      </c>
      <c r="AK28" s="3">
        <v>0</v>
      </c>
      <c r="AL28" s="13"/>
      <c r="AM28" s="13"/>
      <c r="AN28" s="19" t="str">
        <f t="shared" si="2"/>
        <v/>
      </c>
      <c r="AO28" s="3">
        <v>1</v>
      </c>
      <c r="AP28" s="13">
        <v>1</v>
      </c>
      <c r="AQ28" s="13">
        <v>16.5</v>
      </c>
      <c r="AR28" s="19">
        <f t="shared" si="3"/>
        <v>2.5495097567963922</v>
      </c>
      <c r="AS28" s="1"/>
    </row>
    <row r="29" spans="1:45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COUNTIFS($A$2:$A29,$A29,$B$2:$B29,$B29,$L$2:$L29,"&lt;&gt;ET")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2">
        <v>13</v>
      </c>
      <c r="P29" s="2">
        <v>8</v>
      </c>
      <c r="Q29" s="2">
        <v>20</v>
      </c>
      <c r="X29" s="2" t="s">
        <v>142</v>
      </c>
      <c r="Y29" s="17" t="s">
        <v>149</v>
      </c>
      <c r="Z29" s="14" t="s">
        <v>150</v>
      </c>
      <c r="AA29" s="14" t="s">
        <v>156</v>
      </c>
      <c r="AB29" s="18">
        <v>9</v>
      </c>
      <c r="AC29" s="13">
        <v>-4</v>
      </c>
      <c r="AD29" s="13">
        <v>6.5</v>
      </c>
      <c r="AE29" s="19">
        <f t="shared" si="0"/>
        <v>6.5088862334503901</v>
      </c>
      <c r="AF29" s="19">
        <f t="shared" si="1"/>
        <v>46.688983101737932</v>
      </c>
      <c r="AG29" s="2" t="s">
        <v>146</v>
      </c>
      <c r="AH29" s="13">
        <v>-2</v>
      </c>
      <c r="AI29" s="13">
        <v>1</v>
      </c>
      <c r="AJ29" s="19">
        <f>IF(Abschlüsse[[#This Row],[Ergeb]]="ET","",SQRT(($AC29-$AH29)^2+($AD29-$AI29)^2))</f>
        <v>5.8523499553598128</v>
      </c>
      <c r="AK29" s="3">
        <v>0</v>
      </c>
      <c r="AL29" s="13"/>
      <c r="AM29" s="13"/>
      <c r="AN29" s="19" t="str">
        <f t="shared" si="2"/>
        <v/>
      </c>
      <c r="AO29" s="3">
        <v>1</v>
      </c>
      <c r="AP29" s="13">
        <v>-3.5</v>
      </c>
      <c r="AQ29" s="13">
        <v>6</v>
      </c>
      <c r="AR29" s="19">
        <f t="shared" si="3"/>
        <v>0.70710678118654757</v>
      </c>
      <c r="AS29" s="1"/>
    </row>
    <row r="30" spans="1:45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COUNTIFS($A$2:$A30,$A30,$B$2:$B30,$B30,$L$2:$L30,"&lt;&gt;ET")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X30" s="22" t="s">
        <v>142</v>
      </c>
      <c r="Y30" s="18" t="s">
        <v>149</v>
      </c>
      <c r="Z30" s="14" t="s">
        <v>150</v>
      </c>
      <c r="AA30" s="14" t="s">
        <v>145</v>
      </c>
      <c r="AB30" s="18"/>
      <c r="AC30" s="13">
        <v>1.5</v>
      </c>
      <c r="AD30" s="13">
        <v>5.5</v>
      </c>
      <c r="AE30" s="19">
        <f>IF($L30="ET","",IF($AC30&gt;3.66,SQRT($AD30^2+($AC30-(7.32/2))^2),IF($AC30&lt;-3.66,SQRT($AD30^2+($AC30+(7.32/2))^2),$AD30)))</f>
        <v>5.5</v>
      </c>
      <c r="AF30" s="19">
        <f>IF($L30="ET","",IF(DEGREES(ATAN((7.32*$AD30)/($AD30^2+$AC30^2-(7.32/2)^2)))&lt;=0,180+DEGREES(ATAN((7.32*$AD30)/($AD30^2+$AC30^2-(7.32/2)^2))),DEGREES(ATAN((7.32*$AD30)/($AD30^2+$AC30^2-(7.32/2)^2)))))</f>
        <v>64.61446408277591</v>
      </c>
      <c r="AG30" s="3" t="s">
        <v>169</v>
      </c>
      <c r="AH30" s="13">
        <v>3.5</v>
      </c>
      <c r="AI30" s="13">
        <v>0</v>
      </c>
      <c r="AJ30" s="19">
        <f>IF(Abschlüsse[[#This Row],[Ergeb]]="ET","",SQRT(($AC30-$AH30)^2+($AD30-$AI30)^2))</f>
        <v>5.8523499553598128</v>
      </c>
      <c r="AK30" s="3">
        <v>1</v>
      </c>
      <c r="AL30" s="13">
        <v>3</v>
      </c>
      <c r="AM30" s="13">
        <v>6</v>
      </c>
      <c r="AN30" s="19">
        <f>IF(AK30=0,"",SQRT(($AC30-$AL30)^2+($AD30-$AM30)^2))</f>
        <v>1.5811388300841898</v>
      </c>
      <c r="AO30" s="3">
        <v>0</v>
      </c>
      <c r="AR30" s="19" t="str">
        <f>IF(AO30=0,"",SQRT(($AC30-$AP30)^2+($AD30-$AQ30)^2))</f>
        <v/>
      </c>
      <c r="AS30" s="1"/>
    </row>
    <row r="31" spans="1:45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COUNTIFS($A$2:$A31,$A31,$B$2:$B31,$B31,$L$2:$L31,"&lt;&gt;ET")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X31" s="2" t="s">
        <v>141</v>
      </c>
      <c r="Y31" s="17" t="s">
        <v>143</v>
      </c>
      <c r="Z31" s="14" t="s">
        <v>144</v>
      </c>
      <c r="AA31" s="14" t="s">
        <v>145</v>
      </c>
      <c r="AB31" s="18"/>
      <c r="AC31" s="13">
        <v>1</v>
      </c>
      <c r="AD31" s="13">
        <v>1.5</v>
      </c>
      <c r="AE31" s="19">
        <f t="shared" si="0"/>
        <v>1.5</v>
      </c>
      <c r="AF31" s="19">
        <f t="shared" si="1"/>
        <v>132.7381583774586</v>
      </c>
      <c r="AG31" s="2" t="s">
        <v>169</v>
      </c>
      <c r="AH31" s="13">
        <v>1.5</v>
      </c>
      <c r="AI31" s="13">
        <v>0.5</v>
      </c>
      <c r="AJ31" s="19">
        <f>IF(Abschlüsse[[#This Row],[Ergeb]]="ET","",SQRT(($AC31-$AH31)^2+($AD31-$AI31)^2))</f>
        <v>1.1180339887498949</v>
      </c>
      <c r="AK31" s="3">
        <v>0</v>
      </c>
      <c r="AL31" s="13"/>
      <c r="AM31" s="13"/>
      <c r="AN31" s="19" t="str">
        <f t="shared" si="2"/>
        <v/>
      </c>
      <c r="AO31" s="3">
        <v>0</v>
      </c>
      <c r="AR31" s="19" t="str">
        <f t="shared" si="3"/>
        <v/>
      </c>
      <c r="AS31" s="1"/>
    </row>
    <row r="32" spans="1:45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COUNTIFS($A$2:$A32,$A32,$B$2:$B32,$B32,$L$2:$L32,"&lt;&gt;ET")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2">
        <v>8</v>
      </c>
      <c r="X32" s="2" t="s">
        <v>154</v>
      </c>
      <c r="Y32" s="17" t="s">
        <v>160</v>
      </c>
      <c r="Z32" s="14" t="s">
        <v>161</v>
      </c>
      <c r="AA32" s="14" t="s">
        <v>162</v>
      </c>
      <c r="AB32" s="18">
        <v>7</v>
      </c>
      <c r="AC32" s="13">
        <v>-8.5</v>
      </c>
      <c r="AD32" s="13">
        <v>5</v>
      </c>
      <c r="AE32" s="19">
        <f t="shared" si="0"/>
        <v>6.9588504797847186</v>
      </c>
      <c r="AF32" s="19">
        <f t="shared" si="1"/>
        <v>23.579865584578684</v>
      </c>
      <c r="AG32" s="2" t="s">
        <v>146</v>
      </c>
      <c r="AH32" s="13">
        <v>-1.5</v>
      </c>
      <c r="AI32" s="13">
        <v>0.5</v>
      </c>
      <c r="AJ32" s="19">
        <f>IF(Abschlüsse[[#This Row],[Ergeb]]="ET","",SQRT(($AC32-$AH32)^2+($AD32-$AI32)^2))</f>
        <v>8.3216584885466194</v>
      </c>
      <c r="AK32" s="3">
        <v>1</v>
      </c>
      <c r="AL32" s="13">
        <v>-5.5</v>
      </c>
      <c r="AM32" s="13">
        <v>5</v>
      </c>
      <c r="AN32" s="19">
        <f t="shared" si="2"/>
        <v>3</v>
      </c>
      <c r="AO32" s="3">
        <v>1</v>
      </c>
      <c r="AP32" s="13">
        <v>-6.5</v>
      </c>
      <c r="AQ32" s="13">
        <v>3.5</v>
      </c>
      <c r="AR32" s="19">
        <f t="shared" si="3"/>
        <v>2.5</v>
      </c>
      <c r="AS32" s="1"/>
    </row>
    <row r="33" spans="1:45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COUNTIFS($A$2:$A33,$A33,$B$2:$B33,$B33,$L$2:$L33,"&lt;&gt;ET")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2">
        <v>27</v>
      </c>
      <c r="P33" s="2">
        <v>13</v>
      </c>
      <c r="X33" s="2" t="s">
        <v>154</v>
      </c>
      <c r="Y33" s="17" t="s">
        <v>143</v>
      </c>
      <c r="Z33" s="14" t="s">
        <v>144</v>
      </c>
      <c r="AA33" s="14" t="s">
        <v>156</v>
      </c>
      <c r="AB33" s="18">
        <v>9</v>
      </c>
      <c r="AC33" s="13">
        <v>-12.5</v>
      </c>
      <c r="AD33" s="13">
        <v>7.5</v>
      </c>
      <c r="AE33" s="19">
        <f t="shared" si="0"/>
        <v>11.592911627369546</v>
      </c>
      <c r="AF33" s="19">
        <f t="shared" si="1"/>
        <v>15.415381612664262</v>
      </c>
      <c r="AG33" s="2" t="s">
        <v>146</v>
      </c>
      <c r="AH33" s="13">
        <v>-2.5</v>
      </c>
      <c r="AI33" s="13">
        <v>1</v>
      </c>
      <c r="AJ33" s="19">
        <f>IF(Abschlüsse[[#This Row],[Ergeb]]="ET","",SQRT(($AC33-$AH33)^2+($AD33-$AI33)^2))</f>
        <v>11.926860441876563</v>
      </c>
      <c r="AK33" s="3">
        <v>2</v>
      </c>
      <c r="AL33" s="13">
        <v>-12</v>
      </c>
      <c r="AM33" s="13">
        <v>5.5</v>
      </c>
      <c r="AN33" s="19">
        <f t="shared" si="2"/>
        <v>2.0615528128088303</v>
      </c>
      <c r="AO33" s="3">
        <v>2</v>
      </c>
      <c r="AP33" s="13">
        <v>-9</v>
      </c>
      <c r="AQ33" s="13">
        <v>5</v>
      </c>
      <c r="AR33" s="19">
        <f t="shared" si="3"/>
        <v>4.3011626335213133</v>
      </c>
      <c r="AS33" s="1"/>
    </row>
    <row r="34" spans="1:45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COUNTIFS($A$2:$A34,$A34,$B$2:$B34,$B34,$L$2:$L34,"&lt;&gt;ET")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X34" s="2" t="s">
        <v>142</v>
      </c>
      <c r="Y34" s="17" t="s">
        <v>143</v>
      </c>
      <c r="Z34" s="14" t="s">
        <v>150</v>
      </c>
      <c r="AA34" s="14" t="s">
        <v>145</v>
      </c>
      <c r="AB34" s="18">
        <v>8</v>
      </c>
      <c r="AC34" s="13">
        <v>-7.5</v>
      </c>
      <c r="AD34" s="13">
        <v>27</v>
      </c>
      <c r="AE34" s="19">
        <f t="shared" si="0"/>
        <v>27.271699617002238</v>
      </c>
      <c r="AF34" s="19">
        <f t="shared" si="1"/>
        <v>14.362490517670119</v>
      </c>
      <c r="AG34" s="2" t="s">
        <v>146</v>
      </c>
      <c r="AH34" s="13">
        <v>1</v>
      </c>
      <c r="AI34" s="13">
        <v>1.5</v>
      </c>
      <c r="AJ34" s="19">
        <f>IF(Abschlüsse[[#This Row],[Ergeb]]="ET","",SQRT(($AC34-$AH34)^2+($AD34-$AI34)^2))</f>
        <v>26.879360111431225</v>
      </c>
      <c r="AK34" s="3">
        <v>0</v>
      </c>
      <c r="AL34" s="13"/>
      <c r="AM34" s="13"/>
      <c r="AN34" s="19" t="str">
        <f t="shared" si="2"/>
        <v/>
      </c>
      <c r="AO34" s="3">
        <v>3</v>
      </c>
      <c r="AP34" s="13">
        <v>-6</v>
      </c>
      <c r="AQ34" s="13">
        <v>19</v>
      </c>
      <c r="AR34" s="19">
        <f t="shared" si="3"/>
        <v>8.1394102980498531</v>
      </c>
      <c r="AS34" s="1"/>
    </row>
    <row r="35" spans="1:45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COUNTIFS($A$2:$A35,$A35,$B$2:$B35,$B35,$L$2:$L35,"&lt;&gt;ET")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X35" s="2" t="s">
        <v>142</v>
      </c>
      <c r="Y35" s="17" t="s">
        <v>143</v>
      </c>
      <c r="Z35" s="14" t="s">
        <v>150</v>
      </c>
      <c r="AA35" s="14" t="s">
        <v>145</v>
      </c>
      <c r="AB35" s="18">
        <v>8</v>
      </c>
      <c r="AC35" s="13">
        <v>-2</v>
      </c>
      <c r="AD35" s="13">
        <v>20</v>
      </c>
      <c r="AE35" s="19">
        <f t="shared" si="0"/>
        <v>20</v>
      </c>
      <c r="AF35" s="19">
        <f t="shared" si="1"/>
        <v>20.546187356324779</v>
      </c>
      <c r="AG35" s="2" t="s">
        <v>146</v>
      </c>
      <c r="AH35" s="13">
        <v>1</v>
      </c>
      <c r="AI35" s="13">
        <v>1</v>
      </c>
      <c r="AJ35" s="19">
        <f>IF(Abschlüsse[[#This Row],[Ergeb]]="ET","",SQRT(($AC35-$AH35)^2+($AD35-$AI35)^2))</f>
        <v>19.235384061671343</v>
      </c>
      <c r="AK35" s="3">
        <v>0</v>
      </c>
      <c r="AL35" s="13"/>
      <c r="AM35" s="13"/>
      <c r="AN35" s="19" t="str">
        <f t="shared" si="2"/>
        <v/>
      </c>
      <c r="AO35" s="3">
        <v>5</v>
      </c>
      <c r="AP35" s="13">
        <v>-2</v>
      </c>
      <c r="AQ35" s="13">
        <v>13</v>
      </c>
      <c r="AR35" s="19">
        <f t="shared" si="3"/>
        <v>7</v>
      </c>
      <c r="AS35" s="1"/>
    </row>
    <row r="36" spans="1:45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COUNTIFS($A$2:$A36,$A36,$B$2:$B36,$B36,$L$2:$L36,"&lt;&gt;ET")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X36" s="2" t="s">
        <v>141</v>
      </c>
      <c r="Y36" s="17" t="s">
        <v>143</v>
      </c>
      <c r="Z36" s="14" t="s">
        <v>144</v>
      </c>
      <c r="AA36" s="14" t="s">
        <v>156</v>
      </c>
      <c r="AB36" s="18"/>
      <c r="AC36" s="13">
        <v>-12.5</v>
      </c>
      <c r="AD36" s="13">
        <v>17.5</v>
      </c>
      <c r="AE36" s="19">
        <f t="shared" si="0"/>
        <v>19.606009282870392</v>
      </c>
      <c r="AF36" s="19">
        <f t="shared" si="1"/>
        <v>15.91996954034679</v>
      </c>
      <c r="AG36" s="2" t="s">
        <v>146</v>
      </c>
      <c r="AH36" s="13">
        <v>-1.5</v>
      </c>
      <c r="AI36" s="13">
        <v>2</v>
      </c>
      <c r="AJ36" s="19">
        <f>IF(Abschlüsse[[#This Row],[Ergeb]]="ET","",SQRT(($AC36-$AH36)^2+($AD36-$AI36)^2))</f>
        <v>19.006577808748212</v>
      </c>
      <c r="AK36" s="3">
        <v>0</v>
      </c>
      <c r="AL36" s="13"/>
      <c r="AM36" s="13"/>
      <c r="AN36" s="19" t="str">
        <f t="shared" si="2"/>
        <v/>
      </c>
      <c r="AO36" s="3">
        <v>1</v>
      </c>
      <c r="AP36" s="13">
        <v>-11.5</v>
      </c>
      <c r="AQ36" s="13">
        <v>15.5</v>
      </c>
      <c r="AR36" s="19">
        <f t="shared" si="3"/>
        <v>2.2360679774997898</v>
      </c>
      <c r="AS36" s="1"/>
    </row>
    <row r="37" spans="1:45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COUNTIFS($A$2:$A37,$A37,$B$2:$B37,$B37,$L$2:$L37,"&lt;&gt;ET")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X37" s="2" t="s">
        <v>141</v>
      </c>
      <c r="Y37" s="17" t="s">
        <v>143</v>
      </c>
      <c r="Z37" s="14" t="s">
        <v>144</v>
      </c>
      <c r="AA37" s="14" t="s">
        <v>162</v>
      </c>
      <c r="AB37" s="18"/>
      <c r="AC37" s="13">
        <v>5</v>
      </c>
      <c r="AD37" s="13">
        <v>8</v>
      </c>
      <c r="AE37" s="19">
        <f t="shared" si="0"/>
        <v>8.1114486992152024</v>
      </c>
      <c r="AF37" s="19">
        <f t="shared" si="1"/>
        <v>37.759862525148613</v>
      </c>
      <c r="AG37" s="2" t="s">
        <v>146</v>
      </c>
      <c r="AH37" s="13">
        <v>1.5</v>
      </c>
      <c r="AI37" s="13">
        <v>1</v>
      </c>
      <c r="AJ37" s="19">
        <f>IF(Abschlüsse[[#This Row],[Ergeb]]="ET","",SQRT(($AC37-$AH37)^2+($AD37-$AI37)^2))</f>
        <v>7.8262379212492643</v>
      </c>
      <c r="AK37" s="3">
        <v>0</v>
      </c>
      <c r="AL37" s="13"/>
      <c r="AM37" s="13"/>
      <c r="AN37" s="19" t="str">
        <f t="shared" si="2"/>
        <v/>
      </c>
      <c r="AO37" s="3">
        <v>3</v>
      </c>
      <c r="AP37" s="13">
        <v>3</v>
      </c>
      <c r="AQ37" s="13">
        <v>6.5</v>
      </c>
      <c r="AR37" s="19">
        <f t="shared" si="3"/>
        <v>2.5</v>
      </c>
      <c r="AS37" s="1"/>
    </row>
    <row r="38" spans="1:45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COUNTIFS($A$2:$A38,$A38,$B$2:$B38,$B38,$L$2:$L38,"&lt;&gt;ET")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2">
        <v>27</v>
      </c>
      <c r="P38" s="2">
        <v>8</v>
      </c>
      <c r="Q38" s="2">
        <v>5</v>
      </c>
      <c r="X38" s="2" t="s">
        <v>151</v>
      </c>
      <c r="Y38" s="17" t="s">
        <v>149</v>
      </c>
      <c r="Z38" s="14" t="s">
        <v>144</v>
      </c>
      <c r="AA38" s="14" t="s">
        <v>156</v>
      </c>
      <c r="AB38" s="18">
        <v>9</v>
      </c>
      <c r="AC38" s="13">
        <v>-16</v>
      </c>
      <c r="AD38" s="13">
        <v>6</v>
      </c>
      <c r="AE38" s="19">
        <f t="shared" si="0"/>
        <v>13.721355618159599</v>
      </c>
      <c r="AF38" s="19">
        <f t="shared" si="1"/>
        <v>8.9585467435871635</v>
      </c>
      <c r="AG38" s="2" t="s">
        <v>166</v>
      </c>
      <c r="AJ38" s="19">
        <f>IF(Abschlüsse[[#This Row],[Ergeb]]="ET","",SQRT(($AC38-$AH38)^2+($AD38-$AI38)^2))</f>
        <v>17.088007490635061</v>
      </c>
      <c r="AK38" s="3">
        <v>0</v>
      </c>
      <c r="AL38" s="13"/>
      <c r="AM38" s="13"/>
      <c r="AN38" s="19" t="str">
        <f t="shared" si="2"/>
        <v/>
      </c>
      <c r="AO38" s="3">
        <v>0</v>
      </c>
      <c r="AR38" s="19" t="str">
        <f t="shared" si="3"/>
        <v/>
      </c>
      <c r="AS38" s="1"/>
    </row>
    <row r="39" spans="1:45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COUNTIFS($A$2:$A39,$A39,$B$2:$B39,$B39,$L$2:$L39,"&lt;&gt;ET")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2">
        <v>13</v>
      </c>
      <c r="P39" s="2">
        <v>19</v>
      </c>
      <c r="Q39" s="2">
        <v>20</v>
      </c>
      <c r="X39" s="2" t="s">
        <v>154</v>
      </c>
      <c r="Y39" s="17" t="s">
        <v>160</v>
      </c>
      <c r="Z39" s="14" t="s">
        <v>161</v>
      </c>
      <c r="AA39" s="14" t="s">
        <v>145</v>
      </c>
      <c r="AB39" s="18">
        <v>9</v>
      </c>
      <c r="AC39" s="13">
        <v>1.5</v>
      </c>
      <c r="AD39" s="13">
        <v>6</v>
      </c>
      <c r="AE39" s="19">
        <f t="shared" si="0"/>
        <v>6</v>
      </c>
      <c r="AF39" s="19">
        <f t="shared" si="1"/>
        <v>60.494407394016946</v>
      </c>
      <c r="AG39" s="2" t="s">
        <v>146</v>
      </c>
      <c r="AH39" s="13">
        <v>0</v>
      </c>
      <c r="AI39" s="13">
        <v>1</v>
      </c>
      <c r="AJ39" s="19">
        <f>IF(Abschlüsse[[#This Row],[Ergeb]]="ET","",SQRT(($AC39-$AH39)^2+($AD39-$AI39)^2))</f>
        <v>5.2201532544552753</v>
      </c>
      <c r="AK39" s="3">
        <v>1</v>
      </c>
      <c r="AL39" s="13">
        <v>1.5</v>
      </c>
      <c r="AM39" s="13">
        <v>5.5</v>
      </c>
      <c r="AN39" s="19">
        <f t="shared" si="2"/>
        <v>0.5</v>
      </c>
      <c r="AO39" s="3">
        <v>0</v>
      </c>
      <c r="AR39" s="19" t="str">
        <f t="shared" si="3"/>
        <v/>
      </c>
      <c r="AS39" s="1"/>
    </row>
    <row r="40" spans="1:45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COUNTIFS($A$2:$A40,$A40,$B$2:$B40,$B40,$L$2:$L40,"&lt;&gt;ET")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2">
        <v>8</v>
      </c>
      <c r="P40" s="2">
        <v>20</v>
      </c>
      <c r="Q40" s="2">
        <v>19</v>
      </c>
      <c r="R40" s="2">
        <v>13</v>
      </c>
      <c r="X40" s="2" t="s">
        <v>151</v>
      </c>
      <c r="Y40" s="17" t="s">
        <v>143</v>
      </c>
      <c r="Z40" s="14" t="s">
        <v>150</v>
      </c>
      <c r="AA40" s="14" t="s">
        <v>156</v>
      </c>
      <c r="AB40" s="18">
        <v>27</v>
      </c>
      <c r="AC40" s="13">
        <v>-20</v>
      </c>
      <c r="AD40" s="13">
        <v>24.5</v>
      </c>
      <c r="AE40" s="19">
        <f t="shared" si="0"/>
        <v>29.44903394001236</v>
      </c>
      <c r="AF40" s="19">
        <f t="shared" si="1"/>
        <v>10.299896605828193</v>
      </c>
      <c r="AG40" s="2" t="s">
        <v>146</v>
      </c>
      <c r="AH40" s="13">
        <v>-1.5</v>
      </c>
      <c r="AI40" s="13">
        <v>1.5</v>
      </c>
      <c r="AJ40" s="19">
        <f>IF(Abschlüsse[[#This Row],[Ergeb]]="ET","",SQRT(($AC40-$AH40)^2+($AD40-$AI40)^2))</f>
        <v>29.516944286290883</v>
      </c>
      <c r="AK40" s="3">
        <v>0</v>
      </c>
      <c r="AL40" s="13"/>
      <c r="AM40" s="13"/>
      <c r="AN40" s="19" t="str">
        <f t="shared" si="2"/>
        <v/>
      </c>
      <c r="AO40" s="3">
        <v>3</v>
      </c>
      <c r="AP40" s="13">
        <v>-17</v>
      </c>
      <c r="AQ40" s="13">
        <v>20.5</v>
      </c>
      <c r="AR40" s="19">
        <f t="shared" si="3"/>
        <v>5</v>
      </c>
      <c r="AS40" s="1"/>
    </row>
    <row r="41" spans="1:45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COUNTIFS($A$2:$A41,$A41,$B$2:$B41,$B41,$L$2:$L41,"&lt;&gt;ET")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X41" s="2" t="s">
        <v>151</v>
      </c>
      <c r="Y41" s="17" t="s">
        <v>143</v>
      </c>
      <c r="Z41" s="14" t="s">
        <v>144</v>
      </c>
      <c r="AA41" s="14" t="s">
        <v>145</v>
      </c>
      <c r="AB41" s="18"/>
      <c r="AC41" s="13">
        <v>-2</v>
      </c>
      <c r="AD41" s="13">
        <v>14</v>
      </c>
      <c r="AE41" s="19">
        <f t="shared" si="0"/>
        <v>14</v>
      </c>
      <c r="AF41" s="19">
        <f t="shared" si="1"/>
        <v>28.774850708538143</v>
      </c>
      <c r="AG41" s="2" t="s">
        <v>146</v>
      </c>
      <c r="AH41" s="13">
        <v>0</v>
      </c>
      <c r="AI41" s="13">
        <v>2</v>
      </c>
      <c r="AJ41" s="19">
        <f>IF(Abschlüsse[[#This Row],[Ergeb]]="ET","",SQRT(($AC41-$AH41)^2+($AD41-$AI41)^2))</f>
        <v>12.165525060596439</v>
      </c>
      <c r="AK41" s="3">
        <v>2</v>
      </c>
      <c r="AL41" s="13">
        <v>-3.5</v>
      </c>
      <c r="AM41" s="13">
        <v>13.5</v>
      </c>
      <c r="AN41" s="19">
        <f t="shared" si="2"/>
        <v>1.5811388300841898</v>
      </c>
      <c r="AO41" s="3">
        <v>1</v>
      </c>
      <c r="AP41" s="13">
        <v>-1.5</v>
      </c>
      <c r="AQ41" s="13">
        <v>9.5</v>
      </c>
      <c r="AR41" s="19">
        <f t="shared" si="3"/>
        <v>4.5276925690687087</v>
      </c>
      <c r="AS41" s="1"/>
    </row>
    <row r="42" spans="1:45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COUNTIFS($A$2:$A42,$A42,$B$2:$B42,$B42,$L$2:$L42,"&lt;&gt;ET")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X42" s="2" t="s">
        <v>151</v>
      </c>
      <c r="Y42" s="17" t="s">
        <v>143</v>
      </c>
      <c r="Z42" s="14" t="s">
        <v>150</v>
      </c>
      <c r="AA42" s="14" t="s">
        <v>156</v>
      </c>
      <c r="AB42" s="18">
        <v>18</v>
      </c>
      <c r="AC42" s="13">
        <v>-14.5</v>
      </c>
      <c r="AD42" s="13">
        <v>20.5</v>
      </c>
      <c r="AE42" s="19">
        <f t="shared" si="0"/>
        <v>23.189557994925217</v>
      </c>
      <c r="AF42" s="19">
        <f t="shared" si="1"/>
        <v>13.667233023059934</v>
      </c>
      <c r="AG42" s="2" t="s">
        <v>146</v>
      </c>
      <c r="AH42" s="13">
        <v>-1.5</v>
      </c>
      <c r="AI42" s="13">
        <v>2</v>
      </c>
      <c r="AJ42" s="19">
        <f>IF(Abschlüsse[[#This Row],[Ergeb]]="ET","",SQRT(($AC42-$AH42)^2+($AD42-$AI42)^2))</f>
        <v>22.610838109190027</v>
      </c>
      <c r="AK42" s="3">
        <v>2</v>
      </c>
      <c r="AL42" s="13">
        <v>-15</v>
      </c>
      <c r="AM42" s="13">
        <v>23.5</v>
      </c>
      <c r="AN42" s="19">
        <f t="shared" si="2"/>
        <v>3.0413812651491097</v>
      </c>
      <c r="AO42" s="3">
        <v>2</v>
      </c>
      <c r="AP42" s="13">
        <v>-13</v>
      </c>
      <c r="AQ42" s="13">
        <v>17</v>
      </c>
      <c r="AR42" s="19">
        <f t="shared" si="3"/>
        <v>3.8078865529319543</v>
      </c>
      <c r="AS42" s="1"/>
    </row>
    <row r="43" spans="1:45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COUNTIFS($A$2:$A43,$A43,$B$2:$B43,$B43,$L$2:$L43,"&lt;&gt;ET")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2">
        <v>20</v>
      </c>
      <c r="P43" s="2">
        <v>8</v>
      </c>
      <c r="X43" s="2" t="s">
        <v>154</v>
      </c>
      <c r="Y43" s="17" t="s">
        <v>160</v>
      </c>
      <c r="Z43" s="14" t="s">
        <v>161</v>
      </c>
      <c r="AA43" s="14" t="s">
        <v>156</v>
      </c>
      <c r="AB43" s="18">
        <v>13</v>
      </c>
      <c r="AC43" s="13">
        <v>-4.5</v>
      </c>
      <c r="AD43" s="13">
        <v>3.5</v>
      </c>
      <c r="AE43" s="19">
        <f t="shared" si="0"/>
        <v>3.5993888370110834</v>
      </c>
      <c r="AF43" s="19">
        <f t="shared" si="1"/>
        <v>53.288729805720948</v>
      </c>
      <c r="AG43" s="2" t="s">
        <v>146</v>
      </c>
      <c r="AH43" s="13">
        <v>-2</v>
      </c>
      <c r="AI43" s="13">
        <v>0.5</v>
      </c>
      <c r="AJ43" s="19">
        <f>IF(Abschlüsse[[#This Row],[Ergeb]]="ET","",SQRT(($AC43-$AH43)^2+($AD43-$AI43)^2))</f>
        <v>3.905124837953327</v>
      </c>
      <c r="AK43" s="3">
        <v>1</v>
      </c>
      <c r="AL43" s="13">
        <v>-4</v>
      </c>
      <c r="AM43" s="13">
        <v>4</v>
      </c>
      <c r="AN43" s="19">
        <f t="shared" si="2"/>
        <v>0.70710678118654757</v>
      </c>
      <c r="AO43" s="3">
        <v>0</v>
      </c>
      <c r="AR43" s="19" t="str">
        <f t="shared" si="3"/>
        <v/>
      </c>
      <c r="AS43" s="1"/>
    </row>
    <row r="44" spans="1:45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COUNTIFS($A$2:$A44,$A44,$B$2:$B44,$B44,$L$2:$L44,"&lt;&gt;ET")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2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X44" s="2" t="s">
        <v>142</v>
      </c>
      <c r="Y44" s="17" t="s">
        <v>143</v>
      </c>
      <c r="Z44" s="14" t="s">
        <v>150</v>
      </c>
      <c r="AA44" s="14" t="s">
        <v>145</v>
      </c>
      <c r="AB44" s="18">
        <v>9</v>
      </c>
      <c r="AC44" s="13">
        <v>5.5</v>
      </c>
      <c r="AD44" s="13">
        <v>24.5</v>
      </c>
      <c r="AE44" s="19">
        <f t="shared" si="0"/>
        <v>24.568996723513152</v>
      </c>
      <c r="AF44" s="19">
        <f t="shared" si="1"/>
        <v>16.204674570321444</v>
      </c>
      <c r="AG44" s="2" t="s">
        <v>146</v>
      </c>
      <c r="AH44" s="13">
        <v>0.5</v>
      </c>
      <c r="AI44" s="13">
        <v>2.5</v>
      </c>
      <c r="AJ44" s="19">
        <f>IF(Abschlüsse[[#This Row],[Ergeb]]="ET","",SQRT(($AC44-$AH44)^2+($AD44-$AI44)^2))</f>
        <v>22.561028345356956</v>
      </c>
      <c r="AK44" s="3">
        <v>0</v>
      </c>
      <c r="AL44" s="13"/>
      <c r="AM44" s="13"/>
      <c r="AN44" s="19" t="str">
        <f t="shared" si="2"/>
        <v/>
      </c>
      <c r="AO44" s="3">
        <v>2</v>
      </c>
      <c r="AP44" s="13">
        <v>3.5</v>
      </c>
      <c r="AQ44" s="13">
        <v>16</v>
      </c>
      <c r="AR44" s="19">
        <f t="shared" si="3"/>
        <v>8.7321245982864895</v>
      </c>
      <c r="AS44" s="1"/>
    </row>
    <row r="45" spans="1:45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COUNTIFS($A$2:$A45,$A45,$B$2:$B45,$B45,$L$2:$L45,"&lt;&gt;ET")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2">
        <v>13</v>
      </c>
      <c r="P45" s="2">
        <v>19</v>
      </c>
      <c r="X45" s="2" t="s">
        <v>151</v>
      </c>
      <c r="Y45" s="17" t="s">
        <v>143</v>
      </c>
      <c r="Z45" s="14" t="s">
        <v>150</v>
      </c>
      <c r="AA45" s="14" t="s">
        <v>156</v>
      </c>
      <c r="AB45" s="18">
        <v>18</v>
      </c>
      <c r="AC45" s="13">
        <v>-18</v>
      </c>
      <c r="AD45" s="13">
        <v>24.5</v>
      </c>
      <c r="AE45" s="19">
        <f t="shared" si="0"/>
        <v>28.388124277591853</v>
      </c>
      <c r="AF45" s="19">
        <f t="shared" si="1"/>
        <v>11.138607708814257</v>
      </c>
      <c r="AG45" s="2" t="s">
        <v>146</v>
      </c>
      <c r="AH45" s="13">
        <v>-1.5</v>
      </c>
      <c r="AI45" s="13">
        <v>1.5</v>
      </c>
      <c r="AJ45" s="19">
        <f>IF(Abschlüsse[[#This Row],[Ergeb]]="ET","",SQRT(($AC45-$AH45)^2+($AD45-$AI45)^2))</f>
        <v>28.306359709436322</v>
      </c>
      <c r="AK45" s="3">
        <v>1</v>
      </c>
      <c r="AL45" s="13">
        <v>-18</v>
      </c>
      <c r="AM45" s="13">
        <v>21.5</v>
      </c>
      <c r="AN45" s="19">
        <f t="shared" si="2"/>
        <v>3</v>
      </c>
      <c r="AO45" s="3">
        <v>1</v>
      </c>
      <c r="AP45" s="13">
        <v>-9.5</v>
      </c>
      <c r="AQ45" s="13">
        <v>16</v>
      </c>
      <c r="AR45" s="19">
        <f t="shared" si="3"/>
        <v>12.020815280171307</v>
      </c>
      <c r="AS45" s="1"/>
    </row>
    <row r="46" spans="1:45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COUNTIFS($A$2:$A46,$A46,$B$2:$B46,$B46,$L$2:$L46,"&lt;&gt;ET")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2">
        <v>8</v>
      </c>
      <c r="P46" s="2">
        <v>18</v>
      </c>
      <c r="Q46" s="2">
        <v>23</v>
      </c>
      <c r="R46" s="2">
        <v>5</v>
      </c>
      <c r="X46" s="2" t="s">
        <v>142</v>
      </c>
      <c r="Y46" s="17" t="s">
        <v>143</v>
      </c>
      <c r="Z46" s="14" t="s">
        <v>150</v>
      </c>
      <c r="AA46" s="14" t="s">
        <v>156</v>
      </c>
      <c r="AB46" s="18">
        <v>25</v>
      </c>
      <c r="AC46" s="13">
        <v>14</v>
      </c>
      <c r="AD46" s="13">
        <v>9.5</v>
      </c>
      <c r="AE46" s="19">
        <f t="shared" si="0"/>
        <v>14.041566864135925</v>
      </c>
      <c r="AF46" s="19">
        <f t="shared" si="1"/>
        <v>14.29808453045605</v>
      </c>
      <c r="AG46" s="2" t="s">
        <v>146</v>
      </c>
      <c r="AH46" s="13">
        <v>4</v>
      </c>
      <c r="AI46" s="13">
        <v>3</v>
      </c>
      <c r="AJ46" s="19">
        <f>IF(Abschlüsse[[#This Row],[Ergeb]]="ET","",SQRT(($AC46-$AH46)^2+($AD46-$AI46)^2))</f>
        <v>11.926860441876563</v>
      </c>
      <c r="AK46" s="3">
        <v>1</v>
      </c>
      <c r="AL46" s="13">
        <v>11</v>
      </c>
      <c r="AM46" s="13">
        <v>10.5</v>
      </c>
      <c r="AN46" s="19">
        <f t="shared" si="2"/>
        <v>3.1622776601683795</v>
      </c>
      <c r="AO46" s="3">
        <v>0</v>
      </c>
      <c r="AR46" s="19" t="str">
        <f t="shared" si="3"/>
        <v/>
      </c>
      <c r="AS46" s="1"/>
    </row>
    <row r="47" spans="1:45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COUNTIFS($A$2:$A47,$A47,$B$2:$B47,$B47,$L$2:$L47,"&lt;&gt;ET")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X47" s="2" t="s">
        <v>141</v>
      </c>
      <c r="Y47" s="17" t="s">
        <v>143</v>
      </c>
      <c r="Z47" s="14" t="s">
        <v>144</v>
      </c>
      <c r="AA47" s="14" t="s">
        <v>145</v>
      </c>
      <c r="AB47" s="18"/>
      <c r="AC47" s="13">
        <v>-5.5</v>
      </c>
      <c r="AD47" s="13">
        <v>2</v>
      </c>
      <c r="AE47" s="19">
        <f t="shared" si="0"/>
        <v>2.7176460402340843</v>
      </c>
      <c r="AF47" s="19">
        <f t="shared" si="1"/>
        <v>35.069243744741968</v>
      </c>
      <c r="AG47" s="2" t="s">
        <v>146</v>
      </c>
      <c r="AH47" s="13">
        <v>-4</v>
      </c>
      <c r="AI47" s="13">
        <v>1.5</v>
      </c>
      <c r="AJ47" s="19">
        <f>IF(Abschlüsse[[#This Row],[Ergeb]]="ET","",SQRT(($AC47-$AH47)^2+($AD47-$AI47)^2))</f>
        <v>1.5811388300841898</v>
      </c>
      <c r="AK47" s="3">
        <v>1</v>
      </c>
      <c r="AL47" s="13">
        <v>-5.5</v>
      </c>
      <c r="AM47" s="13">
        <v>5.5</v>
      </c>
      <c r="AN47" s="19">
        <f t="shared" si="2"/>
        <v>3.5</v>
      </c>
      <c r="AO47" s="3">
        <v>0</v>
      </c>
      <c r="AR47" s="19" t="str">
        <f t="shared" si="3"/>
        <v/>
      </c>
      <c r="AS47" s="1"/>
    </row>
    <row r="48" spans="1:45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COUNTIFS($A$2:$A48,$A48,$B$2:$B48,$B48,$L$2:$L48,"&lt;&gt;ET")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2">
        <v>26</v>
      </c>
      <c r="P48" s="2">
        <v>13</v>
      </c>
      <c r="X48" s="2" t="s">
        <v>151</v>
      </c>
      <c r="Y48" s="17" t="s">
        <v>143</v>
      </c>
      <c r="Z48" s="14" t="s">
        <v>150</v>
      </c>
      <c r="AA48" s="14" t="s">
        <v>145</v>
      </c>
      <c r="AB48" s="18">
        <v>23</v>
      </c>
      <c r="AC48" s="13">
        <v>10</v>
      </c>
      <c r="AD48" s="13">
        <v>20</v>
      </c>
      <c r="AE48" s="19">
        <f t="shared" si="0"/>
        <v>20.980838877413838</v>
      </c>
      <c r="AF48" s="19">
        <f t="shared" si="1"/>
        <v>16.744460989314298</v>
      </c>
      <c r="AG48" s="2" t="s">
        <v>146</v>
      </c>
      <c r="AH48" s="13">
        <v>1.5</v>
      </c>
      <c r="AI48" s="13">
        <v>2.5</v>
      </c>
      <c r="AJ48" s="19">
        <f>IF(Abschlüsse[[#This Row],[Ergeb]]="ET","",SQRT(($AC48-$AH48)^2+($AD48-$AI48)^2))</f>
        <v>19.455076458343719</v>
      </c>
      <c r="AK48" s="3">
        <v>0</v>
      </c>
      <c r="AL48" s="13"/>
      <c r="AM48" s="13"/>
      <c r="AN48" s="19" t="str">
        <f t="shared" si="2"/>
        <v/>
      </c>
      <c r="AO48" s="3">
        <v>3</v>
      </c>
      <c r="AP48" s="13">
        <v>8</v>
      </c>
      <c r="AQ48" s="13">
        <v>16.5</v>
      </c>
      <c r="AR48" s="19">
        <f t="shared" si="3"/>
        <v>4.0311288741492746</v>
      </c>
      <c r="AS48" s="1"/>
    </row>
    <row r="49" spans="1:45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COUNTIFS($A$2:$A49,$A49,$B$2:$B49,$B49,$L$2:$L49,"&lt;&gt;ET")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2">
        <v>9</v>
      </c>
      <c r="P49" s="2">
        <v>8</v>
      </c>
      <c r="X49" s="2" t="s">
        <v>141</v>
      </c>
      <c r="Y49" s="17" t="s">
        <v>160</v>
      </c>
      <c r="Z49" s="14" t="s">
        <v>161</v>
      </c>
      <c r="AA49" s="14" t="s">
        <v>145</v>
      </c>
      <c r="AB49" s="18">
        <v>13</v>
      </c>
      <c r="AC49" s="13">
        <v>3.5</v>
      </c>
      <c r="AD49" s="13">
        <v>1.5</v>
      </c>
      <c r="AE49" s="19">
        <f t="shared" si="0"/>
        <v>1.5</v>
      </c>
      <c r="AF49" s="19">
        <f t="shared" si="1"/>
        <v>84.256342985126778</v>
      </c>
      <c r="AG49" s="2" t="s">
        <v>169</v>
      </c>
      <c r="AH49" s="13">
        <v>-1</v>
      </c>
      <c r="AI49" s="13">
        <v>0.5</v>
      </c>
      <c r="AJ49" s="19">
        <f>IF(Abschlüsse[[#This Row],[Ergeb]]="ET","",SQRT(($AC49-$AH49)^2+($AD49-$AI49)^2))</f>
        <v>4.6097722286464435</v>
      </c>
      <c r="AK49" s="3">
        <v>1</v>
      </c>
      <c r="AL49" s="13">
        <v>4</v>
      </c>
      <c r="AM49" s="13">
        <v>1.5</v>
      </c>
      <c r="AN49" s="19">
        <f t="shared" si="2"/>
        <v>0.5</v>
      </c>
      <c r="AO49" s="3">
        <v>0</v>
      </c>
      <c r="AR49" s="19" t="str">
        <f t="shared" si="3"/>
        <v/>
      </c>
      <c r="AS49" s="1"/>
    </row>
    <row r="50" spans="1:45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COUNTIFS($A$2:$A50,$A50,$B$2:$B50,$B50,$L$2:$L50,"&lt;&gt;ET")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X50" s="2" t="s">
        <v>142</v>
      </c>
      <c r="Y50" s="17" t="s">
        <v>149</v>
      </c>
      <c r="Z50" s="14" t="s">
        <v>150</v>
      </c>
      <c r="AA50" s="14" t="s">
        <v>145</v>
      </c>
      <c r="AB50" s="18"/>
      <c r="AC50" s="13">
        <v>16.5</v>
      </c>
      <c r="AD50" s="13">
        <v>10</v>
      </c>
      <c r="AE50" s="19">
        <f t="shared" si="0"/>
        <v>16.274692009374554</v>
      </c>
      <c r="AF50" s="19">
        <f t="shared" si="1"/>
        <v>11.529165064411258</v>
      </c>
      <c r="AG50" s="2" t="s">
        <v>146</v>
      </c>
      <c r="AH50" s="13">
        <v>3</v>
      </c>
      <c r="AI50" s="13">
        <v>0.5</v>
      </c>
      <c r="AJ50" s="19">
        <f>IF(Abschlüsse[[#This Row],[Ergeb]]="ET","",SQRT(($AC50-$AH50)^2+($AD50-$AI50)^2))</f>
        <v>16.507574019219177</v>
      </c>
      <c r="AK50" s="3">
        <v>1</v>
      </c>
      <c r="AL50" s="13">
        <v>14</v>
      </c>
      <c r="AM50" s="13">
        <v>10.5</v>
      </c>
      <c r="AN50" s="19">
        <f t="shared" si="2"/>
        <v>2.5495097567963922</v>
      </c>
      <c r="AO50" s="3">
        <v>0</v>
      </c>
      <c r="AR50" s="19" t="str">
        <f t="shared" si="3"/>
        <v/>
      </c>
      <c r="AS50" s="1"/>
    </row>
    <row r="51" spans="1:45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COUNTIFS($A$2:$A51,$A51,$B$2:$B51,$B51,$L$2:$L51,"&lt;&gt;ET")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X51" s="2" t="s">
        <v>151</v>
      </c>
      <c r="Y51" s="17" t="s">
        <v>143</v>
      </c>
      <c r="Z51" s="14" t="s">
        <v>150</v>
      </c>
      <c r="AA51" s="14" t="s">
        <v>156</v>
      </c>
      <c r="AB51" s="18"/>
      <c r="AC51" s="13">
        <v>-10</v>
      </c>
      <c r="AD51" s="13">
        <v>19.5</v>
      </c>
      <c r="AE51" s="19">
        <f t="shared" si="0"/>
        <v>20.504770176717418</v>
      </c>
      <c r="AF51" s="19">
        <f t="shared" si="1"/>
        <v>17.000930002754252</v>
      </c>
      <c r="AG51" s="2" t="s">
        <v>146</v>
      </c>
      <c r="AH51" s="13">
        <v>-1.5</v>
      </c>
      <c r="AI51" s="13">
        <v>1.5</v>
      </c>
      <c r="AJ51" s="19">
        <f>IF(Abschlüsse[[#This Row],[Ergeb]]="ET","",SQRT(($AC51-$AH51)^2+($AD51-$AI51)^2))</f>
        <v>19.906029237394382</v>
      </c>
      <c r="AK51" s="3">
        <v>1</v>
      </c>
      <c r="AL51" s="13">
        <v>-10.5</v>
      </c>
      <c r="AM51" s="13">
        <v>18.5</v>
      </c>
      <c r="AN51" s="19">
        <f t="shared" si="2"/>
        <v>1.1180339887498949</v>
      </c>
      <c r="AO51" s="3">
        <v>1</v>
      </c>
      <c r="AP51" s="13">
        <v>-9</v>
      </c>
      <c r="AQ51" s="13">
        <v>16.5</v>
      </c>
      <c r="AR51" s="19">
        <f t="shared" si="3"/>
        <v>3.1622776601683795</v>
      </c>
      <c r="AS51" s="1"/>
    </row>
    <row r="52" spans="1:45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COUNTIFS($A$2:$A52,$A52,$B$2:$B52,$B52,$L$2:$L52,"&lt;&gt;ET")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X52" s="22" t="s">
        <v>142</v>
      </c>
      <c r="Y52" s="18" t="s">
        <v>143</v>
      </c>
      <c r="Z52" s="14" t="s">
        <v>150</v>
      </c>
      <c r="AA52" s="14" t="s">
        <v>145</v>
      </c>
      <c r="AB52" s="18"/>
      <c r="AC52" s="13">
        <v>-15.5</v>
      </c>
      <c r="AD52" s="13">
        <v>17.5</v>
      </c>
      <c r="AE52" s="19">
        <f t="shared" si="0"/>
        <v>21.129022693915591</v>
      </c>
      <c r="AF52" s="19">
        <f t="shared" si="1"/>
        <v>13.511478004089192</v>
      </c>
      <c r="AG52" s="3" t="s">
        <v>146</v>
      </c>
      <c r="AH52" s="13">
        <v>-3</v>
      </c>
      <c r="AI52" s="13">
        <v>1</v>
      </c>
      <c r="AJ52" s="19">
        <f>IF(Abschlüsse[[#This Row],[Ergeb]]="ET","",SQRT(($AC52-$AH52)^2+($AD52-$AI52)^2))</f>
        <v>20.700241544484452</v>
      </c>
      <c r="AK52" s="3">
        <v>1</v>
      </c>
      <c r="AL52" s="13">
        <v>-15.5</v>
      </c>
      <c r="AM52" s="13">
        <v>19</v>
      </c>
      <c r="AN52" s="19">
        <f t="shared" si="2"/>
        <v>1.5</v>
      </c>
      <c r="AO52" s="3">
        <v>0</v>
      </c>
      <c r="AR52" s="19" t="str">
        <f t="shared" si="3"/>
        <v/>
      </c>
      <c r="AS52" s="1"/>
    </row>
    <row r="53" spans="1:45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COUNTIFS($A$2:$A53,$A53,$B$2:$B53,$B53,$L$2:$L53,"&lt;&gt;ET")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X53" s="2" t="s">
        <v>151</v>
      </c>
      <c r="Y53" s="17" t="s">
        <v>149</v>
      </c>
      <c r="Z53" s="14" t="s">
        <v>150</v>
      </c>
      <c r="AA53" s="14" t="s">
        <v>145</v>
      </c>
      <c r="AB53" s="18">
        <v>9</v>
      </c>
      <c r="AC53" s="13">
        <v>9.5</v>
      </c>
      <c r="AD53" s="13">
        <v>9</v>
      </c>
      <c r="AE53" s="19">
        <f t="shared" si="0"/>
        <v>10.728727790376638</v>
      </c>
      <c r="AF53" s="19">
        <f t="shared" si="1"/>
        <v>22.65305221349832</v>
      </c>
      <c r="AG53" s="2" t="s">
        <v>146</v>
      </c>
      <c r="AH53" s="13">
        <v>3</v>
      </c>
      <c r="AI53" s="13">
        <v>1.5</v>
      </c>
      <c r="AJ53" s="19">
        <f>IF(Abschlüsse[[#This Row],[Ergeb]]="ET","",SQRT(($AC53-$AH53)^2+($AD53-$AI53)^2))</f>
        <v>9.9247166206396038</v>
      </c>
      <c r="AK53" s="3">
        <v>1</v>
      </c>
      <c r="AL53" s="13">
        <v>11.5</v>
      </c>
      <c r="AM53" s="13">
        <v>9</v>
      </c>
      <c r="AN53" s="19">
        <f t="shared" si="2"/>
        <v>2</v>
      </c>
      <c r="AO53" s="3">
        <v>1</v>
      </c>
      <c r="AP53" s="13">
        <v>9</v>
      </c>
      <c r="AQ53" s="13">
        <v>8.5</v>
      </c>
      <c r="AR53" s="19">
        <f t="shared" si="3"/>
        <v>0.70710678118654757</v>
      </c>
      <c r="AS53" s="1"/>
    </row>
    <row r="54" spans="1:45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COUNTIFS($A$2:$A54,$A54,$B$2:$B54,$B54,$L$2:$L54,"&lt;&gt;ET")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X54" s="2" t="s">
        <v>142</v>
      </c>
      <c r="Y54" s="17" t="s">
        <v>143</v>
      </c>
      <c r="Z54" s="14" t="s">
        <v>150</v>
      </c>
      <c r="AA54" s="14" t="s">
        <v>145</v>
      </c>
      <c r="AB54" s="18">
        <v>7</v>
      </c>
      <c r="AC54" s="13">
        <v>0</v>
      </c>
      <c r="AD54" s="13">
        <v>11</v>
      </c>
      <c r="AE54" s="19">
        <f t="shared" si="0"/>
        <v>11</v>
      </c>
      <c r="AF54" s="19">
        <f t="shared" si="1"/>
        <v>36.807381798785883</v>
      </c>
      <c r="AG54" s="2" t="s">
        <v>146</v>
      </c>
      <c r="AH54" s="13">
        <v>0</v>
      </c>
      <c r="AI54" s="13">
        <v>0</v>
      </c>
      <c r="AJ54" s="19">
        <f>IF(Abschlüsse[[#This Row],[Ergeb]]="ET","",SQRT(($AC54-$AH54)^2+($AD54-$AI54)^2))</f>
        <v>11</v>
      </c>
      <c r="AK54" s="3">
        <v>0</v>
      </c>
      <c r="AL54" s="13"/>
      <c r="AM54" s="13"/>
      <c r="AN54" s="19" t="str">
        <f t="shared" si="2"/>
        <v/>
      </c>
      <c r="AO54" s="3">
        <v>0</v>
      </c>
      <c r="AR54" s="19" t="str">
        <f t="shared" si="3"/>
        <v/>
      </c>
      <c r="AS54" s="1"/>
    </row>
    <row r="55" spans="1:45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COUNTIFS($A$2:$A55,$A55,$B$2:$B55,$B55,$L$2:$L55,"&lt;&gt;ET")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2">
        <v>9</v>
      </c>
      <c r="X55" s="2" t="s">
        <v>151</v>
      </c>
      <c r="Y55" s="17" t="s">
        <v>143</v>
      </c>
      <c r="Z55" s="14" t="s">
        <v>150</v>
      </c>
      <c r="AA55" s="14" t="s">
        <v>156</v>
      </c>
      <c r="AB55" s="18">
        <v>7</v>
      </c>
      <c r="AC55" s="13">
        <v>-3</v>
      </c>
      <c r="AD55" s="13">
        <v>12</v>
      </c>
      <c r="AE55" s="19">
        <f t="shared" si="0"/>
        <v>12</v>
      </c>
      <c r="AF55" s="19">
        <f t="shared" si="1"/>
        <v>32.17837078204991</v>
      </c>
      <c r="AG55" s="2" t="s">
        <v>146</v>
      </c>
      <c r="AH55" s="13">
        <v>-0.5</v>
      </c>
      <c r="AI55" s="13">
        <v>2</v>
      </c>
      <c r="AJ55" s="19">
        <f>IF(Abschlüsse[[#This Row],[Ergeb]]="ET","",SQRT(($AC55-$AH55)^2+($AD55-$AI55)^2))</f>
        <v>10.307764064044152</v>
      </c>
      <c r="AK55" s="3">
        <v>1</v>
      </c>
      <c r="AL55" s="13">
        <v>-5</v>
      </c>
      <c r="AM55" s="13">
        <v>11</v>
      </c>
      <c r="AN55" s="19">
        <f t="shared" si="2"/>
        <v>2.2360679774997898</v>
      </c>
      <c r="AO55" s="3">
        <v>1</v>
      </c>
      <c r="AP55" s="13">
        <v>-3</v>
      </c>
      <c r="AQ55" s="13">
        <v>11.5</v>
      </c>
      <c r="AR55" s="19">
        <f t="shared" si="3"/>
        <v>0.5</v>
      </c>
    </row>
    <row r="56" spans="1:45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COUNTIFS($A$2:$A56,$A56,$B$2:$B56,$B56,$L$2:$L56,"&lt;&gt;ET")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X56" s="2" t="s">
        <v>142</v>
      </c>
      <c r="Y56" s="17" t="s">
        <v>143</v>
      </c>
      <c r="Z56" s="14" t="s">
        <v>150</v>
      </c>
      <c r="AA56" s="14" t="s">
        <v>145</v>
      </c>
      <c r="AB56" s="18"/>
      <c r="AC56" s="13">
        <v>5</v>
      </c>
      <c r="AD56" s="13">
        <v>6</v>
      </c>
      <c r="AE56" s="19">
        <f t="shared" si="0"/>
        <v>6.1478126191353617</v>
      </c>
      <c r="AF56" s="19">
        <f t="shared" si="1"/>
        <v>42.694749722725838</v>
      </c>
      <c r="AG56" s="2" t="s">
        <v>146</v>
      </c>
      <c r="AH56" s="13">
        <v>1</v>
      </c>
      <c r="AI56" s="13">
        <v>0.5</v>
      </c>
      <c r="AJ56" s="19">
        <f>IF(Abschlüsse[[#This Row],[Ergeb]]="ET","",SQRT(($AC56-$AH56)^2+($AD56-$AI56)^2))</f>
        <v>6.800735254367722</v>
      </c>
      <c r="AK56" s="3">
        <v>1</v>
      </c>
      <c r="AL56" s="13">
        <v>3</v>
      </c>
      <c r="AM56" s="13">
        <v>6.5</v>
      </c>
      <c r="AN56" s="19">
        <f t="shared" si="2"/>
        <v>2.0615528128088303</v>
      </c>
      <c r="AO56" s="3">
        <v>2</v>
      </c>
      <c r="AP56" s="13">
        <v>4</v>
      </c>
      <c r="AQ56" s="13">
        <v>3</v>
      </c>
      <c r="AR56" s="19">
        <f t="shared" si="3"/>
        <v>3.1622776601683795</v>
      </c>
    </row>
    <row r="57" spans="1:45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COUNTIFS($A$2:$A57,$A57,$B$2:$B57,$B57,$L$2:$L57,"&lt;&gt;ET")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X57" s="2" t="s">
        <v>141</v>
      </c>
      <c r="Y57" s="17" t="s">
        <v>143</v>
      </c>
      <c r="Z57" s="14" t="s">
        <v>144</v>
      </c>
      <c r="AA57" s="14" t="s">
        <v>145</v>
      </c>
      <c r="AB57" s="18"/>
      <c r="AC57" s="13">
        <v>-8.5</v>
      </c>
      <c r="AD57" s="13">
        <v>17</v>
      </c>
      <c r="AE57" s="19">
        <f t="shared" si="0"/>
        <v>17.675565054617064</v>
      </c>
      <c r="AF57" s="19">
        <f t="shared" si="1"/>
        <v>19.683952486172121</v>
      </c>
      <c r="AG57" s="2" t="s">
        <v>146</v>
      </c>
      <c r="AH57" s="13">
        <v>-3.5</v>
      </c>
      <c r="AI57" s="13">
        <v>6</v>
      </c>
      <c r="AJ57" s="19">
        <f>IF(Abschlüsse[[#This Row],[Ergeb]]="ET","",SQRT(($AC57-$AH57)^2+($AD57-$AI57)^2))</f>
        <v>12.083045973594572</v>
      </c>
      <c r="AK57" s="3">
        <v>1</v>
      </c>
      <c r="AL57" s="13">
        <v>-6.5</v>
      </c>
      <c r="AM57" s="13">
        <v>18.5</v>
      </c>
      <c r="AN57" s="19">
        <f t="shared" si="2"/>
        <v>2.5</v>
      </c>
      <c r="AO57" s="3">
        <v>0</v>
      </c>
      <c r="AR57" s="19" t="str">
        <f t="shared" si="3"/>
        <v/>
      </c>
    </row>
    <row r="58" spans="1:45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COUNTIFS($A$2:$A58,$A58,$B$2:$B58,$B58,$L$2:$L58,"&lt;&gt;ET")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X58" s="2" t="s">
        <v>151</v>
      </c>
      <c r="Y58" s="17" t="s">
        <v>149</v>
      </c>
      <c r="Z58" s="14" t="s">
        <v>150</v>
      </c>
      <c r="AA58" s="14" t="s">
        <v>145</v>
      </c>
      <c r="AB58" s="18">
        <v>27</v>
      </c>
      <c r="AC58" s="13">
        <v>0.5</v>
      </c>
      <c r="AD58" s="13">
        <v>12.5</v>
      </c>
      <c r="AE58" s="19">
        <f t="shared" si="0"/>
        <v>12.5</v>
      </c>
      <c r="AF58" s="19">
        <f t="shared" si="1"/>
        <v>32.594577388569007</v>
      </c>
      <c r="AG58" s="2" t="s">
        <v>146</v>
      </c>
      <c r="AH58" s="13">
        <v>0</v>
      </c>
      <c r="AI58" s="13">
        <v>2.5</v>
      </c>
      <c r="AJ58" s="19">
        <f>IF(Abschlüsse[[#This Row],[Ergeb]]="ET","",SQRT(($AC58-$AH58)^2+($AD58-$AI58)^2))</f>
        <v>10.012492197250394</v>
      </c>
      <c r="AK58" s="3">
        <v>1</v>
      </c>
      <c r="AL58" s="13">
        <v>-2</v>
      </c>
      <c r="AM58" s="13">
        <v>14</v>
      </c>
      <c r="AN58" s="19">
        <f t="shared" si="2"/>
        <v>2.9154759474226504</v>
      </c>
      <c r="AO58" s="3">
        <v>0</v>
      </c>
      <c r="AR58" s="19" t="str">
        <f t="shared" si="3"/>
        <v/>
      </c>
    </row>
    <row r="59" spans="1:45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COUNTIFS($A$2:$A59,$A59,$B$2:$B59,$B59,$L$2:$L59,"&lt;&gt;ET")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X59" s="2" t="s">
        <v>151</v>
      </c>
      <c r="Y59" s="17" t="s">
        <v>149</v>
      </c>
      <c r="Z59" s="14" t="s">
        <v>150</v>
      </c>
      <c r="AA59" s="14" t="s">
        <v>145</v>
      </c>
      <c r="AB59" s="18"/>
      <c r="AC59" s="13">
        <v>11.5</v>
      </c>
      <c r="AD59" s="13">
        <v>12.5</v>
      </c>
      <c r="AE59" s="19">
        <f t="shared" si="0"/>
        <v>14.755188917801087</v>
      </c>
      <c r="AF59" s="19">
        <f t="shared" si="1"/>
        <v>18.397177154580994</v>
      </c>
      <c r="AG59" s="2" t="s">
        <v>146</v>
      </c>
      <c r="AH59" s="13">
        <v>2</v>
      </c>
      <c r="AI59" s="13">
        <v>1</v>
      </c>
      <c r="AJ59" s="19">
        <f>IF(Abschlüsse[[#This Row],[Ergeb]]="ET","",SQRT(($AC59-$AH59)^2+($AD59-$AI59)^2))</f>
        <v>14.916433890176299</v>
      </c>
      <c r="AK59" s="3">
        <v>2</v>
      </c>
      <c r="AL59" s="13">
        <v>13</v>
      </c>
      <c r="AM59" s="13">
        <v>10</v>
      </c>
      <c r="AN59" s="19">
        <f t="shared" si="2"/>
        <v>2.9154759474226504</v>
      </c>
      <c r="AO59" s="3">
        <v>1</v>
      </c>
      <c r="AP59" s="13">
        <v>6.5</v>
      </c>
      <c r="AQ59" s="13">
        <v>8</v>
      </c>
      <c r="AR59" s="19">
        <f t="shared" si="3"/>
        <v>6.7268120235368549</v>
      </c>
    </row>
    <row r="60" spans="1:45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COUNTIFS($A$2:$A60,$A60,$B$2:$B60,$B60,$L$2:$L60,"&lt;&gt;ET")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X60" s="2" t="s">
        <v>142</v>
      </c>
      <c r="Y60" s="17" t="s">
        <v>149</v>
      </c>
      <c r="Z60" s="14" t="s">
        <v>150</v>
      </c>
      <c r="AA60" s="14" t="s">
        <v>156</v>
      </c>
      <c r="AB60" s="18"/>
      <c r="AC60" s="13">
        <v>3.5</v>
      </c>
      <c r="AD60" s="13">
        <v>4</v>
      </c>
      <c r="AE60" s="19">
        <f t="shared" si="0"/>
        <v>4</v>
      </c>
      <c r="AF60" s="19">
        <f t="shared" si="1"/>
        <v>63.100298524399463</v>
      </c>
      <c r="AG60" s="2" t="s">
        <v>169</v>
      </c>
      <c r="AH60" s="13">
        <v>3.5</v>
      </c>
      <c r="AI60" s="13">
        <v>0.5</v>
      </c>
      <c r="AJ60" s="19">
        <f>IF(Abschlüsse[[#This Row],[Ergeb]]="ET","",SQRT(($AC60-$AH60)^2+($AD60-$AI60)^2))</f>
        <v>3.5</v>
      </c>
      <c r="AK60" s="3">
        <v>0</v>
      </c>
      <c r="AL60" s="13"/>
      <c r="AM60" s="13"/>
      <c r="AN60" s="19" t="str">
        <f t="shared" si="2"/>
        <v/>
      </c>
      <c r="AO60" s="3">
        <v>0</v>
      </c>
      <c r="AR60" s="19" t="str">
        <f t="shared" si="3"/>
        <v/>
      </c>
    </row>
    <row r="61" spans="1:45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COUNTIFS($A$2:$A61,$A61,$B$2:$B61,$B61,$L$2:$L61,"&lt;&gt;ET")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X61" s="2" t="s">
        <v>142</v>
      </c>
      <c r="Y61" s="17" t="s">
        <v>149</v>
      </c>
      <c r="Z61" s="14" t="s">
        <v>150</v>
      </c>
      <c r="AA61" s="14" t="s">
        <v>145</v>
      </c>
      <c r="AB61" s="18">
        <v>20</v>
      </c>
      <c r="AC61" s="13">
        <v>13.5</v>
      </c>
      <c r="AD61" s="13">
        <v>20</v>
      </c>
      <c r="AE61" s="19">
        <f t="shared" si="0"/>
        <v>22.289585011839051</v>
      </c>
      <c r="AF61" s="19">
        <f t="shared" si="1"/>
        <v>14.432407454590555</v>
      </c>
      <c r="AG61" s="2" t="s">
        <v>146</v>
      </c>
      <c r="AH61" s="13">
        <v>0.5</v>
      </c>
      <c r="AI61" s="13">
        <v>1</v>
      </c>
      <c r="AJ61" s="19">
        <f>IF(Abschlüsse[[#This Row],[Ergeb]]="ET","",SQRT(($AC61-$AH61)^2+($AD61-$AI61)^2))</f>
        <v>23.021728866442675</v>
      </c>
      <c r="AK61" s="3">
        <v>0</v>
      </c>
      <c r="AL61" s="13"/>
      <c r="AM61" s="13"/>
      <c r="AN61" s="19" t="str">
        <f t="shared" si="2"/>
        <v/>
      </c>
      <c r="AO61" s="3">
        <v>4</v>
      </c>
      <c r="AP61" s="13">
        <v>9</v>
      </c>
      <c r="AQ61" s="13">
        <v>12.5</v>
      </c>
      <c r="AR61" s="19">
        <f t="shared" si="3"/>
        <v>8.7464278422679502</v>
      </c>
    </row>
    <row r="62" spans="1:45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COUNTIFS($A$2:$A62,$A62,$B$2:$B62,$B62,$L$2:$L62,"&lt;&gt;ET")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2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X62" s="2" t="s">
        <v>142</v>
      </c>
      <c r="Y62" s="17" t="s">
        <v>143</v>
      </c>
      <c r="Z62" s="14" t="s">
        <v>150</v>
      </c>
      <c r="AA62" s="14" t="s">
        <v>156</v>
      </c>
      <c r="AB62" s="18">
        <v>7</v>
      </c>
      <c r="AC62" s="13">
        <v>13</v>
      </c>
      <c r="AD62" s="13">
        <v>11.5</v>
      </c>
      <c r="AE62" s="19">
        <f t="shared" si="0"/>
        <v>14.815046405597249</v>
      </c>
      <c r="AF62" s="19">
        <f t="shared" si="1"/>
        <v>16.30100534020518</v>
      </c>
      <c r="AG62" s="2" t="s">
        <v>146</v>
      </c>
      <c r="AH62" s="13">
        <v>3.5</v>
      </c>
      <c r="AI62" s="13">
        <v>2.5</v>
      </c>
      <c r="AJ62" s="19">
        <f>IF(Abschlüsse[[#This Row],[Ergeb]]="ET","",SQRT(($AC62-$AH62)^2+($AD62-$AI62)^2))</f>
        <v>13.0862523283024</v>
      </c>
      <c r="AK62" s="3">
        <v>2</v>
      </c>
      <c r="AL62" s="13">
        <v>9.5</v>
      </c>
      <c r="AM62" s="13">
        <v>11</v>
      </c>
      <c r="AN62" s="19">
        <f t="shared" si="2"/>
        <v>3.5355339059327378</v>
      </c>
      <c r="AO62" s="3">
        <v>0</v>
      </c>
      <c r="AR62" s="19" t="str">
        <f t="shared" si="3"/>
        <v/>
      </c>
    </row>
    <row r="63" spans="1:45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COUNTIFS($A$2:$A63,$A63,$B$2:$B63,$B63,$L$2:$L63,"&lt;&gt;ET")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2">
        <v>8</v>
      </c>
      <c r="P63" s="2">
        <v>7</v>
      </c>
      <c r="Q63" s="2">
        <v>6</v>
      </c>
      <c r="X63" s="2" t="s">
        <v>151</v>
      </c>
      <c r="Y63" s="17" t="s">
        <v>143</v>
      </c>
      <c r="Z63" s="14" t="s">
        <v>150</v>
      </c>
      <c r="AA63" s="14" t="s">
        <v>156</v>
      </c>
      <c r="AB63" s="18">
        <v>27</v>
      </c>
      <c r="AC63" s="13">
        <v>10</v>
      </c>
      <c r="AD63" s="13">
        <v>3</v>
      </c>
      <c r="AE63" s="19">
        <f t="shared" si="0"/>
        <v>7.0139575134156606</v>
      </c>
      <c r="AF63" s="19">
        <f t="shared" si="1"/>
        <v>12.936250064949594</v>
      </c>
      <c r="AG63" s="2" t="s">
        <v>146</v>
      </c>
      <c r="AH63" s="13">
        <v>4</v>
      </c>
      <c r="AI63" s="13">
        <v>1</v>
      </c>
      <c r="AJ63" s="19">
        <f>IF(Abschlüsse[[#This Row],[Ergeb]]="ET","",SQRT(($AC63-$AH63)^2+($AD63-$AI63)^2))</f>
        <v>6.324555320336759</v>
      </c>
      <c r="AK63" s="3">
        <v>0</v>
      </c>
      <c r="AL63" s="13"/>
      <c r="AM63" s="13"/>
      <c r="AN63" s="19" t="str">
        <f t="shared" si="2"/>
        <v/>
      </c>
      <c r="AO63" s="3">
        <v>0</v>
      </c>
      <c r="AR63" s="19" t="str">
        <f t="shared" si="3"/>
        <v/>
      </c>
    </row>
    <row r="64" spans="1:45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COUNTIFS($A$2:$A64,$A64,$B$2:$B64,$B64,$L$2:$L64,"&lt;&gt;ET")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X64" s="2" t="s">
        <v>151</v>
      </c>
      <c r="Y64" s="17" t="s">
        <v>149</v>
      </c>
      <c r="Z64" s="14" t="s">
        <v>150</v>
      </c>
      <c r="AA64" s="14" t="s">
        <v>156</v>
      </c>
      <c r="AB64" s="18">
        <v>9</v>
      </c>
      <c r="AC64" s="13">
        <v>-7.5</v>
      </c>
      <c r="AD64" s="13">
        <v>6</v>
      </c>
      <c r="AE64" s="19">
        <f t="shared" si="0"/>
        <v>7.1235945982347983</v>
      </c>
      <c r="AF64" s="19">
        <f t="shared" si="1"/>
        <v>29.11675278028325</v>
      </c>
      <c r="AG64" s="2" t="s">
        <v>146</v>
      </c>
      <c r="AH64" s="13">
        <v>-5.5</v>
      </c>
      <c r="AI64" s="13">
        <v>5</v>
      </c>
      <c r="AJ64" s="19">
        <f>IF(Abschlüsse[[#This Row],[Ergeb]]="ET","",SQRT(($AC64-$AH64)^2+($AD64-$AI64)^2))</f>
        <v>2.2360679774997898</v>
      </c>
      <c r="AK64" s="3">
        <v>1</v>
      </c>
      <c r="AL64" s="13">
        <v>-6.5</v>
      </c>
      <c r="AM64" s="13">
        <v>7</v>
      </c>
      <c r="AN64" s="19">
        <f t="shared" si="2"/>
        <v>1.4142135623730951</v>
      </c>
      <c r="AO64" s="3">
        <v>0</v>
      </c>
      <c r="AR64" s="19" t="str">
        <f t="shared" si="3"/>
        <v/>
      </c>
    </row>
    <row r="65" spans="1:44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COUNTIFS($A$2:$A65,$A65,$B$2:$B65,$B65,$L$2:$L65,"&lt;&gt;ET")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X65" s="2" t="s">
        <v>142</v>
      </c>
      <c r="Y65" s="17" t="s">
        <v>143</v>
      </c>
      <c r="Z65" s="14" t="s">
        <v>150</v>
      </c>
      <c r="AA65" s="14" t="s">
        <v>156</v>
      </c>
      <c r="AB65" s="18"/>
      <c r="AC65" s="13">
        <v>5.5</v>
      </c>
      <c r="AD65" s="13">
        <v>3</v>
      </c>
      <c r="AE65" s="19">
        <f t="shared" si="0"/>
        <v>3.5193181157718607</v>
      </c>
      <c r="AF65" s="19">
        <f t="shared" si="1"/>
        <v>40.343636414562809</v>
      </c>
      <c r="AG65" s="2" t="s">
        <v>146</v>
      </c>
      <c r="AH65" s="13">
        <v>4.5</v>
      </c>
      <c r="AI65" s="13">
        <v>2</v>
      </c>
      <c r="AJ65" s="19">
        <f>IF(Abschlüsse[[#This Row],[Ergeb]]="ET","",SQRT(($AC65-$AH65)^2+($AD65-$AI65)^2))</f>
        <v>1.4142135623730951</v>
      </c>
      <c r="AK65" s="3">
        <v>1</v>
      </c>
      <c r="AL65" s="13">
        <v>4</v>
      </c>
      <c r="AM65" s="13">
        <v>5.5</v>
      </c>
      <c r="AN65" s="19">
        <f t="shared" si="2"/>
        <v>2.9154759474226504</v>
      </c>
      <c r="AO65" s="3">
        <v>0</v>
      </c>
      <c r="AR65" s="19" t="str">
        <f t="shared" si="3"/>
        <v/>
      </c>
    </row>
    <row r="66" spans="1:44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COUNTIFS($A$2:$A66,$A66,$B$2:$B66,$B66,$L$2:$L66,"&lt;&gt;ET")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X66" s="2" t="s">
        <v>154</v>
      </c>
      <c r="Y66" s="17" t="s">
        <v>160</v>
      </c>
      <c r="Z66" s="14" t="s">
        <v>161</v>
      </c>
      <c r="AA66" s="14" t="s">
        <v>156</v>
      </c>
      <c r="AB66" s="18"/>
      <c r="AC66" s="13">
        <v>-4.5</v>
      </c>
      <c r="AD66" s="13">
        <v>8</v>
      </c>
      <c r="AE66" s="19">
        <f t="shared" si="0"/>
        <v>8.0439791148411128</v>
      </c>
      <c r="AF66" s="19">
        <f t="shared" si="1"/>
        <v>39.573173460749466</v>
      </c>
      <c r="AG66" s="2" t="s">
        <v>146</v>
      </c>
      <c r="AH66" s="13">
        <v>-1</v>
      </c>
      <c r="AI66" s="13">
        <v>2</v>
      </c>
      <c r="AJ66" s="19">
        <f>IF(Abschlüsse[[#This Row],[Ergeb]]="ET","",SQRT(($AC66-$AH66)^2+($AD66-$AI66)^2))</f>
        <v>6.946221994724902</v>
      </c>
      <c r="AK66" s="3">
        <v>1</v>
      </c>
      <c r="AL66" s="13">
        <v>-5.5</v>
      </c>
      <c r="AM66" s="13">
        <v>7.5</v>
      </c>
      <c r="AN66" s="19">
        <f t="shared" si="2"/>
        <v>1.1180339887498949</v>
      </c>
      <c r="AO66" s="3">
        <v>0</v>
      </c>
      <c r="AR66" s="19" t="str">
        <f t="shared" si="3"/>
        <v/>
      </c>
    </row>
    <row r="67" spans="1:44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COUNTIFS($A$2:$A67,$A67,$B$2:$B67,$B67,$L$2:$L67,"&lt;&gt;ET")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X67" s="2" t="s">
        <v>154</v>
      </c>
      <c r="Y67" s="17" t="s">
        <v>160</v>
      </c>
      <c r="Z67" s="14" t="s">
        <v>161</v>
      </c>
      <c r="AA67" s="14" t="s">
        <v>156</v>
      </c>
      <c r="AB67" s="18"/>
      <c r="AC67" s="13">
        <v>-2.5</v>
      </c>
      <c r="AD67" s="13">
        <v>10.5</v>
      </c>
      <c r="AE67" s="19">
        <f t="shared" si="0"/>
        <v>10.5</v>
      </c>
      <c r="AF67" s="19">
        <f t="shared" si="1"/>
        <v>36.702982325223644</v>
      </c>
      <c r="AG67" s="2" t="s">
        <v>146</v>
      </c>
      <c r="AH67" s="13">
        <v>0</v>
      </c>
      <c r="AI67" s="13">
        <v>0.5</v>
      </c>
      <c r="AJ67" s="19">
        <f>IF(Abschlüsse[[#This Row],[Ergeb]]="ET","",SQRT(($AC67-$AH67)^2+($AD67-$AI67)^2))</f>
        <v>10.307764064044152</v>
      </c>
      <c r="AK67" s="3">
        <v>1</v>
      </c>
      <c r="AL67" s="13">
        <v>-2.5</v>
      </c>
      <c r="AM67" s="13">
        <v>10</v>
      </c>
      <c r="AN67" s="19">
        <f t="shared" si="2"/>
        <v>0.5</v>
      </c>
      <c r="AO67" s="3">
        <v>0</v>
      </c>
      <c r="AR67" s="19" t="str">
        <f t="shared" si="3"/>
        <v/>
      </c>
    </row>
    <row r="68" spans="1:44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COUNTIFS($A$2:$A68,$A68,$B$2:$B68,$B68,$L$2:$L68,"&lt;&gt;ET")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2">
        <v>8</v>
      </c>
      <c r="X68" s="2" t="s">
        <v>142</v>
      </c>
      <c r="Y68" s="17" t="s">
        <v>143</v>
      </c>
      <c r="Z68" s="14" t="s">
        <v>150</v>
      </c>
      <c r="AA68" s="14" t="s">
        <v>156</v>
      </c>
      <c r="AB68" s="18">
        <v>9</v>
      </c>
      <c r="AC68" s="13">
        <v>-1.5</v>
      </c>
      <c r="AD68" s="13">
        <v>13</v>
      </c>
      <c r="AE68" s="19">
        <f t="shared" ref="AE68:AE134" si="4">IF($L68="ET","",IF($AC68&gt;3.66,SQRT($AD68^2+($AC68-(7.32/2))^2),IF($AC68&lt;-3.66,SQRT($AD68^2+($AC68+(7.32/2))^2),$AD68)))</f>
        <v>13</v>
      </c>
      <c r="AF68" s="19">
        <f t="shared" ref="AF68:AF134" si="5">IF($L68="ET","",IF(DEGREES(ATAN((7.32*$AD68)/($AD68^2+$AC68^2-(7.32/2)^2)))&lt;=0,180+DEGREES(ATAN((7.32*$AD68)/($AD68^2+$AC68^2-(7.32/2)^2))),DEGREES(ATAN((7.32*$AD68)/($AD68^2+$AC68^2-(7.32/2)^2)))))</f>
        <v>31.083001729640074</v>
      </c>
      <c r="AG68" s="2" t="s">
        <v>146</v>
      </c>
      <c r="AH68" s="13">
        <v>-1</v>
      </c>
      <c r="AI68" s="13">
        <v>8.5</v>
      </c>
      <c r="AJ68" s="19">
        <f>IF(Abschlüsse[[#This Row],[Ergeb]]="ET","",SQRT(($AC68-$AH68)^2+($AD68-$AI68)^2))</f>
        <v>4.5276925690687087</v>
      </c>
      <c r="AK68" s="3">
        <v>1</v>
      </c>
      <c r="AL68" s="13">
        <v>0.5</v>
      </c>
      <c r="AM68" s="13">
        <v>16</v>
      </c>
      <c r="AN68" s="19">
        <f t="shared" ref="AN68:AN134" si="6">IF(AK68=0,"",SQRT(($AC68-$AL68)^2+($AD68-$AM68)^2))</f>
        <v>3.6055512754639891</v>
      </c>
      <c r="AO68" s="3">
        <v>0</v>
      </c>
      <c r="AR68" s="19" t="str">
        <f t="shared" ref="AR68:AR134" si="7">IF(AO68=0,"",SQRT(($AC68-$AP68)^2+($AD68-$AQ68)^2))</f>
        <v/>
      </c>
    </row>
    <row r="69" spans="1:44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COUNTIFS($A$2:$A69,$A69,$B$2:$B69,$B69,$L$2:$L69,"&lt;&gt;ET")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2">
        <v>8</v>
      </c>
      <c r="P69" s="2">
        <v>21</v>
      </c>
      <c r="Q69" s="2">
        <v>20</v>
      </c>
      <c r="X69" s="2" t="s">
        <v>151</v>
      </c>
      <c r="Y69" s="17" t="s">
        <v>149</v>
      </c>
      <c r="Z69" s="14" t="s">
        <v>150</v>
      </c>
      <c r="AA69" s="14" t="s">
        <v>156</v>
      </c>
      <c r="AB69" s="18">
        <v>27</v>
      </c>
      <c r="AC69" s="13">
        <v>13</v>
      </c>
      <c r="AD69" s="13">
        <v>14</v>
      </c>
      <c r="AE69" s="19">
        <f t="shared" si="4"/>
        <v>16.829604867613497</v>
      </c>
      <c r="AF69" s="19">
        <f t="shared" si="5"/>
        <v>16.249498826123144</v>
      </c>
      <c r="AG69" s="2" t="s">
        <v>146</v>
      </c>
      <c r="AH69" s="13">
        <v>1.5</v>
      </c>
      <c r="AI69" s="13">
        <v>3</v>
      </c>
      <c r="AJ69" s="19">
        <f>IF(Abschlüsse[[#This Row],[Ergeb]]="ET","",SQRT(($AC69-$AH69)^2+($AD69-$AI69)^2))</f>
        <v>15.913830462839549</v>
      </c>
      <c r="AK69" s="3">
        <v>2</v>
      </c>
      <c r="AL69" s="13">
        <v>12</v>
      </c>
      <c r="AM69" s="13">
        <v>14.5</v>
      </c>
      <c r="AN69" s="19">
        <f t="shared" si="6"/>
        <v>1.1180339887498949</v>
      </c>
      <c r="AO69" s="3">
        <v>1</v>
      </c>
      <c r="AP69" s="13">
        <v>7</v>
      </c>
      <c r="AQ69" s="13">
        <v>10.5</v>
      </c>
      <c r="AR69" s="19">
        <f t="shared" si="7"/>
        <v>6.946221994724902</v>
      </c>
    </row>
    <row r="70" spans="1:44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COUNTIFS($A$2:$A70,$A70,$B$2:$B70,$B70,$L$2:$L70,"&lt;&gt;ET")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X70" s="2" t="s">
        <v>151</v>
      </c>
      <c r="Y70" s="17" t="s">
        <v>149</v>
      </c>
      <c r="Z70" s="14" t="s">
        <v>150</v>
      </c>
      <c r="AA70" s="14" t="s">
        <v>145</v>
      </c>
      <c r="AB70" s="18"/>
      <c r="AC70" s="13">
        <v>17</v>
      </c>
      <c r="AD70" s="13">
        <v>5</v>
      </c>
      <c r="AE70" s="19">
        <f t="shared" si="4"/>
        <v>14.246248629025116</v>
      </c>
      <c r="AF70" s="19">
        <f t="shared" si="5"/>
        <v>6.9418627437857081</v>
      </c>
      <c r="AG70" s="2" t="s">
        <v>146</v>
      </c>
      <c r="AH70" s="13">
        <v>4</v>
      </c>
      <c r="AI70" s="13">
        <v>0.5</v>
      </c>
      <c r="AJ70" s="19">
        <f>IF(Abschlüsse[[#This Row],[Ergeb]]="ET","",SQRT(($AC70-$AH70)^2+($AD70-$AI70)^2))</f>
        <v>13.756816492197604</v>
      </c>
      <c r="AK70" s="3">
        <v>1</v>
      </c>
      <c r="AL70" s="13">
        <v>18</v>
      </c>
      <c r="AM70" s="13">
        <v>5</v>
      </c>
      <c r="AN70" s="19">
        <f t="shared" si="6"/>
        <v>1</v>
      </c>
      <c r="AO70" s="3">
        <v>0</v>
      </c>
      <c r="AR70" s="19" t="str">
        <f t="shared" si="7"/>
        <v/>
      </c>
    </row>
    <row r="71" spans="1:44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COUNTIFS($A$2:$A71,$A71,$B$2:$B71,$B71,$L$2:$L71,"&lt;&gt;ET")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X71" s="2" t="s">
        <v>142</v>
      </c>
      <c r="Y71" s="17" t="s">
        <v>143</v>
      </c>
      <c r="Z71" s="14" t="s">
        <v>150</v>
      </c>
      <c r="AA71" s="14" t="s">
        <v>145</v>
      </c>
      <c r="AB71" s="18">
        <v>9</v>
      </c>
      <c r="AC71" s="13">
        <v>-9</v>
      </c>
      <c r="AD71" s="13">
        <v>17</v>
      </c>
      <c r="AE71" s="19">
        <f t="shared" si="4"/>
        <v>17.818967422384496</v>
      </c>
      <c r="AF71" s="19">
        <f t="shared" si="5"/>
        <v>19.236848116129863</v>
      </c>
      <c r="AG71" s="2" t="s">
        <v>146</v>
      </c>
      <c r="AH71" s="13">
        <v>0</v>
      </c>
      <c r="AI71" s="13">
        <v>0.5</v>
      </c>
      <c r="AJ71" s="19">
        <f>IF(Abschlüsse[[#This Row],[Ergeb]]="ET","",SQRT(($AC71-$AH71)^2+($AD71-$AI71)^2))</f>
        <v>18.794946129212502</v>
      </c>
      <c r="AK71" s="3">
        <v>0</v>
      </c>
      <c r="AL71" s="13"/>
      <c r="AM71" s="13"/>
      <c r="AN71" s="19" t="str">
        <f t="shared" si="6"/>
        <v/>
      </c>
      <c r="AO71" s="3">
        <v>5</v>
      </c>
      <c r="AP71" s="13">
        <v>-6.5</v>
      </c>
      <c r="AQ71" s="13">
        <v>8.5</v>
      </c>
      <c r="AR71" s="19">
        <f t="shared" si="7"/>
        <v>8.8600225733346747</v>
      </c>
    </row>
    <row r="72" spans="1:44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COUNTIFS($A$2:$A72,$A72,$B$2:$B72,$B72,$L$2:$L72,"&lt;&gt;ET")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2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X72" s="2" t="s">
        <v>141</v>
      </c>
      <c r="Y72" s="17" t="s">
        <v>143</v>
      </c>
      <c r="Z72" s="14" t="s">
        <v>144</v>
      </c>
      <c r="AA72" s="14" t="s">
        <v>145</v>
      </c>
      <c r="AB72" s="18">
        <v>10</v>
      </c>
      <c r="AC72" s="13">
        <v>3</v>
      </c>
      <c r="AD72" s="13">
        <v>7</v>
      </c>
      <c r="AE72" s="19">
        <f t="shared" si="4"/>
        <v>7</v>
      </c>
      <c r="AF72" s="19">
        <f t="shared" si="5"/>
        <v>48.960441803790069</v>
      </c>
      <c r="AG72" s="2" t="s">
        <v>169</v>
      </c>
      <c r="AH72" s="13">
        <v>-1</v>
      </c>
      <c r="AI72" s="13">
        <v>1</v>
      </c>
      <c r="AJ72" s="19">
        <f>IF(Abschlüsse[[#This Row],[Ergeb]]="ET","",SQRT(($AC72-$AH72)^2+($AD72-$AI72)^2))</f>
        <v>7.2111025509279782</v>
      </c>
      <c r="AK72" s="3">
        <v>0</v>
      </c>
      <c r="AL72" s="13"/>
      <c r="AM72" s="13"/>
      <c r="AN72" s="19" t="str">
        <f t="shared" si="6"/>
        <v/>
      </c>
      <c r="AO72" s="3">
        <v>0</v>
      </c>
      <c r="AR72" s="19" t="str">
        <f t="shared" si="7"/>
        <v/>
      </c>
    </row>
    <row r="73" spans="1:44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COUNTIFS($A$2:$A73,$A73,$B$2:$B73,$B73,$L$2:$L73,"&lt;&gt;ET")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X73" s="2" t="s">
        <v>154</v>
      </c>
      <c r="Y73" s="17" t="s">
        <v>143</v>
      </c>
      <c r="Z73" s="14" t="s">
        <v>144</v>
      </c>
      <c r="AA73" s="14" t="s">
        <v>145</v>
      </c>
      <c r="AB73" s="18">
        <v>9</v>
      </c>
      <c r="AC73" s="13">
        <v>-8</v>
      </c>
      <c r="AD73" s="13">
        <v>14.5</v>
      </c>
      <c r="AE73" s="19">
        <f t="shared" si="4"/>
        <v>15.135573989776535</v>
      </c>
      <c r="AF73" s="19">
        <f t="shared" si="5"/>
        <v>22.141095680440266</v>
      </c>
      <c r="AG73" s="2" t="s">
        <v>146</v>
      </c>
      <c r="AH73" s="13">
        <v>-2</v>
      </c>
      <c r="AI73" s="13">
        <v>1.5</v>
      </c>
      <c r="AJ73" s="19">
        <f>IF(Abschlüsse[[#This Row],[Ergeb]]="ET","",SQRT(($AC73-$AH73)^2+($AD73-$AI73)^2))</f>
        <v>14.317821063276353</v>
      </c>
      <c r="AK73" s="3">
        <v>0</v>
      </c>
      <c r="AL73" s="13"/>
      <c r="AM73" s="13"/>
      <c r="AN73" s="19" t="str">
        <f t="shared" si="6"/>
        <v/>
      </c>
      <c r="AO73" s="3">
        <v>1</v>
      </c>
      <c r="AP73" s="13">
        <v>-5.5</v>
      </c>
      <c r="AQ73" s="13">
        <v>8.5</v>
      </c>
      <c r="AR73" s="19">
        <f t="shared" si="7"/>
        <v>6.5</v>
      </c>
    </row>
    <row r="74" spans="1:44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COUNTIFS($A$2:$A74,$A74,$B$2:$B74,$B74,$L$2:$L74,"&lt;&gt;ET")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X74" s="2" t="s">
        <v>151</v>
      </c>
      <c r="Y74" s="17" t="s">
        <v>149</v>
      </c>
      <c r="Z74" s="14" t="s">
        <v>150</v>
      </c>
      <c r="AA74" s="14" t="s">
        <v>156</v>
      </c>
      <c r="AB74" s="18"/>
      <c r="AC74" s="13">
        <v>-16</v>
      </c>
      <c r="AD74" s="13">
        <v>8</v>
      </c>
      <c r="AE74" s="19">
        <f t="shared" si="4"/>
        <v>14.706311570206854</v>
      </c>
      <c r="AF74" s="19">
        <f t="shared" si="5"/>
        <v>10.812996704288254</v>
      </c>
      <c r="AG74" s="2" t="s">
        <v>146</v>
      </c>
      <c r="AH74" s="13">
        <v>-3.5</v>
      </c>
      <c r="AI74" s="13">
        <v>0.5</v>
      </c>
      <c r="AJ74" s="19">
        <f>IF(Abschlüsse[[#This Row],[Ergeb]]="ET","",SQRT(($AC74-$AH74)^2+($AD74-$AI74)^2))</f>
        <v>14.577379737113251</v>
      </c>
      <c r="AK74" s="3">
        <v>1</v>
      </c>
      <c r="AL74" s="13">
        <v>-14.5</v>
      </c>
      <c r="AM74" s="13">
        <v>8.5</v>
      </c>
      <c r="AN74" s="19">
        <f t="shared" si="6"/>
        <v>1.5811388300841898</v>
      </c>
      <c r="AO74" s="3">
        <v>0</v>
      </c>
      <c r="AR74" s="19" t="str">
        <f t="shared" si="7"/>
        <v/>
      </c>
    </row>
    <row r="75" spans="1:44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COUNTIFS($A$2:$A75,$A75,$B$2:$B75,$B75,$L$2:$L75,"&lt;&gt;ET")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X75" s="2" t="s">
        <v>151</v>
      </c>
      <c r="Y75" s="17" t="s">
        <v>149</v>
      </c>
      <c r="Z75" s="14" t="s">
        <v>150</v>
      </c>
      <c r="AA75" s="14" t="s">
        <v>145</v>
      </c>
      <c r="AB75" s="18">
        <v>26</v>
      </c>
      <c r="AC75" s="13">
        <v>-5</v>
      </c>
      <c r="AD75" s="13">
        <v>22.5</v>
      </c>
      <c r="AE75" s="19">
        <f t="shared" si="4"/>
        <v>22.539866902890086</v>
      </c>
      <c r="AF75" s="19">
        <f t="shared" si="5"/>
        <v>17.642904759009078</v>
      </c>
      <c r="AG75" s="2" t="s">
        <v>146</v>
      </c>
      <c r="AH75" s="13">
        <v>-0.5</v>
      </c>
      <c r="AI75" s="13">
        <v>1</v>
      </c>
      <c r="AJ75" s="19">
        <f>IF(Abschlüsse[[#This Row],[Ergeb]]="ET","",SQRT(($AC75-$AH75)^2+($AD75-$AI75)^2))</f>
        <v>21.965882636488796</v>
      </c>
      <c r="AK75" s="3">
        <v>1</v>
      </c>
      <c r="AL75" s="13">
        <v>-5.5</v>
      </c>
      <c r="AM75" s="13">
        <v>19</v>
      </c>
      <c r="AN75" s="19">
        <f t="shared" si="6"/>
        <v>3.5355339059327378</v>
      </c>
      <c r="AO75" s="3">
        <v>1</v>
      </c>
      <c r="AP75" s="13">
        <v>-2</v>
      </c>
      <c r="AQ75" s="13">
        <v>14</v>
      </c>
      <c r="AR75" s="19">
        <f t="shared" si="7"/>
        <v>9.013878188659973</v>
      </c>
    </row>
    <row r="76" spans="1:44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COUNTIFS($A$2:$A76,$A76,$B$2:$B76,$B76,$L$2:$L76,"&lt;&gt;ET")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X76" s="2" t="s">
        <v>151</v>
      </c>
      <c r="Y76" s="17" t="s">
        <v>143</v>
      </c>
      <c r="Z76" s="14" t="s">
        <v>150</v>
      </c>
      <c r="AA76" s="14" t="s">
        <v>156</v>
      </c>
      <c r="AB76" s="18">
        <v>23</v>
      </c>
      <c r="AC76" s="13">
        <v>14</v>
      </c>
      <c r="AD76" s="13">
        <v>25</v>
      </c>
      <c r="AE76" s="19">
        <f t="shared" si="4"/>
        <v>27.053938715092855</v>
      </c>
      <c r="AF76" s="19">
        <f t="shared" si="5"/>
        <v>12.767396414108195</v>
      </c>
      <c r="AG76" s="2" t="s">
        <v>146</v>
      </c>
      <c r="AH76" s="13">
        <v>0.5</v>
      </c>
      <c r="AI76" s="13">
        <v>1.5</v>
      </c>
      <c r="AJ76" s="19">
        <f>IF(Abschlüsse[[#This Row],[Ergeb]]="ET","",SQRT(($AC76-$AH76)^2+($AD76-$AI76)^2))</f>
        <v>27.101660465735304</v>
      </c>
      <c r="AK76" s="3">
        <v>0</v>
      </c>
      <c r="AL76" s="13"/>
      <c r="AM76" s="13"/>
      <c r="AN76" s="19" t="str">
        <f t="shared" si="6"/>
        <v/>
      </c>
      <c r="AO76" s="3">
        <v>1</v>
      </c>
      <c r="AP76" s="13">
        <v>8.5</v>
      </c>
      <c r="AQ76" s="13">
        <v>14</v>
      </c>
      <c r="AR76" s="19">
        <f t="shared" si="7"/>
        <v>12.298373876248844</v>
      </c>
    </row>
    <row r="77" spans="1:44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COUNTIFS($A$2:$A77,$A77,$B$2:$B77,$B77,$L$2:$L77,"&lt;&gt;ET")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2">
        <v>10</v>
      </c>
      <c r="P77" s="2">
        <v>7</v>
      </c>
      <c r="Q77" s="2">
        <v>20</v>
      </c>
      <c r="R77" s="2">
        <v>19</v>
      </c>
      <c r="S77" s="2">
        <v>16</v>
      </c>
      <c r="X77" s="2" t="s">
        <v>142</v>
      </c>
      <c r="Y77" s="17" t="s">
        <v>149</v>
      </c>
      <c r="Z77" s="14" t="s">
        <v>150</v>
      </c>
      <c r="AA77" s="14" t="s">
        <v>156</v>
      </c>
      <c r="AB77" s="18">
        <v>9</v>
      </c>
      <c r="AC77" s="13">
        <v>-8.5</v>
      </c>
      <c r="AD77" s="13">
        <v>12.5</v>
      </c>
      <c r="AE77" s="19">
        <f t="shared" si="4"/>
        <v>13.404312738816564</v>
      </c>
      <c r="AF77" s="19">
        <f t="shared" si="5"/>
        <v>23.043680614333791</v>
      </c>
      <c r="AG77" s="2" t="s">
        <v>146</v>
      </c>
      <c r="AH77" s="13">
        <v>-3.5</v>
      </c>
      <c r="AI77" s="13">
        <v>2.5</v>
      </c>
      <c r="AJ77" s="19">
        <f>IF(Abschlüsse[[#This Row],[Ergeb]]="ET","",SQRT(($AC77-$AH77)^2+($AD77-$AI77)^2))</f>
        <v>11.180339887498949</v>
      </c>
      <c r="AK77" s="3">
        <v>1</v>
      </c>
      <c r="AL77" s="13">
        <v>-9</v>
      </c>
      <c r="AM77" s="13">
        <v>9</v>
      </c>
      <c r="AN77" s="19">
        <f t="shared" si="6"/>
        <v>3.5355339059327378</v>
      </c>
      <c r="AO77" s="3">
        <v>1</v>
      </c>
      <c r="AP77" s="13">
        <v>-6.5</v>
      </c>
      <c r="AQ77" s="13">
        <v>4.5</v>
      </c>
      <c r="AR77" s="19">
        <f t="shared" si="7"/>
        <v>8.2462112512353212</v>
      </c>
    </row>
    <row r="78" spans="1:44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COUNTIFS($A$2:$A78,$A78,$B$2:$B78,$B78,$L$2:$L78,"&lt;&gt;ET")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2">
        <v>10</v>
      </c>
      <c r="X78" s="2" t="s">
        <v>151</v>
      </c>
      <c r="Y78" s="17" t="s">
        <v>149</v>
      </c>
      <c r="Z78" s="14" t="s">
        <v>150</v>
      </c>
      <c r="AA78" s="14" t="s">
        <v>145</v>
      </c>
      <c r="AB78" s="18">
        <v>7</v>
      </c>
      <c r="AC78" s="13">
        <v>-8</v>
      </c>
      <c r="AD78" s="13">
        <v>12.5</v>
      </c>
      <c r="AE78" s="19">
        <f t="shared" si="4"/>
        <v>13.231991535668394</v>
      </c>
      <c r="AF78" s="19">
        <f t="shared" si="5"/>
        <v>23.861729104609417</v>
      </c>
      <c r="AG78" s="2" t="s">
        <v>146</v>
      </c>
      <c r="AH78" s="13">
        <v>-4</v>
      </c>
      <c r="AI78" s="13">
        <v>5</v>
      </c>
      <c r="AJ78" s="19">
        <f>IF(Abschlüsse[[#This Row],[Ergeb]]="ET","",SQRT(($AC78-$AH78)^2+($AD78-$AI78)^2))</f>
        <v>8.5</v>
      </c>
      <c r="AK78" s="3">
        <v>2</v>
      </c>
      <c r="AL78" s="13">
        <v>-7</v>
      </c>
      <c r="AM78" s="13">
        <v>12.5</v>
      </c>
      <c r="AN78" s="19">
        <f t="shared" si="6"/>
        <v>1</v>
      </c>
      <c r="AO78" s="3">
        <v>0</v>
      </c>
      <c r="AR78" s="19" t="str">
        <f t="shared" si="7"/>
        <v/>
      </c>
    </row>
    <row r="79" spans="1:44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COUNTIFS($A$2:$A79,$A79,$B$2:$B79,$B79,$L$2:$L79,"&lt;&gt;ET")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2">
        <v>18</v>
      </c>
      <c r="X79" s="2" t="s">
        <v>142</v>
      </c>
      <c r="Y79" s="17" t="s">
        <v>143</v>
      </c>
      <c r="Z79" s="14" t="s">
        <v>150</v>
      </c>
      <c r="AA79" s="14" t="s">
        <v>156</v>
      </c>
      <c r="AB79" s="18">
        <v>7</v>
      </c>
      <c r="AC79" s="13">
        <v>-14</v>
      </c>
      <c r="AD79" s="13">
        <v>20</v>
      </c>
      <c r="AE79" s="19">
        <f t="shared" si="4"/>
        <v>22.514786252594092</v>
      </c>
      <c r="AF79" s="19">
        <f t="shared" si="5"/>
        <v>14.10554011432513</v>
      </c>
      <c r="AG79" s="2" t="s">
        <v>146</v>
      </c>
      <c r="AH79" s="13">
        <v>-1</v>
      </c>
      <c r="AI79" s="13">
        <v>1.5</v>
      </c>
      <c r="AJ79" s="19">
        <f>IF(Abschlüsse[[#This Row],[Ergeb]]="ET","",SQRT(($AC79-$AH79)^2+($AD79-$AI79)^2))</f>
        <v>22.610838109190027</v>
      </c>
      <c r="AK79" s="3">
        <v>0</v>
      </c>
      <c r="AL79" s="13"/>
      <c r="AM79" s="13"/>
      <c r="AN79" s="19" t="str">
        <f t="shared" si="6"/>
        <v/>
      </c>
      <c r="AO79" s="3">
        <v>1</v>
      </c>
      <c r="AP79" s="13">
        <v>-13</v>
      </c>
      <c r="AQ79" s="13">
        <v>18</v>
      </c>
      <c r="AR79" s="19">
        <f t="shared" si="7"/>
        <v>2.2360679774997898</v>
      </c>
    </row>
    <row r="80" spans="1:44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COUNTIFS($A$2:$A80,$A80,$B$2:$B80,$B80,$L$2:$L80,"&lt;&gt;ET")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2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10</v>
      </c>
      <c r="X80" s="2" t="s">
        <v>142</v>
      </c>
      <c r="Y80" s="17" t="s">
        <v>149</v>
      </c>
      <c r="Z80" s="14" t="s">
        <v>150</v>
      </c>
      <c r="AA80" s="14" t="s">
        <v>156</v>
      </c>
      <c r="AB80" s="18">
        <v>25</v>
      </c>
      <c r="AC80" s="13">
        <v>-12.5</v>
      </c>
      <c r="AD80" s="13">
        <v>7.5</v>
      </c>
      <c r="AE80" s="19">
        <f t="shared" si="4"/>
        <v>11.592911627369546</v>
      </c>
      <c r="AF80" s="19">
        <f t="shared" si="5"/>
        <v>15.415381612664262</v>
      </c>
      <c r="AG80" s="2" t="s">
        <v>146</v>
      </c>
      <c r="AH80" s="13">
        <v>-3.5</v>
      </c>
      <c r="AI80" s="13">
        <v>1.5</v>
      </c>
      <c r="AJ80" s="19">
        <f>IF(Abschlüsse[[#This Row],[Ergeb]]="ET","",SQRT(($AC80-$AH80)^2+($AD80-$AI80)^2))</f>
        <v>10.816653826391969</v>
      </c>
      <c r="AK80" s="3">
        <v>2</v>
      </c>
      <c r="AL80" s="13">
        <v>-10.5</v>
      </c>
      <c r="AM80" s="13">
        <v>8</v>
      </c>
      <c r="AN80" s="19">
        <f t="shared" si="6"/>
        <v>2.0615528128088303</v>
      </c>
      <c r="AO80" s="3">
        <v>0</v>
      </c>
      <c r="AR80" s="19" t="str">
        <f t="shared" si="7"/>
        <v/>
      </c>
    </row>
    <row r="81" spans="1:44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COUNTIFS($A$2:$A81,$A81,$B$2:$B81,$B81,$L$2:$L81,"&lt;&gt;ET")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2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X81" s="2" t="s">
        <v>142</v>
      </c>
      <c r="Y81" s="17" t="s">
        <v>143</v>
      </c>
      <c r="Z81" s="14" t="s">
        <v>150</v>
      </c>
      <c r="AA81" s="14" t="s">
        <v>156</v>
      </c>
      <c r="AB81" s="18">
        <v>25</v>
      </c>
      <c r="AC81" s="13">
        <v>9.5</v>
      </c>
      <c r="AD81" s="13">
        <v>11</v>
      </c>
      <c r="AE81" s="19">
        <f t="shared" si="4"/>
        <v>12.45413987395356</v>
      </c>
      <c r="AF81" s="19">
        <f t="shared" si="5"/>
        <v>22.144648496710037</v>
      </c>
      <c r="AG81" s="2" t="s">
        <v>146</v>
      </c>
      <c r="AH81" s="13">
        <v>3</v>
      </c>
      <c r="AI81" s="13">
        <v>3.5</v>
      </c>
      <c r="AJ81" s="19">
        <f>IF(Abschlüsse[[#This Row],[Ergeb]]="ET","",SQRT(($AC81-$AH81)^2+($AD81-$AI81)^2))</f>
        <v>9.9247166206396038</v>
      </c>
      <c r="AK81" s="3">
        <v>2</v>
      </c>
      <c r="AL81" s="13">
        <v>7</v>
      </c>
      <c r="AM81" s="13">
        <v>11</v>
      </c>
      <c r="AN81" s="19">
        <f t="shared" si="6"/>
        <v>2.5</v>
      </c>
      <c r="AO81" s="3">
        <v>0</v>
      </c>
      <c r="AR81" s="19" t="str">
        <f t="shared" si="7"/>
        <v/>
      </c>
    </row>
    <row r="82" spans="1:44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COUNTIFS($A$2:$A82,$A82,$B$2:$B82,$B82,$L$2:$L82,"&lt;&gt;ET")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2">
        <v>11</v>
      </c>
      <c r="P82" s="2">
        <v>10</v>
      </c>
      <c r="Q82" s="2">
        <v>19</v>
      </c>
      <c r="X82" s="2" t="s">
        <v>154</v>
      </c>
      <c r="Y82" s="17" t="s">
        <v>160</v>
      </c>
      <c r="Z82" s="14" t="s">
        <v>161</v>
      </c>
      <c r="AA82" s="14" t="s">
        <v>145</v>
      </c>
      <c r="AB82" s="18">
        <v>7</v>
      </c>
      <c r="AC82" s="13">
        <v>-2.5</v>
      </c>
      <c r="AD82" s="13">
        <v>5.5</v>
      </c>
      <c r="AE82" s="19">
        <f t="shared" si="4"/>
        <v>5.5</v>
      </c>
      <c r="AF82" s="19">
        <f t="shared" si="5"/>
        <v>60.149357337726705</v>
      </c>
      <c r="AG82" s="2" t="s">
        <v>146</v>
      </c>
      <c r="AH82" s="13">
        <v>-0.5</v>
      </c>
      <c r="AI82" s="13">
        <v>1</v>
      </c>
      <c r="AJ82" s="19">
        <f>IF(Abschlüsse[[#This Row],[Ergeb]]="ET","",SQRT(($AC82-$AH82)^2+($AD82-$AI82)^2))</f>
        <v>4.924428900898052</v>
      </c>
      <c r="AK82" s="3">
        <v>1</v>
      </c>
      <c r="AL82" s="13">
        <v>-4.5</v>
      </c>
      <c r="AM82" s="13">
        <v>5.5</v>
      </c>
      <c r="AN82" s="19">
        <f t="shared" si="6"/>
        <v>2</v>
      </c>
      <c r="AO82" s="3">
        <v>0</v>
      </c>
      <c r="AR82" s="19" t="str">
        <f t="shared" si="7"/>
        <v/>
      </c>
    </row>
    <row r="83" spans="1:44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COUNTIFS($A$2:$A83,$A83,$B$2:$B83,$B83,$L$2:$L83,"&lt;&gt;ET")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2">
        <v>10</v>
      </c>
      <c r="X83" s="2" t="s">
        <v>151</v>
      </c>
      <c r="Y83" s="17" t="s">
        <v>143</v>
      </c>
      <c r="Z83" s="14" t="s">
        <v>150</v>
      </c>
      <c r="AA83" s="14" t="s">
        <v>145</v>
      </c>
      <c r="AB83" s="18">
        <v>26</v>
      </c>
      <c r="AC83" s="13">
        <v>-3.5</v>
      </c>
      <c r="AD83" s="13">
        <v>27</v>
      </c>
      <c r="AE83" s="19">
        <f t="shared" si="4"/>
        <v>27</v>
      </c>
      <c r="AF83" s="19">
        <f t="shared" si="5"/>
        <v>15.191667285280417</v>
      </c>
      <c r="AG83" s="2" t="s">
        <v>146</v>
      </c>
      <c r="AH83" s="13">
        <v>0</v>
      </c>
      <c r="AI83" s="13">
        <v>1.5</v>
      </c>
      <c r="AJ83" s="19">
        <f>IF(Abschlüsse[[#This Row],[Ergeb]]="ET","",SQRT(($AC83-$AH83)^2+($AD83-$AI83)^2))</f>
        <v>25.739075352467502</v>
      </c>
      <c r="AK83" s="3">
        <v>2</v>
      </c>
      <c r="AL83" s="13">
        <v>-6</v>
      </c>
      <c r="AM83" s="13">
        <v>25.5</v>
      </c>
      <c r="AN83" s="19">
        <f t="shared" si="6"/>
        <v>2.9154759474226504</v>
      </c>
      <c r="AO83" s="3">
        <v>1</v>
      </c>
      <c r="AP83" s="13">
        <v>0</v>
      </c>
      <c r="AQ83" s="13">
        <v>16</v>
      </c>
      <c r="AR83" s="19">
        <f t="shared" si="7"/>
        <v>11.543396380615196</v>
      </c>
    </row>
    <row r="84" spans="1:44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COUNTIFS($A$2:$A84,$A84,$B$2:$B84,$B84,$L$2:$L84,"&lt;&gt;ET")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2">
        <v>7</v>
      </c>
      <c r="P84" s="2">
        <v>8</v>
      </c>
      <c r="X84" s="2" t="s">
        <v>154</v>
      </c>
      <c r="Y84" s="17" t="s">
        <v>143</v>
      </c>
      <c r="Z84" s="14" t="s">
        <v>144</v>
      </c>
      <c r="AA84" s="14" t="s">
        <v>145</v>
      </c>
      <c r="AB84" s="18">
        <v>23</v>
      </c>
      <c r="AC84" s="13">
        <v>3.5</v>
      </c>
      <c r="AD84" s="13">
        <v>0.5</v>
      </c>
      <c r="AE84" s="19">
        <f t="shared" si="4"/>
        <v>0.5</v>
      </c>
      <c r="AF84" s="19">
        <f t="shared" si="5"/>
        <v>103.75005461690881</v>
      </c>
      <c r="AG84" s="2" t="s">
        <v>166</v>
      </c>
      <c r="AJ84" s="19">
        <f>IF(Abschlüsse[[#This Row],[Ergeb]]="ET","",SQRT(($AC84-$AH84)^2+($AD84-$AI84)^2))</f>
        <v>3.5355339059327378</v>
      </c>
      <c r="AK84" s="3">
        <v>1</v>
      </c>
      <c r="AL84" s="13">
        <v>3</v>
      </c>
      <c r="AM84" s="13">
        <v>1</v>
      </c>
      <c r="AN84" s="19">
        <f t="shared" si="6"/>
        <v>0.70710678118654757</v>
      </c>
      <c r="AO84" s="3">
        <v>0</v>
      </c>
      <c r="AR84" s="19" t="str">
        <f t="shared" si="7"/>
        <v/>
      </c>
    </row>
    <row r="85" spans="1:44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COUNTIFS($A$2:$A85,$A85,$B$2:$B85,$B85,$L$2:$L85,"&lt;&gt;ET")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2">
        <v>23</v>
      </c>
      <c r="P85" s="2">
        <v>19</v>
      </c>
      <c r="Q85" s="2">
        <v>6</v>
      </c>
      <c r="X85" s="2" t="s">
        <v>151</v>
      </c>
      <c r="Y85" s="17" t="s">
        <v>143</v>
      </c>
      <c r="Z85" s="14" t="s">
        <v>150</v>
      </c>
      <c r="AA85" s="14" t="s">
        <v>145</v>
      </c>
      <c r="AB85" s="18">
        <v>16</v>
      </c>
      <c r="AC85" s="13">
        <v>-5</v>
      </c>
      <c r="AD85" s="13">
        <v>22</v>
      </c>
      <c r="AE85" s="19">
        <f t="shared" si="4"/>
        <v>22.040771311367486</v>
      </c>
      <c r="AF85" s="19">
        <f t="shared" si="5"/>
        <v>18.000875117501245</v>
      </c>
      <c r="AG85" s="2" t="s">
        <v>146</v>
      </c>
      <c r="AH85" s="13">
        <v>-0.5</v>
      </c>
      <c r="AI85" s="13">
        <v>2</v>
      </c>
      <c r="AJ85" s="19">
        <f>IF(Abschlüsse[[#This Row],[Ergeb]]="ET","",SQRT(($AC85-$AH85)^2+($AD85-$AI85)^2))</f>
        <v>20.5</v>
      </c>
      <c r="AK85" s="3">
        <v>2</v>
      </c>
      <c r="AL85" s="13">
        <v>-4</v>
      </c>
      <c r="AM85" s="13">
        <v>24</v>
      </c>
      <c r="AN85" s="19">
        <f t="shared" si="6"/>
        <v>2.2360679774997898</v>
      </c>
      <c r="AO85" s="3">
        <v>2</v>
      </c>
      <c r="AP85" s="13">
        <v>-3.5</v>
      </c>
      <c r="AQ85" s="13">
        <v>20</v>
      </c>
      <c r="AR85" s="19">
        <f t="shared" si="7"/>
        <v>2.5</v>
      </c>
    </row>
    <row r="86" spans="1:44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COUNTIFS($A$2:$A86,$A86,$B$2:$B86,$B86,$L$2:$L86,"&lt;&gt;ET")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2">
        <v>5</v>
      </c>
      <c r="P86" s="2">
        <v>23</v>
      </c>
      <c r="Q86" s="2">
        <v>19</v>
      </c>
      <c r="R86" s="2">
        <v>16</v>
      </c>
      <c r="S86" s="2">
        <v>8</v>
      </c>
      <c r="X86" s="2" t="s">
        <v>151</v>
      </c>
      <c r="Y86" s="17" t="s">
        <v>143</v>
      </c>
      <c r="Z86" s="14" t="s">
        <v>150</v>
      </c>
      <c r="AA86" s="14" t="s">
        <v>145</v>
      </c>
      <c r="AB86" s="18">
        <v>16</v>
      </c>
      <c r="AC86" s="13">
        <v>-12</v>
      </c>
      <c r="AD86" s="13">
        <v>28</v>
      </c>
      <c r="AE86" s="19">
        <f t="shared" si="4"/>
        <v>29.215673875507306</v>
      </c>
      <c r="AF86" s="19">
        <f t="shared" si="5"/>
        <v>12.63112282320164</v>
      </c>
      <c r="AG86" s="2" t="s">
        <v>146</v>
      </c>
      <c r="AH86" s="13">
        <v>-1.5</v>
      </c>
      <c r="AI86" s="13">
        <v>1.5</v>
      </c>
      <c r="AJ86" s="19">
        <f>IF(Abschlüsse[[#This Row],[Ergeb]]="ET","",SQRT(($AC86-$AH86)^2+($AD86-$AI86)^2))</f>
        <v>28.504385627478449</v>
      </c>
      <c r="AK86" s="3">
        <v>0</v>
      </c>
      <c r="AL86" s="13"/>
      <c r="AM86" s="13"/>
      <c r="AN86" s="19" t="str">
        <f t="shared" si="6"/>
        <v/>
      </c>
      <c r="AO86" s="3">
        <v>2</v>
      </c>
      <c r="AP86" s="13">
        <v>-10.5</v>
      </c>
      <c r="AQ86" s="13">
        <v>25.5</v>
      </c>
      <c r="AR86" s="19">
        <f t="shared" si="7"/>
        <v>2.9154759474226504</v>
      </c>
    </row>
    <row r="87" spans="1:44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COUNTIFS($A$2:$A87,$A87,$B$2:$B87,$B87,$L$2:$L87,"&lt;&gt;ET")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2">
        <v>10</v>
      </c>
      <c r="P87" s="2">
        <v>7</v>
      </c>
      <c r="X87" s="2" t="s">
        <v>154</v>
      </c>
      <c r="Y87" s="17" t="s">
        <v>160</v>
      </c>
      <c r="Z87" s="14" t="s">
        <v>161</v>
      </c>
      <c r="AA87" s="14" t="s">
        <v>156</v>
      </c>
      <c r="AB87" s="18">
        <v>20</v>
      </c>
      <c r="AC87" s="13">
        <v>-8.5</v>
      </c>
      <c r="AD87" s="13">
        <v>6.5</v>
      </c>
      <c r="AE87" s="19">
        <f t="shared" si="4"/>
        <v>8.1040483710303715</v>
      </c>
      <c r="AF87" s="19">
        <f t="shared" si="5"/>
        <v>25.201800469955806</v>
      </c>
      <c r="AG87" s="2" t="s">
        <v>146</v>
      </c>
      <c r="AH87" s="13">
        <v>-3.5</v>
      </c>
      <c r="AI87" s="13">
        <v>2</v>
      </c>
      <c r="AJ87" s="19">
        <f>IF(Abschlüsse[[#This Row],[Ergeb]]="ET","",SQRT(($AC87-$AH87)^2+($AD87-$AI87)^2))</f>
        <v>6.7268120235368549</v>
      </c>
      <c r="AK87" s="3">
        <v>0</v>
      </c>
      <c r="AL87" s="13"/>
      <c r="AM87" s="13"/>
      <c r="AN87" s="19" t="str">
        <f t="shared" si="6"/>
        <v/>
      </c>
      <c r="AO87" s="3">
        <v>0</v>
      </c>
      <c r="AR87" s="19" t="str">
        <f t="shared" si="7"/>
        <v/>
      </c>
    </row>
    <row r="88" spans="1:44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COUNTIFS($A$2:$A88,$A88,$B$2:$B88,$B88,$L$2:$L88,"&lt;&gt;ET")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2">
        <v>16</v>
      </c>
      <c r="P88" s="2">
        <v>23</v>
      </c>
      <c r="Q88" s="2">
        <v>6</v>
      </c>
      <c r="R88" s="2">
        <v>19</v>
      </c>
      <c r="S88" s="2">
        <v>5</v>
      </c>
      <c r="X88" s="2" t="s">
        <v>141</v>
      </c>
      <c r="Y88" s="17" t="s">
        <v>143</v>
      </c>
      <c r="Z88" s="14" t="s">
        <v>144</v>
      </c>
      <c r="AA88" s="14" t="s">
        <v>145</v>
      </c>
      <c r="AB88" s="18">
        <v>10</v>
      </c>
      <c r="AC88" s="13">
        <v>1</v>
      </c>
      <c r="AD88" s="13">
        <v>9</v>
      </c>
      <c r="AE88" s="19">
        <f t="shared" si="4"/>
        <v>9</v>
      </c>
      <c r="AF88" s="19">
        <f t="shared" si="5"/>
        <v>43.839454439268671</v>
      </c>
      <c r="AG88" s="2" t="s">
        <v>146</v>
      </c>
      <c r="AH88" s="13">
        <v>-0.5</v>
      </c>
      <c r="AI88" s="13">
        <v>5</v>
      </c>
      <c r="AJ88" s="19">
        <f>IF(Abschlüsse[[#This Row],[Ergeb]]="ET","",SQRT(($AC88-$AH88)^2+($AD88-$AI88)^2))</f>
        <v>4.2720018726587652</v>
      </c>
      <c r="AK88" s="3">
        <v>1</v>
      </c>
      <c r="AL88" s="13">
        <v>3</v>
      </c>
      <c r="AM88" s="13">
        <v>10.5</v>
      </c>
      <c r="AN88" s="19">
        <f t="shared" si="6"/>
        <v>2.5</v>
      </c>
      <c r="AO88" s="3">
        <v>0</v>
      </c>
      <c r="AR88" s="19" t="str">
        <f t="shared" si="7"/>
        <v/>
      </c>
    </row>
    <row r="89" spans="1:44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COUNTIFS($A$2:$A89,$A89,$B$2:$B89,$B89,$L$2:$L89,"&lt;&gt;ET")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2">
        <v>8</v>
      </c>
      <c r="P89" s="2">
        <v>16</v>
      </c>
      <c r="Q89" s="2">
        <v>20</v>
      </c>
      <c r="R89" s="2">
        <v>23</v>
      </c>
      <c r="S89" s="2">
        <v>19</v>
      </c>
      <c r="X89" s="2" t="s">
        <v>151</v>
      </c>
      <c r="Y89" s="17" t="s">
        <v>143</v>
      </c>
      <c r="Z89" s="14" t="s">
        <v>150</v>
      </c>
      <c r="AA89" s="14" t="s">
        <v>145</v>
      </c>
      <c r="AB89" s="18">
        <v>27</v>
      </c>
      <c r="AC89" s="13">
        <v>-9.5</v>
      </c>
      <c r="AD89" s="13">
        <v>29</v>
      </c>
      <c r="AE89" s="19">
        <f t="shared" si="4"/>
        <v>29.582183827432349</v>
      </c>
      <c r="AF89" s="19">
        <f t="shared" si="5"/>
        <v>13.022317995547661</v>
      </c>
      <c r="AG89" s="2" t="s">
        <v>146</v>
      </c>
      <c r="AH89" s="13">
        <v>-1.5</v>
      </c>
      <c r="AI89" s="13">
        <v>2</v>
      </c>
      <c r="AJ89" s="19">
        <f>IF(Abschlüsse[[#This Row],[Ergeb]]="ET","",SQRT(($AC89-$AH89)^2+($AD89-$AI89)^2))</f>
        <v>28.160255680657446</v>
      </c>
      <c r="AK89" s="3">
        <v>2</v>
      </c>
      <c r="AL89" s="13">
        <v>-8.5</v>
      </c>
      <c r="AM89" s="13">
        <v>29.5</v>
      </c>
      <c r="AN89" s="19">
        <f t="shared" si="6"/>
        <v>1.1180339887498949</v>
      </c>
      <c r="AO89" s="3">
        <v>2</v>
      </c>
      <c r="AP89" s="13">
        <v>-8.5</v>
      </c>
      <c r="AQ89" s="13">
        <v>22</v>
      </c>
      <c r="AR89" s="19">
        <f t="shared" si="7"/>
        <v>7.0710678118654755</v>
      </c>
    </row>
    <row r="90" spans="1:44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COUNTIFS($A$2:$A90,$A90,$B$2:$B90,$B90,$L$2:$L90,"&lt;&gt;ET")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X90" s="2" t="s">
        <v>142</v>
      </c>
      <c r="Y90" s="17" t="s">
        <v>143</v>
      </c>
      <c r="Z90" s="14" t="s">
        <v>150</v>
      </c>
      <c r="AA90" s="14" t="s">
        <v>145</v>
      </c>
      <c r="AB90" s="18">
        <v>27</v>
      </c>
      <c r="AC90" s="13">
        <v>-4</v>
      </c>
      <c r="AD90" s="13">
        <v>22.5</v>
      </c>
      <c r="AE90" s="19">
        <f t="shared" si="4"/>
        <v>22.502568742256958</v>
      </c>
      <c r="AF90" s="19">
        <f t="shared" si="5"/>
        <v>17.935119225518985</v>
      </c>
      <c r="AG90" s="2" t="s">
        <v>146</v>
      </c>
      <c r="AH90" s="13">
        <v>-1</v>
      </c>
      <c r="AI90" s="13">
        <v>1.5</v>
      </c>
      <c r="AJ90" s="19">
        <f>IF(Abschlüsse[[#This Row],[Ergeb]]="ET","",SQRT(($AC90-$AH90)^2+($AD90-$AI90)^2))</f>
        <v>21.213203435596427</v>
      </c>
      <c r="AK90" s="3">
        <v>1</v>
      </c>
      <c r="AL90" s="13">
        <v>-5.5</v>
      </c>
      <c r="AM90" s="13">
        <v>22.5</v>
      </c>
      <c r="AN90" s="19">
        <f t="shared" si="6"/>
        <v>1.5</v>
      </c>
      <c r="AO90" s="3">
        <v>0</v>
      </c>
      <c r="AR90" s="19" t="str">
        <f t="shared" si="7"/>
        <v/>
      </c>
    </row>
    <row r="91" spans="1:44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COUNTIFS($A$2:$A91,$A91,$B$2:$B91,$B91,$L$2:$L91,"&lt;&gt;ET")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2">
        <v>23</v>
      </c>
      <c r="P91" s="2">
        <v>27</v>
      </c>
      <c r="Q91" s="2">
        <v>16</v>
      </c>
      <c r="R91" s="2">
        <v>6</v>
      </c>
      <c r="S91" s="2">
        <v>8</v>
      </c>
      <c r="T91" s="2">
        <v>19</v>
      </c>
      <c r="X91" s="2" t="s">
        <v>151</v>
      </c>
      <c r="Y91" s="17" t="s">
        <v>143</v>
      </c>
      <c r="Z91" s="14" t="s">
        <v>150</v>
      </c>
      <c r="AA91" s="14" t="s">
        <v>156</v>
      </c>
      <c r="AB91" s="18">
        <v>27</v>
      </c>
      <c r="AC91" s="13">
        <v>-8</v>
      </c>
      <c r="AD91" s="13">
        <v>28</v>
      </c>
      <c r="AE91" s="19">
        <f t="shared" si="4"/>
        <v>28.334353707116737</v>
      </c>
      <c r="AF91" s="19">
        <f t="shared" si="5"/>
        <v>13.797507152777936</v>
      </c>
      <c r="AG91" s="2" t="s">
        <v>146</v>
      </c>
      <c r="AH91" s="13">
        <v>-0.5</v>
      </c>
      <c r="AI91" s="13">
        <v>2</v>
      </c>
      <c r="AJ91" s="19">
        <f>IF(Abschlüsse[[#This Row],[Ergeb]]="ET","",SQRT(($AC91-$AH91)^2+($AD91-$AI91)^2))</f>
        <v>27.060118255469618</v>
      </c>
      <c r="AK91" s="3">
        <v>1</v>
      </c>
      <c r="AL91" s="13">
        <v>-9</v>
      </c>
      <c r="AM91" s="13">
        <v>25</v>
      </c>
      <c r="AN91" s="19">
        <f t="shared" si="6"/>
        <v>3.1622776601683795</v>
      </c>
      <c r="AO91" s="3">
        <v>1</v>
      </c>
      <c r="AP91" s="13">
        <v>-5</v>
      </c>
      <c r="AQ91" s="13">
        <v>14</v>
      </c>
      <c r="AR91" s="19">
        <f t="shared" si="7"/>
        <v>14.317821063276353</v>
      </c>
    </row>
    <row r="92" spans="1:44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COUNTIFS($A$2:$A92,$A92,$B$2:$B92,$B92,$L$2:$L92,"&lt;&gt;ET")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2">
        <v>23</v>
      </c>
      <c r="X92" s="2" t="s">
        <v>151</v>
      </c>
      <c r="Y92" s="17" t="s">
        <v>143</v>
      </c>
      <c r="Z92" s="14" t="s">
        <v>150</v>
      </c>
      <c r="AA92" s="14" t="s">
        <v>145</v>
      </c>
      <c r="AB92" s="18">
        <v>16</v>
      </c>
      <c r="AC92" s="13">
        <v>-4</v>
      </c>
      <c r="AD92" s="13">
        <v>28.5</v>
      </c>
      <c r="AE92" s="19">
        <f t="shared" si="4"/>
        <v>28.502027998021475</v>
      </c>
      <c r="AF92" s="19">
        <f t="shared" si="5"/>
        <v>14.360476413754014</v>
      </c>
      <c r="AG92" s="2" t="s">
        <v>146</v>
      </c>
      <c r="AH92" s="13">
        <v>-1.5</v>
      </c>
      <c r="AI92" s="13">
        <v>2</v>
      </c>
      <c r="AJ92" s="19">
        <f>IF(Abschlüsse[[#This Row],[Ergeb]]="ET","",SQRT(($AC92-$AH92)^2+($AD92-$AI92)^2))</f>
        <v>26.617663308412329</v>
      </c>
      <c r="AK92" s="3">
        <v>0</v>
      </c>
      <c r="AL92" s="13"/>
      <c r="AM92" s="13"/>
      <c r="AN92" s="19" t="str">
        <f t="shared" si="6"/>
        <v/>
      </c>
      <c r="AO92" s="3">
        <v>4</v>
      </c>
      <c r="AP92" s="13">
        <v>-3.5</v>
      </c>
      <c r="AQ92" s="13">
        <v>24.5</v>
      </c>
      <c r="AR92" s="19">
        <f t="shared" si="7"/>
        <v>4.0311288741492746</v>
      </c>
    </row>
    <row r="93" spans="1:44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COUNTIFS($A$2:$A93,$A93,$B$2:$B93,$B93,$L$2:$L93,"&lt;&gt;ET")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X93" s="2" t="s">
        <v>141</v>
      </c>
      <c r="Y93" s="17" t="s">
        <v>143</v>
      </c>
      <c r="Z93" s="14" t="s">
        <v>144</v>
      </c>
      <c r="AA93" s="14" t="s">
        <v>145</v>
      </c>
      <c r="AB93" s="18">
        <v>6</v>
      </c>
      <c r="AC93" s="13">
        <v>0</v>
      </c>
      <c r="AD93" s="13">
        <v>37</v>
      </c>
      <c r="AE93" s="19">
        <f t="shared" si="4"/>
        <v>37</v>
      </c>
      <c r="AF93" s="19">
        <f t="shared" si="5"/>
        <v>11.298516987139715</v>
      </c>
      <c r="AG93" s="2" t="s">
        <v>169</v>
      </c>
      <c r="AH93" s="13">
        <v>-0.5</v>
      </c>
      <c r="AI93" s="13">
        <v>7.5</v>
      </c>
      <c r="AJ93" s="19">
        <f>IF(Abschlüsse[[#This Row],[Ergeb]]="ET","",SQRT(($AC93-$AH93)^2+($AD93-$AI93)^2))</f>
        <v>29.504236983863859</v>
      </c>
      <c r="AK93" s="3">
        <v>1</v>
      </c>
      <c r="AL93" s="13">
        <v>0</v>
      </c>
      <c r="AM93" s="13">
        <v>39</v>
      </c>
      <c r="AN93" s="19">
        <f t="shared" si="6"/>
        <v>2</v>
      </c>
      <c r="AO93" s="3">
        <v>4</v>
      </c>
      <c r="AP93" s="13">
        <v>0</v>
      </c>
      <c r="AQ93" s="13">
        <v>20</v>
      </c>
      <c r="AR93" s="19">
        <f t="shared" si="7"/>
        <v>17</v>
      </c>
    </row>
    <row r="94" spans="1:44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COUNTIFS($A$2:$A94,$A94,$B$2:$B94,$B94,$L$2:$L94,"&lt;&gt;ET")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X94" s="2" t="s">
        <v>151</v>
      </c>
      <c r="Y94" s="17" t="s">
        <v>143</v>
      </c>
      <c r="Z94" s="14" t="s">
        <v>150</v>
      </c>
      <c r="AA94" s="14" t="s">
        <v>156</v>
      </c>
      <c r="AB94" s="18"/>
      <c r="AC94" s="13">
        <v>-15</v>
      </c>
      <c r="AD94" s="13">
        <v>22</v>
      </c>
      <c r="AE94" s="19">
        <f t="shared" si="4"/>
        <v>24.750668677835755</v>
      </c>
      <c r="AF94" s="19">
        <f t="shared" si="5"/>
        <v>13.034956093856573</v>
      </c>
      <c r="AG94" s="2" t="s">
        <v>146</v>
      </c>
      <c r="AH94" s="13">
        <v>-0.5</v>
      </c>
      <c r="AI94" s="13">
        <v>1</v>
      </c>
      <c r="AJ94" s="19">
        <f>IF(Abschlüsse[[#This Row],[Ergeb]]="ET","",SQRT(($AC94-$AH94)^2+($AD94-$AI94)^2))</f>
        <v>25.519600310349691</v>
      </c>
      <c r="AK94" s="3">
        <v>0</v>
      </c>
      <c r="AL94" s="13"/>
      <c r="AM94" s="13"/>
      <c r="AN94" s="19" t="str">
        <f t="shared" si="6"/>
        <v/>
      </c>
      <c r="AO94" s="3">
        <v>2</v>
      </c>
      <c r="AP94" s="13">
        <v>-12.5</v>
      </c>
      <c r="AQ94" s="13">
        <v>18</v>
      </c>
      <c r="AR94" s="19">
        <f t="shared" si="7"/>
        <v>4.7169905660283016</v>
      </c>
    </row>
    <row r="95" spans="1:44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COUNTIFS($A$2:$A95,$A95,$B$2:$B95,$B95,$L$2:$L95,"&lt;&gt;ET")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X95" s="2" t="s">
        <v>151</v>
      </c>
      <c r="Y95" s="17" t="s">
        <v>149</v>
      </c>
      <c r="Z95" s="14" t="s">
        <v>150</v>
      </c>
      <c r="AA95" s="14" t="s">
        <v>145</v>
      </c>
      <c r="AB95" s="18">
        <v>20</v>
      </c>
      <c r="AC95" s="13">
        <v>-7.5</v>
      </c>
      <c r="AD95" s="13">
        <v>21</v>
      </c>
      <c r="AE95" s="19">
        <f t="shared" si="4"/>
        <v>21.348198987268223</v>
      </c>
      <c r="AF95" s="19">
        <f t="shared" si="5"/>
        <v>17.624994092324112</v>
      </c>
      <c r="AG95" s="2" t="s">
        <v>146</v>
      </c>
      <c r="AH95" s="13">
        <v>-1</v>
      </c>
      <c r="AI95" s="13">
        <v>3</v>
      </c>
      <c r="AJ95" s="19">
        <f>IF(Abschlüsse[[#This Row],[Ergeb]]="ET","",SQRT(($AC95-$AH95)^2+($AD95-$AI95)^2))</f>
        <v>19.137659209004639</v>
      </c>
      <c r="AK95" s="3">
        <v>0</v>
      </c>
      <c r="AL95" s="13"/>
      <c r="AM95" s="13"/>
      <c r="AN95" s="19" t="str">
        <f t="shared" si="6"/>
        <v/>
      </c>
      <c r="AO95" s="3">
        <v>3</v>
      </c>
      <c r="AP95" s="13">
        <v>-6.5</v>
      </c>
      <c r="AQ95" s="13">
        <v>18</v>
      </c>
      <c r="AR95" s="19">
        <f t="shared" si="7"/>
        <v>3.1622776601683795</v>
      </c>
    </row>
    <row r="96" spans="1:44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COUNTIFS($A$2:$A96,$A96,$B$2:$B96,$B96,$L$2:$L96,"&lt;&gt;ET")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X96" s="2" t="s">
        <v>154</v>
      </c>
      <c r="Y96" s="17" t="s">
        <v>160</v>
      </c>
      <c r="Z96" s="14" t="s">
        <v>161</v>
      </c>
      <c r="AA96" s="14" t="s">
        <v>156</v>
      </c>
      <c r="AB96" s="18"/>
      <c r="AC96" s="13">
        <v>-5</v>
      </c>
      <c r="AD96" s="13">
        <v>9.5</v>
      </c>
      <c r="AE96" s="19">
        <f t="shared" si="4"/>
        <v>9.5940398164693885</v>
      </c>
      <c r="AF96" s="19">
        <f t="shared" si="5"/>
        <v>34.322888606241513</v>
      </c>
      <c r="AG96" s="2" t="s">
        <v>146</v>
      </c>
      <c r="AH96" s="13">
        <v>-0.5</v>
      </c>
      <c r="AI96" s="13">
        <v>0.5</v>
      </c>
      <c r="AJ96" s="19">
        <f>IF(Abschlüsse[[#This Row],[Ergeb]]="ET","",SQRT(($AC96-$AH96)^2+($AD96-$AI96)^2))</f>
        <v>10.062305898749054</v>
      </c>
      <c r="AK96" s="3">
        <v>1</v>
      </c>
      <c r="AL96" s="13">
        <v>-6.5</v>
      </c>
      <c r="AM96" s="13">
        <v>7.5</v>
      </c>
      <c r="AN96" s="19">
        <f t="shared" si="6"/>
        <v>2.5</v>
      </c>
      <c r="AO96" s="3">
        <v>2</v>
      </c>
      <c r="AP96" s="13">
        <v>-2.5</v>
      </c>
      <c r="AQ96" s="13">
        <v>7.5</v>
      </c>
      <c r="AR96" s="19">
        <f t="shared" si="7"/>
        <v>3.2015621187164243</v>
      </c>
    </row>
    <row r="97" spans="1:44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COUNTIFS($A$2:$A97,$A97,$B$2:$B97,$B97,$L$2:$L97,"&lt;&gt;ET")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X97" s="2" t="s">
        <v>141</v>
      </c>
      <c r="Y97" s="17" t="s">
        <v>143</v>
      </c>
      <c r="Z97" s="14" t="s">
        <v>144</v>
      </c>
      <c r="AA97" s="14" t="s">
        <v>145</v>
      </c>
      <c r="AB97" s="18">
        <v>5</v>
      </c>
      <c r="AC97" s="13">
        <v>0.5</v>
      </c>
      <c r="AD97" s="13">
        <v>21</v>
      </c>
      <c r="AE97" s="19">
        <f t="shared" si="4"/>
        <v>21</v>
      </c>
      <c r="AF97" s="19">
        <f t="shared" si="5"/>
        <v>19.762403887453033</v>
      </c>
      <c r="AG97" s="2" t="s">
        <v>146</v>
      </c>
      <c r="AH97" s="13">
        <v>0</v>
      </c>
      <c r="AI97" s="13">
        <v>2.5</v>
      </c>
      <c r="AJ97" s="19">
        <f>IF(Abschlüsse[[#This Row],[Ergeb]]="ET","",SQRT(($AC97-$AH97)^2+($AD97-$AI97)^2))</f>
        <v>18.506755523321747</v>
      </c>
      <c r="AK97" s="3">
        <v>1</v>
      </c>
      <c r="AL97" s="13">
        <v>-2</v>
      </c>
      <c r="AM97" s="13">
        <v>19</v>
      </c>
      <c r="AN97" s="19">
        <f t="shared" si="6"/>
        <v>3.2015621187164243</v>
      </c>
      <c r="AO97" s="3">
        <v>3</v>
      </c>
      <c r="AP97" s="13">
        <v>0.5</v>
      </c>
      <c r="AQ97" s="13">
        <v>19</v>
      </c>
      <c r="AR97" s="19">
        <f t="shared" si="7"/>
        <v>2</v>
      </c>
    </row>
    <row r="98" spans="1:44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COUNTIFS($A$2:$A98,$A98,$B$2:$B98,$B98,$L$2:$L98,"&lt;&gt;ET")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2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X98" s="2" t="s">
        <v>151</v>
      </c>
      <c r="Y98" s="17" t="s">
        <v>143</v>
      </c>
      <c r="Z98" s="14" t="s">
        <v>150</v>
      </c>
      <c r="AA98" s="14" t="s">
        <v>156</v>
      </c>
      <c r="AB98" s="18">
        <v>7</v>
      </c>
      <c r="AC98" s="13">
        <v>-16.5</v>
      </c>
      <c r="AD98" s="13">
        <v>13</v>
      </c>
      <c r="AE98" s="19">
        <f t="shared" si="4"/>
        <v>18.271989492116067</v>
      </c>
      <c r="AF98" s="19">
        <f t="shared" si="5"/>
        <v>12.539175087027264</v>
      </c>
      <c r="AG98" s="2" t="s">
        <v>146</v>
      </c>
      <c r="AH98" s="13">
        <v>-3</v>
      </c>
      <c r="AI98" s="13">
        <v>0.5</v>
      </c>
      <c r="AJ98" s="19">
        <f>IF(Abschlüsse[[#This Row],[Ergeb]]="ET","",SQRT(($AC98-$AH98)^2+($AD98-$AI98)^2))</f>
        <v>18.398369492974098</v>
      </c>
      <c r="AK98" s="3">
        <v>1</v>
      </c>
      <c r="AL98" s="13">
        <v>-16.5</v>
      </c>
      <c r="AM98" s="13">
        <v>10.5</v>
      </c>
      <c r="AN98" s="19">
        <f t="shared" si="6"/>
        <v>2.5</v>
      </c>
      <c r="AO98" s="3">
        <v>0</v>
      </c>
      <c r="AR98" s="19" t="str">
        <f t="shared" si="7"/>
        <v/>
      </c>
    </row>
    <row r="99" spans="1:44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COUNTIFS($A$2:$A99,$A99,$B$2:$B99,$B99,$L$2:$L99,"&lt;&gt;ET")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2">
        <v>5</v>
      </c>
      <c r="X99" s="2" t="s">
        <v>151</v>
      </c>
      <c r="Y99" s="17" t="s">
        <v>149</v>
      </c>
      <c r="Z99" s="14" t="s">
        <v>150</v>
      </c>
      <c r="AA99" s="14" t="s">
        <v>145</v>
      </c>
      <c r="AB99" s="18">
        <v>7</v>
      </c>
      <c r="AC99" s="13">
        <v>4</v>
      </c>
      <c r="AD99" s="13">
        <v>17.5</v>
      </c>
      <c r="AE99" s="19">
        <f t="shared" si="4"/>
        <v>17.503302545519801</v>
      </c>
      <c r="AF99" s="19">
        <f t="shared" si="5"/>
        <v>22.526646995733866</v>
      </c>
      <c r="AG99" s="2" t="s">
        <v>146</v>
      </c>
      <c r="AH99" s="13">
        <v>0.5</v>
      </c>
      <c r="AI99" s="13">
        <v>4.5</v>
      </c>
      <c r="AJ99" s="19">
        <f>IF(Abschlüsse[[#This Row],[Ergeb]]="ET","",SQRT(($AC99-$AH99)^2+($AD99-$AI99)^2))</f>
        <v>13.46291201783626</v>
      </c>
      <c r="AK99" s="3">
        <v>2</v>
      </c>
      <c r="AL99" s="13">
        <v>5.5</v>
      </c>
      <c r="AM99" s="13">
        <v>18.5</v>
      </c>
      <c r="AN99" s="19">
        <f t="shared" si="6"/>
        <v>1.8027756377319946</v>
      </c>
      <c r="AO99" s="3">
        <v>0</v>
      </c>
      <c r="AR99" s="19" t="str">
        <f t="shared" si="7"/>
        <v/>
      </c>
    </row>
    <row r="100" spans="1:44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COUNTIFS($A$2:$A100,$A100,$B$2:$B100,$B100,$L$2:$L100,"&lt;&gt;ET")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2">
        <v>8</v>
      </c>
      <c r="P100" s="2">
        <v>23</v>
      </c>
      <c r="Q100" s="2">
        <v>16</v>
      </c>
      <c r="R100" s="2">
        <v>20</v>
      </c>
      <c r="S100" s="2">
        <v>26</v>
      </c>
      <c r="X100" s="2" t="s">
        <v>151</v>
      </c>
      <c r="Y100" s="17" t="s">
        <v>149</v>
      </c>
      <c r="Z100" s="14" t="s">
        <v>150</v>
      </c>
      <c r="AA100" s="14" t="s">
        <v>145</v>
      </c>
      <c r="AB100" s="18">
        <v>20</v>
      </c>
      <c r="AC100" s="13">
        <v>-7.5</v>
      </c>
      <c r="AD100" s="13">
        <v>27</v>
      </c>
      <c r="AE100" s="19">
        <f t="shared" si="4"/>
        <v>27.271699617002238</v>
      </c>
      <c r="AF100" s="19">
        <f t="shared" si="5"/>
        <v>14.362490517670119</v>
      </c>
      <c r="AG100" s="2" t="s">
        <v>146</v>
      </c>
      <c r="AH100" s="13">
        <v>-1</v>
      </c>
      <c r="AI100" s="13">
        <v>3</v>
      </c>
      <c r="AJ100" s="19">
        <f>IF(Abschlüsse[[#This Row],[Ergeb]]="ET","",SQRT(($AC100-$AH100)^2+($AD100-$AI100)^2))</f>
        <v>24.864633518312711</v>
      </c>
      <c r="AK100" s="3">
        <v>0</v>
      </c>
      <c r="AL100" s="13"/>
      <c r="AM100" s="13"/>
      <c r="AN100" s="19" t="str">
        <f t="shared" si="6"/>
        <v/>
      </c>
      <c r="AO100" s="3">
        <v>2</v>
      </c>
      <c r="AP100" s="13">
        <v>-5.5</v>
      </c>
      <c r="AQ100" s="13">
        <v>23</v>
      </c>
      <c r="AR100" s="19">
        <f t="shared" si="7"/>
        <v>4.4721359549995796</v>
      </c>
    </row>
    <row r="101" spans="1:44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COUNTIFS($A$2:$A101,$A101,$B$2:$B101,$B101,$L$2:$L101,"&lt;&gt;ET")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X101" s="2" t="s">
        <v>151</v>
      </c>
      <c r="Y101" s="17" t="s">
        <v>143</v>
      </c>
      <c r="Z101" s="14" t="s">
        <v>144</v>
      </c>
      <c r="AA101" s="14" t="s">
        <v>156</v>
      </c>
      <c r="AB101" s="18"/>
      <c r="AC101" s="13">
        <v>1</v>
      </c>
      <c r="AD101" s="13">
        <v>25</v>
      </c>
      <c r="AE101" s="19">
        <f t="shared" si="4"/>
        <v>25</v>
      </c>
      <c r="AF101" s="19">
        <f t="shared" si="5"/>
        <v>16.632179031120778</v>
      </c>
      <c r="AG101" s="2" t="s">
        <v>146</v>
      </c>
      <c r="AH101" s="13">
        <v>0</v>
      </c>
      <c r="AI101" s="13">
        <v>1.5</v>
      </c>
      <c r="AJ101" s="19">
        <f>IF(Abschlüsse[[#This Row],[Ergeb]]="ET","",SQRT(($AC101-$AH101)^2+($AD101-$AI101)^2))</f>
        <v>23.521266972678152</v>
      </c>
      <c r="AK101" s="3">
        <v>1</v>
      </c>
      <c r="AL101" s="13">
        <v>-0.5</v>
      </c>
      <c r="AM101" s="13">
        <v>22.5</v>
      </c>
      <c r="AN101" s="19">
        <f t="shared" si="6"/>
        <v>2.9154759474226504</v>
      </c>
      <c r="AO101" s="3">
        <v>0</v>
      </c>
      <c r="AR101" s="19" t="str">
        <f t="shared" si="7"/>
        <v/>
      </c>
    </row>
    <row r="102" spans="1:44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COUNTIFS($A$2:$A102,$A102,$B$2:$B102,$B102,$L$2:$L102,"&lt;&gt;ET")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2">
        <v>20</v>
      </c>
      <c r="P102" s="2">
        <v>16</v>
      </c>
      <c r="Q102" s="2">
        <v>26</v>
      </c>
      <c r="X102" s="2" t="s">
        <v>154</v>
      </c>
      <c r="Y102" s="18" t="s">
        <v>160</v>
      </c>
      <c r="Z102" s="14" t="s">
        <v>161</v>
      </c>
      <c r="AA102" s="14" t="s">
        <v>156</v>
      </c>
      <c r="AB102" s="18">
        <v>7</v>
      </c>
      <c r="AC102" s="13">
        <v>-4.5</v>
      </c>
      <c r="AD102" s="13">
        <v>7</v>
      </c>
      <c r="AE102" s="19">
        <f t="shared" si="4"/>
        <v>7.0502198547279358</v>
      </c>
      <c r="AF102" s="19">
        <f t="shared" si="5"/>
        <v>42.532810160119716</v>
      </c>
      <c r="AG102" s="3" t="s">
        <v>146</v>
      </c>
      <c r="AH102" s="13">
        <v>-2</v>
      </c>
      <c r="AI102" s="13">
        <v>3.5</v>
      </c>
      <c r="AJ102" s="19">
        <f>IF(Abschlüsse[[#This Row],[Ergeb]]="ET","",SQRT(($AC102-$AH102)^2+($AD102-$AI102)^2))</f>
        <v>4.3011626335213133</v>
      </c>
      <c r="AK102" s="3">
        <v>1</v>
      </c>
      <c r="AL102" s="13">
        <v>-2.5</v>
      </c>
      <c r="AM102" s="13">
        <v>7</v>
      </c>
      <c r="AN102" s="19">
        <f t="shared" si="6"/>
        <v>2</v>
      </c>
      <c r="AO102" s="3">
        <v>0</v>
      </c>
      <c r="AR102" s="19" t="str">
        <f t="shared" si="7"/>
        <v/>
      </c>
    </row>
    <row r="103" spans="1:44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COUNTIFS($A$2:$A103,$A103,$B$2:$B103,$B103,$L$2:$L103,"&lt;&gt;ET")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X103" s="2" t="s">
        <v>142</v>
      </c>
      <c r="Y103" s="17" t="s">
        <v>149</v>
      </c>
      <c r="Z103" s="14" t="s">
        <v>150</v>
      </c>
      <c r="AA103" s="14" t="s">
        <v>145</v>
      </c>
      <c r="AB103" s="18"/>
      <c r="AC103" s="13">
        <v>-15</v>
      </c>
      <c r="AD103" s="13">
        <v>27</v>
      </c>
      <c r="AE103" s="19">
        <f t="shared" si="4"/>
        <v>29.284733223985498</v>
      </c>
      <c r="AF103" s="19">
        <f t="shared" si="5"/>
        <v>11.866375923191878</v>
      </c>
      <c r="AG103" s="2" t="s">
        <v>146</v>
      </c>
      <c r="AH103" s="13">
        <v>-0.5</v>
      </c>
      <c r="AI103" s="13">
        <v>2</v>
      </c>
      <c r="AJ103" s="19">
        <f>IF(Abschlüsse[[#This Row],[Ergeb]]="ET","",SQRT(($AC103-$AH103)^2+($AD103-$AI103)^2))</f>
        <v>28.900692033236851</v>
      </c>
      <c r="AK103" s="3">
        <v>0</v>
      </c>
      <c r="AL103" s="13"/>
      <c r="AM103" s="13"/>
      <c r="AN103" s="19" t="str">
        <f t="shared" si="6"/>
        <v/>
      </c>
      <c r="AO103" s="3">
        <v>3</v>
      </c>
      <c r="AP103" s="13">
        <v>-11</v>
      </c>
      <c r="AQ103" s="13">
        <v>18.5</v>
      </c>
      <c r="AR103" s="19">
        <f t="shared" si="7"/>
        <v>9.3941471140279678</v>
      </c>
    </row>
    <row r="104" spans="1:44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COUNTIFS($A$2:$A104,$A104,$B$2:$B104,$B104,$L$2:$L104,"&lt;&gt;ET")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2">
        <v>8</v>
      </c>
      <c r="P104" s="2">
        <v>23</v>
      </c>
      <c r="X104" s="2" t="s">
        <v>151</v>
      </c>
      <c r="Y104" s="17" t="s">
        <v>143</v>
      </c>
      <c r="Z104" s="14" t="s">
        <v>150</v>
      </c>
      <c r="AA104" s="14" t="s">
        <v>145</v>
      </c>
      <c r="AB104" s="18">
        <v>25</v>
      </c>
      <c r="AC104" s="13">
        <v>4.5</v>
      </c>
      <c r="AD104" s="13">
        <v>16</v>
      </c>
      <c r="AE104" s="19">
        <f t="shared" si="4"/>
        <v>16.022034827074869</v>
      </c>
      <c r="AF104" s="19">
        <f t="shared" si="5"/>
        <v>24.016312231487106</v>
      </c>
      <c r="AG104" s="2" t="s">
        <v>146</v>
      </c>
      <c r="AH104" s="13">
        <v>4</v>
      </c>
      <c r="AI104" s="13">
        <v>13</v>
      </c>
      <c r="AJ104" s="19">
        <f>IF(Abschlüsse[[#This Row],[Ergeb]]="ET","",SQRT(($AC104-$AH104)^2+($AD104-$AI104)^2))</f>
        <v>3.0413812651491097</v>
      </c>
      <c r="AK104" s="3">
        <v>1</v>
      </c>
      <c r="AL104" s="13">
        <v>4.5</v>
      </c>
      <c r="AM104" s="13">
        <v>17</v>
      </c>
      <c r="AN104" s="19">
        <f t="shared" si="6"/>
        <v>1</v>
      </c>
      <c r="AO104" s="3">
        <v>0</v>
      </c>
      <c r="AR104" s="19" t="str">
        <f t="shared" si="7"/>
        <v/>
      </c>
    </row>
    <row r="105" spans="1:44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COUNTIFS($A$2:$A105,$A105,$B$2:$B105,$B105,$L$2:$L105,"&lt;&gt;ET")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X105" s="2" t="s">
        <v>142</v>
      </c>
      <c r="Y105" s="17" t="s">
        <v>143</v>
      </c>
      <c r="Z105" s="14" t="s">
        <v>150</v>
      </c>
      <c r="AA105" s="14" t="s">
        <v>145</v>
      </c>
      <c r="AB105" s="18">
        <v>9</v>
      </c>
      <c r="AC105" s="13">
        <v>8</v>
      </c>
      <c r="AD105" s="13">
        <v>15</v>
      </c>
      <c r="AE105" s="19">
        <f t="shared" si="4"/>
        <v>15.615236149351055</v>
      </c>
      <c r="AF105" s="19">
        <f t="shared" si="5"/>
        <v>21.72219498057148</v>
      </c>
      <c r="AG105" s="2" t="s">
        <v>169</v>
      </c>
      <c r="AH105" s="13">
        <v>5</v>
      </c>
      <c r="AI105" s="13">
        <v>13</v>
      </c>
      <c r="AJ105" s="19">
        <f>IF(Abschlüsse[[#This Row],[Ergeb]]="ET","",SQRT(($AC105-$AH105)^2+($AD105-$AI105)^2))</f>
        <v>3.6055512754639891</v>
      </c>
      <c r="AK105" s="3">
        <v>1</v>
      </c>
      <c r="AL105" s="13">
        <v>8</v>
      </c>
      <c r="AM105" s="13">
        <v>13</v>
      </c>
      <c r="AN105" s="19">
        <f t="shared" si="6"/>
        <v>2</v>
      </c>
      <c r="AO105" s="3">
        <v>0</v>
      </c>
      <c r="AR105" s="19" t="str">
        <f t="shared" si="7"/>
        <v/>
      </c>
    </row>
    <row r="106" spans="1:44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COUNTIFS($A$2:$A106,$A106,$B$2:$B106,$B106,$L$2:$L106,"&lt;&gt;ET")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2">
        <v>9</v>
      </c>
      <c r="P106" s="2">
        <v>7</v>
      </c>
      <c r="Q106" s="2">
        <v>13</v>
      </c>
      <c r="R106" s="2">
        <v>1</v>
      </c>
      <c r="S106" s="2">
        <v>20</v>
      </c>
      <c r="T106" s="2">
        <v>5</v>
      </c>
      <c r="X106" s="2" t="s">
        <v>142</v>
      </c>
      <c r="Y106" s="17" t="s">
        <v>149</v>
      </c>
      <c r="Z106" s="14" t="s">
        <v>150</v>
      </c>
      <c r="AA106" s="14" t="s">
        <v>156</v>
      </c>
      <c r="AB106" s="18">
        <v>10</v>
      </c>
      <c r="AC106" s="13">
        <v>-6</v>
      </c>
      <c r="AD106" s="13">
        <v>6.5</v>
      </c>
      <c r="AE106" s="19">
        <f t="shared" si="4"/>
        <v>6.9083717329049401</v>
      </c>
      <c r="AF106" s="19">
        <f t="shared" si="5"/>
        <v>36.265387298376041</v>
      </c>
      <c r="AG106" s="2" t="s">
        <v>146</v>
      </c>
      <c r="AH106" s="13">
        <v>-3</v>
      </c>
      <c r="AI106" s="13">
        <v>2</v>
      </c>
      <c r="AJ106" s="19">
        <f>IF(Abschlüsse[[#This Row],[Ergeb]]="ET","",SQRT(($AC106-$AH106)^2+($AD106-$AI106)^2))</f>
        <v>5.4083269131959844</v>
      </c>
      <c r="AK106" s="3">
        <v>2</v>
      </c>
      <c r="AL106" s="13">
        <v>-2.5</v>
      </c>
      <c r="AM106" s="13">
        <v>6</v>
      </c>
      <c r="AN106" s="19">
        <f t="shared" si="6"/>
        <v>3.5355339059327378</v>
      </c>
      <c r="AO106" s="3">
        <v>0</v>
      </c>
      <c r="AR106" s="19" t="str">
        <f t="shared" si="7"/>
        <v/>
      </c>
    </row>
    <row r="107" spans="1:44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COUNTIFS($A$2:$A107,$A107,$B$2:$B107,$B107,$L$2:$L107,"&lt;&gt;ET")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X107" s="2" t="s">
        <v>151</v>
      </c>
      <c r="Y107" s="17" t="s">
        <v>149</v>
      </c>
      <c r="Z107" s="14" t="s">
        <v>150</v>
      </c>
      <c r="AA107" s="14" t="s">
        <v>156</v>
      </c>
      <c r="AB107" s="18"/>
      <c r="AC107" s="13">
        <v>14</v>
      </c>
      <c r="AD107" s="13">
        <v>16.5</v>
      </c>
      <c r="AE107" s="19">
        <f t="shared" si="4"/>
        <v>19.472175019755753</v>
      </c>
      <c r="AF107" s="19">
        <f t="shared" si="5"/>
        <v>14.870893003891215</v>
      </c>
      <c r="AG107" s="2" t="s">
        <v>146</v>
      </c>
      <c r="AH107" s="13">
        <v>2.5</v>
      </c>
      <c r="AI107" s="13">
        <v>1.5</v>
      </c>
      <c r="AJ107" s="19">
        <f>IF(Abschlüsse[[#This Row],[Ergeb]]="ET","",SQRT(($AC107-$AH107)^2+($AD107-$AI107)^2))</f>
        <v>18.9010581714358</v>
      </c>
      <c r="AK107" s="3">
        <v>1</v>
      </c>
      <c r="AL107" s="13">
        <v>14.5</v>
      </c>
      <c r="AM107" s="13">
        <v>14.5</v>
      </c>
      <c r="AN107" s="19">
        <f t="shared" si="6"/>
        <v>2.0615528128088303</v>
      </c>
      <c r="AO107" s="3">
        <v>1</v>
      </c>
      <c r="AP107" s="13">
        <v>9</v>
      </c>
      <c r="AQ107" s="13">
        <v>13</v>
      </c>
      <c r="AR107" s="19">
        <f t="shared" si="7"/>
        <v>6.103277807866851</v>
      </c>
    </row>
    <row r="108" spans="1:44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COUNTIFS($A$2:$A108,$A108,$B$2:$B108,$B108,$L$2:$L108,"&lt;&gt;ET")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2">
        <v>7</v>
      </c>
      <c r="P108" s="2">
        <v>5</v>
      </c>
      <c r="X108" s="2" t="s">
        <v>151</v>
      </c>
      <c r="Y108" s="17" t="s">
        <v>149</v>
      </c>
      <c r="Z108" s="14" t="s">
        <v>150</v>
      </c>
      <c r="AA108" s="14" t="s">
        <v>156</v>
      </c>
      <c r="AB108" s="18">
        <v>9</v>
      </c>
      <c r="AC108" s="13">
        <v>7</v>
      </c>
      <c r="AD108" s="13">
        <v>8.5</v>
      </c>
      <c r="AE108" s="19">
        <f t="shared" si="4"/>
        <v>9.1326666423339891</v>
      </c>
      <c r="AF108" s="19">
        <f t="shared" si="5"/>
        <v>29.980167696972419</v>
      </c>
      <c r="AG108" s="2" t="s">
        <v>146</v>
      </c>
      <c r="AH108" s="13">
        <v>3.5</v>
      </c>
      <c r="AI108" s="13">
        <v>3.5</v>
      </c>
      <c r="AJ108" s="19">
        <f>IF(Abschlüsse[[#This Row],[Ergeb]]="ET","",SQRT(($AC108-$AH108)^2+($AD108-$AI108)^2))</f>
        <v>6.103277807866851</v>
      </c>
      <c r="AK108" s="3">
        <v>2</v>
      </c>
      <c r="AL108" s="13">
        <v>8.5</v>
      </c>
      <c r="AM108" s="13">
        <v>8</v>
      </c>
      <c r="AN108" s="19">
        <f t="shared" si="6"/>
        <v>1.5811388300841898</v>
      </c>
      <c r="AO108" s="3">
        <v>1</v>
      </c>
      <c r="AP108" s="13">
        <v>1.5</v>
      </c>
      <c r="AQ108" s="13">
        <v>4.5</v>
      </c>
      <c r="AR108" s="19">
        <f t="shared" si="7"/>
        <v>6.800735254367722</v>
      </c>
    </row>
    <row r="109" spans="1:44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COUNTIFS($A$2:$A109,$A109,$B$2:$B109,$B109,$L$2:$L109,"&lt;&gt;ET")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2">
        <v>20</v>
      </c>
      <c r="P109" s="2">
        <v>16</v>
      </c>
      <c r="Q109" s="2">
        <v>26</v>
      </c>
      <c r="R109" s="2">
        <v>8</v>
      </c>
      <c r="S109" s="2">
        <v>23</v>
      </c>
      <c r="X109" s="2" t="s">
        <v>154</v>
      </c>
      <c r="Y109" s="17" t="s">
        <v>149</v>
      </c>
      <c r="Z109" s="14" t="s">
        <v>144</v>
      </c>
      <c r="AA109" s="14" t="s">
        <v>156</v>
      </c>
      <c r="AB109" s="18">
        <v>10</v>
      </c>
      <c r="AC109" s="13">
        <v>9</v>
      </c>
      <c r="AD109" s="13">
        <v>7</v>
      </c>
      <c r="AE109" s="19">
        <f t="shared" si="4"/>
        <v>8.804294406708582</v>
      </c>
      <c r="AF109" s="19">
        <f t="shared" si="5"/>
        <v>23.722344983450849</v>
      </c>
      <c r="AG109" s="2" t="s">
        <v>146</v>
      </c>
      <c r="AH109" s="13">
        <v>3</v>
      </c>
      <c r="AI109" s="13">
        <v>0.5</v>
      </c>
      <c r="AJ109" s="19">
        <f>IF(Abschlüsse[[#This Row],[Ergeb]]="ET","",SQRT(($AC109-$AH109)^2+($AD109-$AI109)^2))</f>
        <v>8.8459030064770658</v>
      </c>
      <c r="AK109" s="3">
        <v>1</v>
      </c>
      <c r="AL109" s="13">
        <v>10</v>
      </c>
      <c r="AM109" s="13">
        <v>6</v>
      </c>
      <c r="AN109" s="19">
        <f t="shared" si="6"/>
        <v>1.4142135623730951</v>
      </c>
      <c r="AO109" s="3">
        <v>0</v>
      </c>
      <c r="AR109" s="19" t="str">
        <f t="shared" si="7"/>
        <v/>
      </c>
    </row>
    <row r="110" spans="1:44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COUNTIFS($A$2:$A110,$A110,$B$2:$B110,$B110,$L$2:$L110,"&lt;&gt;ET")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X110" s="2" t="s">
        <v>154</v>
      </c>
      <c r="Y110" s="17" t="s">
        <v>160</v>
      </c>
      <c r="Z110" s="14" t="s">
        <v>161</v>
      </c>
      <c r="AA110" s="14" t="s">
        <v>156</v>
      </c>
      <c r="AB110" s="18"/>
      <c r="AC110" s="13">
        <v>0</v>
      </c>
      <c r="AD110" s="13">
        <v>15</v>
      </c>
      <c r="AE110" s="19">
        <f t="shared" si="4"/>
        <v>15</v>
      </c>
      <c r="AF110" s="19">
        <f t="shared" si="5"/>
        <v>27.424473717064071</v>
      </c>
      <c r="AG110" s="2" t="s">
        <v>146</v>
      </c>
      <c r="AH110" s="13">
        <v>0</v>
      </c>
      <c r="AI110" s="13">
        <v>1</v>
      </c>
      <c r="AJ110" s="19">
        <f>IF(Abschlüsse[[#This Row],[Ergeb]]="ET","",SQRT(($AC110-$AH110)^2+($AD110-$AI110)^2))</f>
        <v>14</v>
      </c>
      <c r="AK110" s="3">
        <v>1</v>
      </c>
      <c r="AL110" s="13">
        <v>-0.5</v>
      </c>
      <c r="AM110" s="13">
        <v>14.5</v>
      </c>
      <c r="AN110" s="19">
        <f t="shared" si="6"/>
        <v>0.70710678118654757</v>
      </c>
      <c r="AO110" s="3">
        <v>0</v>
      </c>
      <c r="AR110" s="19" t="str">
        <f t="shared" si="7"/>
        <v/>
      </c>
    </row>
    <row r="111" spans="1:44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COUNTIFS($A$2:$A111,$A111,$B$2:$B111,$B111,$L$2:$L111,"&lt;&gt;ET")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X111" s="2" t="s">
        <v>151</v>
      </c>
      <c r="Y111" s="17" t="s">
        <v>149</v>
      </c>
      <c r="Z111" s="14" t="s">
        <v>150</v>
      </c>
      <c r="AA111" s="14" t="s">
        <v>145</v>
      </c>
      <c r="AB111" s="18">
        <v>20</v>
      </c>
      <c r="AC111" s="13">
        <v>-15.5</v>
      </c>
      <c r="AD111" s="13">
        <v>23.5</v>
      </c>
      <c r="AE111" s="19">
        <f t="shared" si="4"/>
        <v>26.314171087077778</v>
      </c>
      <c r="AF111" s="19">
        <f t="shared" si="5"/>
        <v>12.450693360171121</v>
      </c>
      <c r="AG111" s="2" t="s">
        <v>146</v>
      </c>
      <c r="AH111" s="13">
        <v>-2</v>
      </c>
      <c r="AI111" s="13">
        <v>2</v>
      </c>
      <c r="AJ111" s="19">
        <f>IF(Abschlüsse[[#This Row],[Ergeb]]="ET","",SQRT(($AC111-$AH111)^2+($AD111-$AI111)^2))</f>
        <v>25.387004549572207</v>
      </c>
      <c r="AK111" s="3">
        <v>1</v>
      </c>
      <c r="AL111" s="13">
        <v>-14.5</v>
      </c>
      <c r="AM111" s="13">
        <v>20</v>
      </c>
      <c r="AN111" s="19">
        <f t="shared" si="6"/>
        <v>3.640054944640259</v>
      </c>
      <c r="AO111" s="3">
        <v>1</v>
      </c>
      <c r="AP111" s="13">
        <v>-13</v>
      </c>
      <c r="AQ111" s="13">
        <v>17</v>
      </c>
      <c r="AR111" s="19">
        <f t="shared" si="7"/>
        <v>6.9641941385920596</v>
      </c>
    </row>
    <row r="112" spans="1:44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COUNTIFS($A$2:$A112,$A112,$B$2:$B112,$B112,$L$2:$L112,"&lt;&gt;ET")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2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20</v>
      </c>
      <c r="U112" s="2">
        <v>26</v>
      </c>
      <c r="X112" s="2" t="s">
        <v>151</v>
      </c>
      <c r="Y112" s="17" t="s">
        <v>149</v>
      </c>
      <c r="Z112" s="14" t="s">
        <v>150</v>
      </c>
      <c r="AA112" s="14" t="s">
        <v>145</v>
      </c>
      <c r="AB112" s="18">
        <v>10</v>
      </c>
      <c r="AC112" s="13">
        <v>7.5</v>
      </c>
      <c r="AD112" s="13">
        <v>15</v>
      </c>
      <c r="AE112" s="19">
        <f t="shared" si="4"/>
        <v>15.483720483139702</v>
      </c>
      <c r="AF112" s="19">
        <f t="shared" si="5"/>
        <v>22.28991092342396</v>
      </c>
      <c r="AG112" s="2" t="s">
        <v>146</v>
      </c>
      <c r="AH112" s="13">
        <v>0.5</v>
      </c>
      <c r="AI112" s="13">
        <v>0.5</v>
      </c>
      <c r="AJ112" s="19">
        <f>IF(Abschlüsse[[#This Row],[Ergeb]]="ET","",SQRT(($AC112-$AH112)^2+($AD112-$AI112)^2))</f>
        <v>16.101242188104617</v>
      </c>
      <c r="AK112" s="3">
        <v>2</v>
      </c>
      <c r="AL112" s="13">
        <v>9.5</v>
      </c>
      <c r="AM112" s="13">
        <v>14.5</v>
      </c>
      <c r="AN112" s="19">
        <f t="shared" si="6"/>
        <v>2.0615528128088303</v>
      </c>
      <c r="AO112" s="3">
        <v>1</v>
      </c>
      <c r="AP112" s="13">
        <v>6</v>
      </c>
      <c r="AQ112" s="13">
        <v>11.5</v>
      </c>
      <c r="AR112" s="19">
        <f t="shared" si="7"/>
        <v>3.8078865529319543</v>
      </c>
    </row>
    <row r="113" spans="1:44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COUNTIFS($A$2:$A113,$A113,$B$2:$B113,$B113,$L$2:$L113,"&lt;&gt;ET")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2">
        <v>8</v>
      </c>
      <c r="P113" s="2">
        <v>10</v>
      </c>
      <c r="Q113" s="2">
        <v>23</v>
      </c>
      <c r="X113" s="2" t="s">
        <v>151</v>
      </c>
      <c r="Y113" s="17" t="s">
        <v>149</v>
      </c>
      <c r="Z113" s="14" t="s">
        <v>150</v>
      </c>
      <c r="AA113" s="14" t="s">
        <v>145</v>
      </c>
      <c r="AB113" s="18">
        <v>7</v>
      </c>
      <c r="AC113" s="13">
        <v>-7.5</v>
      </c>
      <c r="AD113" s="13">
        <v>11.5</v>
      </c>
      <c r="AE113" s="19">
        <f t="shared" si="4"/>
        <v>12.124174198682564</v>
      </c>
      <c r="AF113" s="19">
        <f t="shared" si="5"/>
        <v>25.67553789095021</v>
      </c>
      <c r="AG113" s="2" t="s">
        <v>146</v>
      </c>
      <c r="AH113" s="13">
        <v>-5.5</v>
      </c>
      <c r="AI113" s="13">
        <v>6</v>
      </c>
      <c r="AJ113" s="19">
        <f>IF(Abschlüsse[[#This Row],[Ergeb]]="ET","",SQRT(($AC113-$AH113)^2+($AD113-$AI113)^2))</f>
        <v>5.8523499553598128</v>
      </c>
      <c r="AK113" s="3">
        <v>2</v>
      </c>
      <c r="AL113" s="13">
        <v>-6</v>
      </c>
      <c r="AM113" s="13">
        <v>11.5</v>
      </c>
      <c r="AN113" s="19">
        <f t="shared" si="6"/>
        <v>1.5</v>
      </c>
      <c r="AO113" s="3">
        <v>0</v>
      </c>
      <c r="AR113" s="19" t="str">
        <f t="shared" si="7"/>
        <v/>
      </c>
    </row>
    <row r="114" spans="1:44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COUNTIFS($A$2:$A114,$A114,$B$2:$B114,$B114,$L$2:$L114,"&lt;&gt;ET")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X114" s="2" t="s">
        <v>141</v>
      </c>
      <c r="Y114" s="17" t="s">
        <v>143</v>
      </c>
      <c r="Z114" s="14" t="s">
        <v>150</v>
      </c>
      <c r="AA114" s="14" t="s">
        <v>156</v>
      </c>
      <c r="AB114" s="18">
        <v>23</v>
      </c>
      <c r="AC114" s="13">
        <v>20</v>
      </c>
      <c r="AD114" s="13">
        <v>17</v>
      </c>
      <c r="AE114" s="19">
        <f t="shared" si="4"/>
        <v>23.579558944136338</v>
      </c>
      <c r="AF114" s="19">
        <f t="shared" si="5"/>
        <v>10.43637278058886</v>
      </c>
      <c r="AG114" s="2" t="s">
        <v>146</v>
      </c>
      <c r="AH114" s="13">
        <v>3.5</v>
      </c>
      <c r="AI114" s="13">
        <v>1</v>
      </c>
      <c r="AJ114" s="19">
        <f>IF(Abschlüsse[[#This Row],[Ergeb]]="ET","",SQRT(($AC114-$AH114)^2+($AD114-$AI114)^2))</f>
        <v>22.983689869122408</v>
      </c>
      <c r="AK114" s="3">
        <v>0</v>
      </c>
      <c r="AL114" s="13"/>
      <c r="AM114" s="13"/>
      <c r="AN114" s="19" t="str">
        <f t="shared" si="6"/>
        <v/>
      </c>
      <c r="AO114" s="3">
        <v>2</v>
      </c>
      <c r="AP114" s="13">
        <v>17</v>
      </c>
      <c r="AQ114" s="13">
        <v>14.5</v>
      </c>
      <c r="AR114" s="19">
        <f t="shared" si="7"/>
        <v>3.905124837953327</v>
      </c>
    </row>
    <row r="115" spans="1:44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COUNTIFS($A$2:$A115,$A115,$B$2:$B115,$B115,$L$2:$L115,"&lt;&gt;ET")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2">
        <v>8</v>
      </c>
      <c r="X115" s="2" t="s">
        <v>154</v>
      </c>
      <c r="Y115" s="17" t="s">
        <v>160</v>
      </c>
      <c r="Z115" s="14" t="s">
        <v>161</v>
      </c>
      <c r="AA115" s="14" t="s">
        <v>156</v>
      </c>
      <c r="AB115" s="18">
        <v>7</v>
      </c>
      <c r="AC115" s="13">
        <v>0.5</v>
      </c>
      <c r="AD115" s="13">
        <v>9</v>
      </c>
      <c r="AE115" s="19">
        <f t="shared" si="4"/>
        <v>9</v>
      </c>
      <c r="AF115" s="19">
        <f t="shared" si="5"/>
        <v>44.154169988306201</v>
      </c>
      <c r="AG115" s="2" t="s">
        <v>146</v>
      </c>
      <c r="AH115" s="13">
        <v>-1</v>
      </c>
      <c r="AI115" s="13">
        <v>1.5</v>
      </c>
      <c r="AJ115" s="19">
        <f>IF(Abschlüsse[[#This Row],[Ergeb]]="ET","",SQRT(($AC115-$AH115)^2+($AD115-$AI115)^2))</f>
        <v>7.6485292703891776</v>
      </c>
      <c r="AK115" s="3">
        <v>1</v>
      </c>
      <c r="AL115" s="13">
        <v>0</v>
      </c>
      <c r="AM115" s="13">
        <v>9</v>
      </c>
      <c r="AN115" s="19">
        <f t="shared" si="6"/>
        <v>0.5</v>
      </c>
      <c r="AO115" s="3">
        <v>0</v>
      </c>
      <c r="AR115" s="19" t="str">
        <f t="shared" si="7"/>
        <v/>
      </c>
    </row>
    <row r="116" spans="1:44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COUNTIFS($A$2:$A116,$A116,$B$2:$B116,$B116,$L$2:$L116,"&lt;&gt;ET")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X116" s="2" t="s">
        <v>151</v>
      </c>
      <c r="Y116" s="17" t="s">
        <v>143</v>
      </c>
      <c r="Z116" s="14" t="s">
        <v>150</v>
      </c>
      <c r="AA116" s="14" t="s">
        <v>156</v>
      </c>
      <c r="AB116" s="18"/>
      <c r="AC116" s="13">
        <v>2.5</v>
      </c>
      <c r="AD116" s="13">
        <v>22.5</v>
      </c>
      <c r="AE116" s="19">
        <f t="shared" si="4"/>
        <v>22.5</v>
      </c>
      <c r="AF116" s="19">
        <f t="shared" si="5"/>
        <v>18.262429054450717</v>
      </c>
      <c r="AG116" s="2" t="s">
        <v>146</v>
      </c>
      <c r="AH116" s="13">
        <v>0.5</v>
      </c>
      <c r="AI116" s="13">
        <v>2</v>
      </c>
      <c r="AJ116" s="19">
        <f>IF(Abschlüsse[[#This Row],[Ergeb]]="ET","",SQRT(($AC116-$AH116)^2+($AD116-$AI116)^2))</f>
        <v>20.59732992404598</v>
      </c>
      <c r="AK116" s="3">
        <v>2</v>
      </c>
      <c r="AL116" s="13">
        <v>1.5</v>
      </c>
      <c r="AM116" s="13">
        <v>21.5</v>
      </c>
      <c r="AN116" s="19">
        <f t="shared" si="6"/>
        <v>1.4142135623730951</v>
      </c>
      <c r="AO116" s="3">
        <v>2</v>
      </c>
      <c r="AP116" s="13">
        <v>3.5</v>
      </c>
      <c r="AQ116" s="13">
        <v>17.5</v>
      </c>
      <c r="AR116" s="19">
        <f t="shared" si="7"/>
        <v>5.0990195135927845</v>
      </c>
    </row>
    <row r="117" spans="1:44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COUNTIFS($A$2:$A117,$A117,$B$2:$B117,$B117,$L$2:$L117,"&lt;&gt;ET")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X117" s="2" t="s">
        <v>151</v>
      </c>
      <c r="Y117" s="17" t="s">
        <v>143</v>
      </c>
      <c r="Z117" s="14" t="s">
        <v>150</v>
      </c>
      <c r="AA117" s="14" t="s">
        <v>156</v>
      </c>
      <c r="AB117" s="18"/>
      <c r="AC117" s="13">
        <v>9.5</v>
      </c>
      <c r="AD117" s="13">
        <v>6</v>
      </c>
      <c r="AE117" s="19">
        <f t="shared" si="4"/>
        <v>8.372908694115802</v>
      </c>
      <c r="AF117" s="19">
        <f t="shared" si="5"/>
        <v>21.264694596574426</v>
      </c>
      <c r="AG117" s="2" t="s">
        <v>146</v>
      </c>
      <c r="AH117" s="13">
        <v>4</v>
      </c>
      <c r="AI117" s="13">
        <v>0.5</v>
      </c>
      <c r="AJ117" s="19">
        <f>IF(Abschlüsse[[#This Row],[Ergeb]]="ET","",SQRT(($AC117-$AH117)^2+($AD117-$AI117)^2))</f>
        <v>7.7781745930520225</v>
      </c>
      <c r="AK117" s="3">
        <v>1</v>
      </c>
      <c r="AL117" s="13">
        <v>8.5</v>
      </c>
      <c r="AM117" s="13">
        <v>6</v>
      </c>
      <c r="AN117" s="19">
        <f t="shared" si="6"/>
        <v>1</v>
      </c>
      <c r="AO117" s="3">
        <v>0</v>
      </c>
      <c r="AR117" s="19" t="str">
        <f t="shared" si="7"/>
        <v/>
      </c>
    </row>
    <row r="118" spans="1:44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COUNTIFS($A$2:$A118,$A118,$B$2:$B118,$B118,$L$2:$L118,"&lt;&gt;ET")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X118" s="2" t="s">
        <v>142</v>
      </c>
      <c r="Y118" s="17" t="s">
        <v>143</v>
      </c>
      <c r="Z118" s="14" t="s">
        <v>150</v>
      </c>
      <c r="AA118" s="14" t="s">
        <v>145</v>
      </c>
      <c r="AB118" s="18">
        <v>7</v>
      </c>
      <c r="AC118" s="13">
        <v>0</v>
      </c>
      <c r="AD118" s="13">
        <v>11</v>
      </c>
      <c r="AE118" s="19">
        <f t="shared" si="4"/>
        <v>11</v>
      </c>
      <c r="AF118" s="19">
        <f t="shared" si="5"/>
        <v>36.807381798785883</v>
      </c>
      <c r="AG118" s="2" t="s">
        <v>146</v>
      </c>
      <c r="AH118" s="13">
        <v>0</v>
      </c>
      <c r="AI118" s="13">
        <v>0</v>
      </c>
      <c r="AJ118" s="19">
        <f>IF(Abschlüsse[[#This Row],[Ergeb]]="ET","",SQRT(($AC118-$AH118)^2+($AD118-$AI118)^2))</f>
        <v>11</v>
      </c>
      <c r="AK118" s="3">
        <v>0</v>
      </c>
      <c r="AL118" s="13"/>
      <c r="AM118" s="13"/>
      <c r="AN118" s="19" t="str">
        <f t="shared" si="6"/>
        <v/>
      </c>
      <c r="AO118" s="3">
        <v>0</v>
      </c>
      <c r="AR118" s="19" t="str">
        <f t="shared" si="7"/>
        <v/>
      </c>
    </row>
    <row r="119" spans="1:44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COUNTIFS($A$2:$A119,$A119,$B$2:$B119,$B119,$L$2:$L119,"&lt;&gt;ET")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2">
        <v>13</v>
      </c>
      <c r="P119" s="2">
        <v>8</v>
      </c>
      <c r="Q119" s="2">
        <v>16</v>
      </c>
      <c r="R119" s="2">
        <v>23</v>
      </c>
      <c r="S119" s="2">
        <v>26</v>
      </c>
      <c r="X119" s="2" t="s">
        <v>154</v>
      </c>
      <c r="Y119" s="17" t="s">
        <v>160</v>
      </c>
      <c r="Z119" s="14" t="s">
        <v>161</v>
      </c>
      <c r="AA119" s="14" t="s">
        <v>145</v>
      </c>
      <c r="AB119" s="18">
        <v>7</v>
      </c>
      <c r="AC119" s="13">
        <v>2</v>
      </c>
      <c r="AD119" s="13">
        <v>6.5</v>
      </c>
      <c r="AE119" s="19">
        <f t="shared" si="4"/>
        <v>6.5</v>
      </c>
      <c r="AF119" s="19">
        <f t="shared" si="5"/>
        <v>55.374586840281452</v>
      </c>
      <c r="AG119" s="2" t="s">
        <v>146</v>
      </c>
      <c r="AH119" s="13">
        <v>-2</v>
      </c>
      <c r="AI119" s="13">
        <v>1</v>
      </c>
      <c r="AJ119" s="19">
        <f>IF(Abschlüsse[[#This Row],[Ergeb]]="ET","",SQRT(($AC119-$AH119)^2+($AD119-$AI119)^2))</f>
        <v>6.800735254367722</v>
      </c>
      <c r="AK119" s="3">
        <v>1</v>
      </c>
      <c r="AL119" s="13">
        <v>0</v>
      </c>
      <c r="AM119" s="13">
        <v>5.5</v>
      </c>
      <c r="AN119" s="19">
        <f t="shared" si="6"/>
        <v>2.2360679774997898</v>
      </c>
      <c r="AO119" s="3">
        <v>0</v>
      </c>
      <c r="AR119" s="19" t="str">
        <f t="shared" si="7"/>
        <v/>
      </c>
    </row>
    <row r="120" spans="1:44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COUNTIFS($A$2:$A120,$A120,$B$2:$B120,$B120,$L$2:$L120,"&lt;&gt;ET")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2">
        <v>6</v>
      </c>
      <c r="P120" s="2">
        <v>23</v>
      </c>
      <c r="Q120" s="2">
        <v>8</v>
      </c>
      <c r="X120" s="22" t="s">
        <v>151</v>
      </c>
      <c r="Y120" s="18" t="s">
        <v>149</v>
      </c>
      <c r="Z120" s="14" t="s">
        <v>150</v>
      </c>
      <c r="AA120" s="14" t="s">
        <v>145</v>
      </c>
      <c r="AB120" s="18">
        <v>20</v>
      </c>
      <c r="AC120" s="13">
        <v>-8.5</v>
      </c>
      <c r="AD120" s="13">
        <v>32</v>
      </c>
      <c r="AE120" s="19">
        <f>IF($L120="ET","",IF($AC120&gt;3.66,SQRT($AD120^2+($AC120-(7.32/2))^2),IF($AC120&lt;-3.66,SQRT($AD120^2+($AC120+(7.32/2))^2),$AD120)))</f>
        <v>32.363955258898748</v>
      </c>
      <c r="AF120" s="19">
        <f>IF($L120="ET","",IF(DEGREES(ATAN((7.32*$AD120)/($AD120^2+$AC120^2-(7.32/2)^2)))&lt;=0,180+DEGREES(ATAN((7.32*$AD120)/($AD120^2+$AC120^2-(7.32/2)^2))),DEGREES(ATAN((7.32*$AD120)/($AD120^2+$AC120^2-(7.32/2)^2)))))</f>
        <v>12.205994539252872</v>
      </c>
      <c r="AG120" s="3" t="s">
        <v>146</v>
      </c>
      <c r="AH120" s="13">
        <v>-1</v>
      </c>
      <c r="AI120" s="13">
        <v>3</v>
      </c>
      <c r="AJ120" s="19">
        <f>IF(Abschlüsse[[#This Row],[Ergeb]]="ET","",SQRT(($AC120-$AH120)^2+($AD120-$AI120)^2))</f>
        <v>29.954131601500318</v>
      </c>
      <c r="AK120" s="3">
        <v>0</v>
      </c>
      <c r="AL120" s="13"/>
      <c r="AM120" s="13"/>
      <c r="AN120" s="19" t="str">
        <f>IF(AK120=0,"",SQRT(($AC120-$AL120)^2+($AD120-$AM120)^2))</f>
        <v/>
      </c>
      <c r="AO120" s="3">
        <v>2</v>
      </c>
      <c r="AP120" s="13">
        <v>-5</v>
      </c>
      <c r="AQ120" s="13">
        <v>20.5</v>
      </c>
      <c r="AR120" s="19">
        <f>IF(AO120=0,"",SQRT(($AC120-$AP120)^2+($AD120-$AQ120)^2))</f>
        <v>12.020815280171307</v>
      </c>
    </row>
    <row r="121" spans="1:44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COUNTIFS($A$2:$A121,$A121,$B$2:$B121,$B121,$L$2:$L121,"&lt;&gt;ET")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X121" s="22" t="s">
        <v>142</v>
      </c>
      <c r="Y121" s="18" t="s">
        <v>143</v>
      </c>
      <c r="Z121" s="14" t="s">
        <v>150</v>
      </c>
      <c r="AA121" s="14" t="s">
        <v>145</v>
      </c>
      <c r="AB121" s="18">
        <v>8</v>
      </c>
      <c r="AC121" s="13">
        <v>-5</v>
      </c>
      <c r="AD121" s="13">
        <v>26.5</v>
      </c>
      <c r="AE121" s="19">
        <f>IF($L121="ET","",IF($AC121&gt;3.66,SQRT($AD121^2+($AC121-(7.32/2))^2),IF($AC121&lt;-3.66,SQRT($AD121^2+($AC121+(7.32/2))^2),$AD121)))</f>
        <v>26.533857616260775</v>
      </c>
      <c r="AF121" s="19">
        <f>IF($L121="ET","",IF(DEGREES(ATAN((7.32*$AD121)/($AD121^2+$AC121^2-(7.32/2)^2)))&lt;=0,180+DEGREES(ATAN((7.32*$AD121)/($AD121^2+$AC121^2-(7.32/2)^2))),DEGREES(ATAN((7.32*$AD121)/($AD121^2+$AC121^2-(7.32/2)^2)))))</f>
        <v>15.202246223513477</v>
      </c>
      <c r="AG121" s="3" t="s">
        <v>146</v>
      </c>
      <c r="AH121" s="13">
        <v>0</v>
      </c>
      <c r="AI121" s="13">
        <v>0.5</v>
      </c>
      <c r="AJ121" s="19">
        <f>IF(Abschlüsse[[#This Row],[Ergeb]]="ET","",SQRT(($AC121-$AH121)^2+($AD121-$AI121)^2))</f>
        <v>26.476404589747453</v>
      </c>
      <c r="AK121" s="3">
        <v>0</v>
      </c>
      <c r="AL121" s="13"/>
      <c r="AM121" s="13"/>
      <c r="AN121" s="19" t="str">
        <f>IF(AK121=0,"",SQRT(($AC121-$AL121)^2+($AD121-$AM121)^2))</f>
        <v/>
      </c>
      <c r="AO121" s="3">
        <v>3</v>
      </c>
      <c r="AP121" s="13">
        <v>-4</v>
      </c>
      <c r="AQ121" s="13">
        <v>17.5</v>
      </c>
      <c r="AR121" s="19">
        <f>IF(AO121=0,"",SQRT(($AC121-$AP121)^2+($AD121-$AQ121)^2))</f>
        <v>9.0553851381374173</v>
      </c>
    </row>
    <row r="122" spans="1:44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COUNTIFS($A$2:$A122,$A122,$B$2:$B122,$B122,$L$2:$L122,"&lt;&gt;ET")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X122" s="22" t="s">
        <v>154</v>
      </c>
      <c r="Y122" s="18" t="s">
        <v>160</v>
      </c>
      <c r="Z122" s="14" t="s">
        <v>161</v>
      </c>
      <c r="AA122" s="14" t="s">
        <v>156</v>
      </c>
      <c r="AB122" s="18"/>
      <c r="AC122" s="13">
        <v>9</v>
      </c>
      <c r="AD122" s="13">
        <v>7.5</v>
      </c>
      <c r="AE122" s="19">
        <f>IF($L122="ET","",IF($AC122&gt;3.66,SQRT($AD122^2+($AC122-(7.32/2))^2),IF($AC122&lt;-3.66,SQRT($AD122^2+($AC122+(7.32/2))^2),$AD122)))</f>
        <v>9.2068235564715799</v>
      </c>
      <c r="AF122" s="19">
        <f>IF($L122="ET","",IF(DEGREES(ATAN((7.32*$AD122)/($AD122^2+$AC122^2-(7.32/2)^2)))&lt;=0,180+DEGREES(ATAN((7.32*$AD122)/($AD122^2+$AC122^2-(7.32/2)^2))),DEGREES(ATAN((7.32*$AD122)/($AD122^2+$AC122^2-(7.32/2)^2)))))</f>
        <v>23.905909882192447</v>
      </c>
      <c r="AG122" s="3" t="s">
        <v>146</v>
      </c>
      <c r="AH122" s="13">
        <v>3</v>
      </c>
      <c r="AI122" s="13">
        <v>0.5</v>
      </c>
      <c r="AJ122" s="19">
        <f>IF(Abschlüsse[[#This Row],[Ergeb]]="ET","",SQRT(($AC122-$AH122)^2+($AD122-$AI122)^2))</f>
        <v>9.2195444572928871</v>
      </c>
      <c r="AK122" s="3">
        <v>1</v>
      </c>
      <c r="AL122" s="13">
        <v>8</v>
      </c>
      <c r="AM122" s="13">
        <v>7</v>
      </c>
      <c r="AN122" s="19">
        <f>IF(AK122=0,"",SQRT(($AC122-$AL122)^2+($AD122-$AM122)^2))</f>
        <v>1.1180339887498949</v>
      </c>
      <c r="AO122" s="3">
        <v>0</v>
      </c>
      <c r="AR122" s="19" t="str">
        <f>IF(AO122=0,"",SQRT(($AC122-$AP122)^2+($AD122-$AQ122)^2))</f>
        <v/>
      </c>
    </row>
    <row r="123" spans="1:44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COUNTIFS($A$2:$A123,$A123,$B$2:$B123,$B123,$L$2:$L123,"&lt;&gt;ET")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2">
        <v>16</v>
      </c>
      <c r="P123" s="2">
        <v>6</v>
      </c>
      <c r="Q123" s="2">
        <v>19</v>
      </c>
      <c r="X123" s="2" t="s">
        <v>151</v>
      </c>
      <c r="Y123" s="17" t="s">
        <v>143</v>
      </c>
      <c r="Z123" s="14" t="s">
        <v>150</v>
      </c>
      <c r="AA123" s="14" t="s">
        <v>156</v>
      </c>
      <c r="AB123" s="18">
        <v>27</v>
      </c>
      <c r="AC123" s="13">
        <v>11.5</v>
      </c>
      <c r="AD123" s="13">
        <v>20.5</v>
      </c>
      <c r="AE123" s="19">
        <f t="shared" si="4"/>
        <v>21.948020411873141</v>
      </c>
      <c r="AF123" s="19">
        <f t="shared" si="5"/>
        <v>15.55457249032899</v>
      </c>
      <c r="AG123" s="2" t="s">
        <v>146</v>
      </c>
      <c r="AH123" s="13">
        <v>1.5</v>
      </c>
      <c r="AI123" s="13">
        <v>3</v>
      </c>
      <c r="AJ123" s="19">
        <f>IF(Abschlüsse[[#This Row],[Ergeb]]="ET","",SQRT(($AC123-$AH123)^2+($AD123-$AI123)^2))</f>
        <v>20.155644370746373</v>
      </c>
      <c r="AK123" s="3">
        <v>2</v>
      </c>
      <c r="AL123" s="13">
        <v>11.5</v>
      </c>
      <c r="AM123" s="13">
        <v>18.5</v>
      </c>
      <c r="AN123" s="19">
        <f t="shared" si="6"/>
        <v>2</v>
      </c>
      <c r="AO123" s="3">
        <v>1</v>
      </c>
      <c r="AP123" s="13">
        <v>8</v>
      </c>
      <c r="AQ123" s="13">
        <v>14.5</v>
      </c>
      <c r="AR123" s="19">
        <f t="shared" si="7"/>
        <v>6.946221994724902</v>
      </c>
    </row>
    <row r="124" spans="1:44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COUNTIFS($A$2:$A124,$A124,$B$2:$B124,$B124,$L$2:$L124,"&lt;&gt;ET")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X124" s="2" t="s">
        <v>151</v>
      </c>
      <c r="Y124" s="17" t="s">
        <v>143</v>
      </c>
      <c r="Z124" s="14" t="s">
        <v>150</v>
      </c>
      <c r="AA124" s="14" t="s">
        <v>156</v>
      </c>
      <c r="AB124" s="18">
        <v>18</v>
      </c>
      <c r="AC124" s="13">
        <v>13.5</v>
      </c>
      <c r="AD124" s="13">
        <v>20</v>
      </c>
      <c r="AE124" s="19">
        <f t="shared" si="4"/>
        <v>22.289585011839051</v>
      </c>
      <c r="AF124" s="19">
        <f t="shared" si="5"/>
        <v>14.432407454590555</v>
      </c>
      <c r="AG124" s="2" t="s">
        <v>146</v>
      </c>
      <c r="AH124" s="13">
        <v>1.5</v>
      </c>
      <c r="AI124" s="13">
        <v>2.5</v>
      </c>
      <c r="AJ124" s="19">
        <f>IF(Abschlüsse[[#This Row],[Ergeb]]="ET","",SQRT(($AC124-$AH124)^2+($AD124-$AI124)^2))</f>
        <v>21.219095173922945</v>
      </c>
      <c r="AK124" s="3">
        <v>1</v>
      </c>
      <c r="AL124" s="13">
        <v>15.5</v>
      </c>
      <c r="AM124" s="13">
        <v>19.5</v>
      </c>
      <c r="AN124" s="19">
        <f t="shared" si="6"/>
        <v>2.0615528128088303</v>
      </c>
      <c r="AO124" s="3">
        <v>1</v>
      </c>
      <c r="AP124" s="13">
        <v>11</v>
      </c>
      <c r="AQ124" s="13">
        <v>16.5</v>
      </c>
      <c r="AR124" s="19">
        <f t="shared" si="7"/>
        <v>4.3011626335213133</v>
      </c>
    </row>
    <row r="125" spans="1:44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COUNTIFS($A$2:$A125,$A125,$B$2:$B125,$B125,$L$2:$L125,"&lt;&gt;ET")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2">
        <v>7</v>
      </c>
      <c r="P125" s="2">
        <v>27</v>
      </c>
      <c r="Q125" s="2">
        <v>16</v>
      </c>
      <c r="R125" s="2">
        <v>20</v>
      </c>
      <c r="X125" s="2" t="s">
        <v>141</v>
      </c>
      <c r="Y125" s="17" t="s">
        <v>143</v>
      </c>
      <c r="Z125" s="14" t="s">
        <v>144</v>
      </c>
      <c r="AA125" s="14" t="s">
        <v>156</v>
      </c>
      <c r="AB125" s="18">
        <v>11</v>
      </c>
      <c r="AC125" s="13">
        <v>5</v>
      </c>
      <c r="AD125" s="13">
        <v>20</v>
      </c>
      <c r="AE125" s="19">
        <f t="shared" si="4"/>
        <v>20.04483973495423</v>
      </c>
      <c r="AF125" s="19">
        <f t="shared" si="5"/>
        <v>19.579523089892454</v>
      </c>
      <c r="AG125" s="2" t="s">
        <v>146</v>
      </c>
      <c r="AH125" s="13">
        <v>0.5</v>
      </c>
      <c r="AI125" s="13">
        <v>2.5</v>
      </c>
      <c r="AJ125" s="19">
        <f>IF(Abschlüsse[[#This Row],[Ergeb]]="ET","",SQRT(($AC125-$AH125)^2+($AD125-$AI125)^2))</f>
        <v>18.069310999592652</v>
      </c>
      <c r="AK125" s="3">
        <v>1</v>
      </c>
      <c r="AL125" s="13">
        <v>4.5</v>
      </c>
      <c r="AM125" s="13">
        <v>19.5</v>
      </c>
      <c r="AN125" s="19">
        <f t="shared" si="6"/>
        <v>0.70710678118654757</v>
      </c>
      <c r="AO125" s="3">
        <v>1</v>
      </c>
      <c r="AP125" s="13">
        <v>3.5</v>
      </c>
      <c r="AQ125" s="13">
        <v>14</v>
      </c>
      <c r="AR125" s="19">
        <f t="shared" si="7"/>
        <v>6.1846584384264904</v>
      </c>
    </row>
    <row r="126" spans="1:44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COUNTIFS($A$2:$A126,$A126,$B$2:$B126,$B126,$L$2:$L126,"&lt;&gt;ET")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X126" s="2" t="s">
        <v>151</v>
      </c>
      <c r="Y126" s="17" t="s">
        <v>149</v>
      </c>
      <c r="Z126" s="14" t="s">
        <v>144</v>
      </c>
      <c r="AA126" s="14" t="s">
        <v>156</v>
      </c>
      <c r="AB126" s="18">
        <v>10</v>
      </c>
      <c r="AC126" s="13">
        <v>4.5</v>
      </c>
      <c r="AD126" s="13">
        <v>18</v>
      </c>
      <c r="AE126" s="19">
        <f t="shared" si="4"/>
        <v>18.01958934049275</v>
      </c>
      <c r="AF126" s="19">
        <f t="shared" si="5"/>
        <v>21.714506508528796</v>
      </c>
      <c r="AG126" s="2" t="s">
        <v>146</v>
      </c>
      <c r="AH126" s="13">
        <v>0.5</v>
      </c>
      <c r="AI126" s="13">
        <v>2</v>
      </c>
      <c r="AJ126" s="19">
        <f>IF(Abschlüsse[[#This Row],[Ergeb]]="ET","",SQRT(($AC126-$AH126)^2+($AD126-$AI126)^2))</f>
        <v>16.492422502470642</v>
      </c>
      <c r="AK126" s="3">
        <v>0</v>
      </c>
      <c r="AL126" s="13"/>
      <c r="AM126" s="13"/>
      <c r="AN126" s="19" t="str">
        <f t="shared" si="6"/>
        <v/>
      </c>
      <c r="AO126" s="3">
        <v>4</v>
      </c>
      <c r="AP126" s="13">
        <v>4</v>
      </c>
      <c r="AQ126" s="13">
        <v>14</v>
      </c>
      <c r="AR126" s="19">
        <f t="shared" si="7"/>
        <v>4.0311288741492746</v>
      </c>
    </row>
    <row r="127" spans="1:44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COUNTIFS($A$2:$A127,$A127,$B$2:$B127,$B127,$L$2:$L127,"&lt;&gt;ET")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X127" s="2" t="s">
        <v>142</v>
      </c>
      <c r="Y127" s="17" t="s">
        <v>143</v>
      </c>
      <c r="Z127" s="14" t="s">
        <v>150</v>
      </c>
      <c r="AA127" s="14" t="s">
        <v>145</v>
      </c>
      <c r="AB127" s="18"/>
      <c r="AC127" s="13">
        <v>-2</v>
      </c>
      <c r="AD127" s="13">
        <v>31</v>
      </c>
      <c r="AE127" s="19">
        <f t="shared" si="4"/>
        <v>31</v>
      </c>
      <c r="AF127" s="19">
        <f t="shared" si="5"/>
        <v>13.412297867051976</v>
      </c>
      <c r="AG127" s="2" t="s">
        <v>146</v>
      </c>
      <c r="AH127" s="13">
        <v>2</v>
      </c>
      <c r="AI127" s="13">
        <v>1</v>
      </c>
      <c r="AJ127" s="19">
        <f>IF(Abschlüsse[[#This Row],[Ergeb]]="ET","",SQRT(($AC127-$AH127)^2+($AD127-$AI127)^2))</f>
        <v>30.265491900843113</v>
      </c>
      <c r="AK127" s="3">
        <v>0</v>
      </c>
      <c r="AL127" s="13"/>
      <c r="AM127" s="13"/>
      <c r="AN127" s="19" t="str">
        <f t="shared" si="6"/>
        <v/>
      </c>
      <c r="AO127" s="3">
        <v>3</v>
      </c>
      <c r="AP127" s="13">
        <v>-2.5</v>
      </c>
      <c r="AQ127" s="13">
        <v>22.5</v>
      </c>
      <c r="AR127" s="19">
        <f t="shared" si="7"/>
        <v>8.5146931829632013</v>
      </c>
    </row>
    <row r="128" spans="1:44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COUNTIFS($A$2:$A128,$A128,$B$2:$B128,$B128,$L$2:$L128,"&lt;&gt;ET")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X128" s="2" t="s">
        <v>151</v>
      </c>
      <c r="Y128" s="17" t="s">
        <v>143</v>
      </c>
      <c r="Z128" s="14" t="s">
        <v>150</v>
      </c>
      <c r="AA128" s="14" t="s">
        <v>156</v>
      </c>
      <c r="AB128" s="18"/>
      <c r="AC128" s="13">
        <v>6.5</v>
      </c>
      <c r="AD128" s="13">
        <v>11</v>
      </c>
      <c r="AE128" s="19">
        <f t="shared" si="4"/>
        <v>11.360704203525414</v>
      </c>
      <c r="AF128" s="19">
        <f t="shared" si="5"/>
        <v>28.250096832660915</v>
      </c>
      <c r="AG128" s="2" t="s">
        <v>146</v>
      </c>
      <c r="AH128" s="13">
        <v>2.5</v>
      </c>
      <c r="AI128" s="13">
        <v>2</v>
      </c>
      <c r="AJ128" s="19">
        <f>IF(Abschlüsse[[#This Row],[Ergeb]]="ET","",SQRT(($AC128-$AH128)^2+($AD128-$AI128)^2))</f>
        <v>9.8488578017961039</v>
      </c>
      <c r="AK128" s="3">
        <v>0</v>
      </c>
      <c r="AL128" s="13"/>
      <c r="AM128" s="13"/>
      <c r="AN128" s="19" t="str">
        <f t="shared" si="6"/>
        <v/>
      </c>
      <c r="AO128" s="3">
        <v>1</v>
      </c>
      <c r="AP128" s="13">
        <v>5.5</v>
      </c>
      <c r="AQ128" s="13">
        <v>9</v>
      </c>
      <c r="AR128" s="19">
        <f t="shared" si="7"/>
        <v>2.2360679774997898</v>
      </c>
    </row>
    <row r="129" spans="1:44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COUNTIFS($A$2:$A129,$A129,$B$2:$B129,$B129,$L$2:$L129,"&lt;&gt;ET")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2">
        <v>20</v>
      </c>
      <c r="X129" s="2" t="s">
        <v>154</v>
      </c>
      <c r="Y129" s="17" t="s">
        <v>143</v>
      </c>
      <c r="Z129" s="14" t="s">
        <v>144</v>
      </c>
      <c r="AA129" s="14" t="s">
        <v>145</v>
      </c>
      <c r="AB129" s="18">
        <v>23</v>
      </c>
      <c r="AC129" s="13">
        <v>-7</v>
      </c>
      <c r="AD129" s="13">
        <v>3.5</v>
      </c>
      <c r="AE129" s="19">
        <f t="shared" si="4"/>
        <v>4.8379334431139087</v>
      </c>
      <c r="AF129" s="19">
        <f t="shared" si="5"/>
        <v>28.163437271945604</v>
      </c>
      <c r="AG129" s="2" t="s">
        <v>146</v>
      </c>
      <c r="AH129" s="13">
        <v>-2</v>
      </c>
      <c r="AI129" s="13">
        <v>0.5</v>
      </c>
      <c r="AJ129" s="19">
        <f>IF(Abschlüsse[[#This Row],[Ergeb]]="ET","",SQRT(($AC129-$AH129)^2+($AD129-$AI129)^2))</f>
        <v>5.8309518948453007</v>
      </c>
      <c r="AK129" s="3">
        <v>1</v>
      </c>
      <c r="AL129" s="13">
        <v>-6</v>
      </c>
      <c r="AM129" s="13">
        <v>4.5</v>
      </c>
      <c r="AN129" s="19">
        <f t="shared" si="6"/>
        <v>1.4142135623730951</v>
      </c>
      <c r="AO129" s="3">
        <v>1</v>
      </c>
      <c r="AP129" s="13">
        <v>-3.5</v>
      </c>
      <c r="AQ129" s="13">
        <v>0</v>
      </c>
      <c r="AR129" s="19">
        <f t="shared" si="7"/>
        <v>4.9497474683058327</v>
      </c>
    </row>
    <row r="130" spans="1:44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COUNTIFS($A$2:$A130,$A130,$B$2:$B130,$B130,$L$2:$L130,"&lt;&gt;ET")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X130" s="2" t="s">
        <v>142</v>
      </c>
      <c r="Y130" s="17" t="s">
        <v>149</v>
      </c>
      <c r="Z130" s="14" t="s">
        <v>150</v>
      </c>
      <c r="AA130" s="14" t="s">
        <v>145</v>
      </c>
      <c r="AB130" s="18"/>
      <c r="AC130" s="13">
        <v>4.5</v>
      </c>
      <c r="AD130" s="13">
        <v>7.5</v>
      </c>
      <c r="AE130" s="19">
        <f t="shared" si="4"/>
        <v>7.5468934005986856</v>
      </c>
      <c r="AF130" s="19">
        <f t="shared" si="5"/>
        <v>41.022841118202912</v>
      </c>
      <c r="AG130" s="2" t="s">
        <v>169</v>
      </c>
      <c r="AH130" s="13">
        <v>-1</v>
      </c>
      <c r="AI130" s="13">
        <v>0.5</v>
      </c>
      <c r="AJ130" s="19">
        <f>IF(Abschlüsse[[#This Row],[Ergeb]]="ET","",SQRT(($AC130-$AH130)^2+($AD130-$AI130)^2))</f>
        <v>8.9022469073824286</v>
      </c>
      <c r="AK130" s="3">
        <v>0</v>
      </c>
      <c r="AL130" s="13"/>
      <c r="AM130" s="13"/>
      <c r="AN130" s="19" t="str">
        <f t="shared" si="6"/>
        <v/>
      </c>
      <c r="AO130" s="3">
        <v>1</v>
      </c>
      <c r="AP130" s="13">
        <v>2</v>
      </c>
      <c r="AQ130" s="13">
        <v>4</v>
      </c>
      <c r="AR130" s="19">
        <f t="shared" si="7"/>
        <v>4.3011626335213133</v>
      </c>
    </row>
    <row r="131" spans="1:44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COUNTIFS($A$2:$A131,$A131,$B$2:$B131,$B131,$L$2:$L131,"&lt;&gt;ET")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X131" s="2" t="s">
        <v>151</v>
      </c>
      <c r="Y131" s="17" t="s">
        <v>149</v>
      </c>
      <c r="Z131" s="14" t="s">
        <v>150</v>
      </c>
      <c r="AA131" s="14" t="s">
        <v>156</v>
      </c>
      <c r="AB131" s="18"/>
      <c r="AC131" s="13">
        <v>-4</v>
      </c>
      <c r="AD131" s="13">
        <v>1</v>
      </c>
      <c r="AE131" s="19">
        <f t="shared" si="4"/>
        <v>1.0562196741208714</v>
      </c>
      <c r="AF131" s="19">
        <f t="shared" si="5"/>
        <v>63.784163474394568</v>
      </c>
      <c r="AG131" s="2" t="s">
        <v>166</v>
      </c>
      <c r="AJ131" s="19">
        <f>IF(Abschlüsse[[#This Row],[Ergeb]]="ET","",SQRT(($AC131-$AH131)^2+($AD131-$AI131)^2))</f>
        <v>4.1231056256176606</v>
      </c>
      <c r="AK131" s="3">
        <v>0</v>
      </c>
      <c r="AL131" s="13"/>
      <c r="AM131" s="13"/>
      <c r="AN131" s="19" t="str">
        <f t="shared" si="6"/>
        <v/>
      </c>
      <c r="AO131" s="3">
        <v>2</v>
      </c>
      <c r="AP131" s="13">
        <v>-1.5</v>
      </c>
      <c r="AQ131" s="13">
        <v>0.5</v>
      </c>
      <c r="AR131" s="19">
        <f t="shared" si="7"/>
        <v>2.5495097567963922</v>
      </c>
    </row>
    <row r="132" spans="1:44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COUNTIFS($A$2:$A132,$A132,$B$2:$B132,$B132,$L$2:$L132,"&lt;&gt;ET")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X132" s="2" t="s">
        <v>141</v>
      </c>
      <c r="Y132" s="17" t="s">
        <v>149</v>
      </c>
      <c r="Z132" s="14" t="s">
        <v>150</v>
      </c>
      <c r="AA132" s="14" t="s">
        <v>145</v>
      </c>
      <c r="AB132" s="18"/>
      <c r="AC132" s="13">
        <v>-5</v>
      </c>
      <c r="AD132" s="13">
        <v>18.5</v>
      </c>
      <c r="AE132" s="19">
        <f t="shared" si="4"/>
        <v>18.548466243870408</v>
      </c>
      <c r="AF132" s="19">
        <f t="shared" si="5"/>
        <v>20.941837325172411</v>
      </c>
      <c r="AG132" s="2" t="s">
        <v>146</v>
      </c>
      <c r="AH132" s="13">
        <v>-0.5</v>
      </c>
      <c r="AI132" s="13">
        <v>0.5</v>
      </c>
      <c r="AJ132" s="19">
        <f>IF(Abschlüsse[[#This Row],[Ergeb]]="ET","",SQRT(($AC132-$AH132)^2+($AD132-$AI132)^2))</f>
        <v>18.553975315279473</v>
      </c>
      <c r="AK132" s="3">
        <v>0</v>
      </c>
      <c r="AL132" s="13"/>
      <c r="AM132" s="13"/>
      <c r="AN132" s="19" t="str">
        <f t="shared" si="6"/>
        <v/>
      </c>
      <c r="AO132" s="3">
        <v>4</v>
      </c>
      <c r="AP132" s="13">
        <v>-3.5</v>
      </c>
      <c r="AQ132" s="13">
        <v>9</v>
      </c>
      <c r="AR132" s="19">
        <f t="shared" si="7"/>
        <v>9.6176920308356717</v>
      </c>
    </row>
    <row r="133" spans="1:44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COUNTIFS($A$2:$A133,$A133,$B$2:$B133,$B133,$L$2:$L133,"&lt;&gt;ET")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X133" s="2" t="s">
        <v>142</v>
      </c>
      <c r="Y133" s="17" t="s">
        <v>143</v>
      </c>
      <c r="Z133" s="14" t="s">
        <v>150</v>
      </c>
      <c r="AA133" s="14" t="s">
        <v>156</v>
      </c>
      <c r="AB133" s="18"/>
      <c r="AC133" s="13">
        <v>6</v>
      </c>
      <c r="AD133" s="13">
        <v>13</v>
      </c>
      <c r="AE133" s="19">
        <f t="shared" si="4"/>
        <v>13.208921227715759</v>
      </c>
      <c r="AF133" s="19">
        <f t="shared" si="5"/>
        <v>26.411214801526391</v>
      </c>
      <c r="AG133" s="2" t="s">
        <v>146</v>
      </c>
      <c r="AH133" s="13">
        <v>2</v>
      </c>
      <c r="AI133" s="13">
        <v>0.5</v>
      </c>
      <c r="AJ133" s="19">
        <f>IF(Abschlüsse[[#This Row],[Ergeb]]="ET","",SQRT(($AC133-$AH133)^2+($AD133-$AI133)^2))</f>
        <v>13.124404748406688</v>
      </c>
      <c r="AK133" s="3">
        <v>1</v>
      </c>
      <c r="AL133" s="13">
        <v>6.5</v>
      </c>
      <c r="AM133" s="13">
        <v>12.5</v>
      </c>
      <c r="AN133" s="19">
        <f t="shared" si="6"/>
        <v>0.70710678118654757</v>
      </c>
      <c r="AO133" s="3">
        <v>3</v>
      </c>
      <c r="AP133" s="13">
        <v>4.5</v>
      </c>
      <c r="AQ133" s="13">
        <v>9</v>
      </c>
      <c r="AR133" s="19">
        <f t="shared" si="7"/>
        <v>4.2720018726587652</v>
      </c>
    </row>
    <row r="134" spans="1:44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COUNTIFS($A$2:$A134,$A134,$B$2:$B134,$B134,$L$2:$L134,"&lt;&gt;ET")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2">
        <v>8</v>
      </c>
      <c r="P134" s="2">
        <v>7</v>
      </c>
      <c r="Q134" s="2">
        <v>23</v>
      </c>
      <c r="R134" s="2">
        <v>4</v>
      </c>
      <c r="X134" s="2" t="s">
        <v>142</v>
      </c>
      <c r="Y134" s="17" t="s">
        <v>143</v>
      </c>
      <c r="Z134" s="14" t="s">
        <v>150</v>
      </c>
      <c r="AA134" s="14" t="s">
        <v>156</v>
      </c>
      <c r="AB134" s="18">
        <v>27</v>
      </c>
      <c r="AC134" s="13">
        <v>3</v>
      </c>
      <c r="AD134" s="13">
        <v>6</v>
      </c>
      <c r="AE134" s="19">
        <f t="shared" si="4"/>
        <v>6</v>
      </c>
      <c r="AF134" s="19">
        <f t="shared" si="5"/>
        <v>54.261580633190938</v>
      </c>
      <c r="AG134" s="2" t="s">
        <v>169</v>
      </c>
      <c r="AH134" s="13">
        <v>3.5</v>
      </c>
      <c r="AI134" s="13">
        <v>1</v>
      </c>
      <c r="AJ134" s="19">
        <f>IF(Abschlüsse[[#This Row],[Ergeb]]="ET","",SQRT(($AC134-$AH134)^2+($AD134-$AI134)^2))</f>
        <v>5.024937810560445</v>
      </c>
      <c r="AK134" s="3">
        <v>2</v>
      </c>
      <c r="AL134" s="13">
        <v>1.5</v>
      </c>
      <c r="AM134" s="13">
        <v>6</v>
      </c>
      <c r="AN134" s="19">
        <f t="shared" si="6"/>
        <v>1.5</v>
      </c>
      <c r="AO134" s="3">
        <v>0</v>
      </c>
      <c r="AR134" s="19" t="str">
        <f t="shared" si="7"/>
        <v/>
      </c>
    </row>
    <row r="135" spans="1:44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COUNTIFS($A$2:$A135,$A135,$B$2:$B135,$B135,$L$2:$L135,"&lt;&gt;ET")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X135" s="2" t="s">
        <v>142</v>
      </c>
      <c r="Y135" s="17" t="s">
        <v>149</v>
      </c>
      <c r="Z135" s="14" t="s">
        <v>150</v>
      </c>
      <c r="AA135" s="14" t="s">
        <v>145</v>
      </c>
      <c r="AB135" s="18"/>
      <c r="AC135" s="13">
        <v>-8</v>
      </c>
      <c r="AD135" s="13">
        <v>14.5</v>
      </c>
      <c r="AE135" s="19">
        <f t="shared" ref="AE135:AE194" si="8">IF($L135="ET","",IF($AC135&gt;3.66,SQRT($AD135^2+($AC135-(7.32/2))^2),IF($AC135&lt;-3.66,SQRT($AD135^2+($AC135+(7.32/2))^2),$AD135)))</f>
        <v>15.135573989776535</v>
      </c>
      <c r="AF135" s="19">
        <f t="shared" ref="AF135:AF194" si="9">IF($L135="ET","",IF(DEGREES(ATAN((7.32*$AD135)/($AD135^2+$AC135^2-(7.32/2)^2)))&lt;=0,180+DEGREES(ATAN((7.32*$AD135)/($AD135^2+$AC135^2-(7.32/2)^2))),DEGREES(ATAN((7.32*$AD135)/($AD135^2+$AC135^2-(7.32/2)^2)))))</f>
        <v>22.141095680440266</v>
      </c>
      <c r="AG135" s="2" t="s">
        <v>146</v>
      </c>
      <c r="AH135" s="13">
        <v>-2</v>
      </c>
      <c r="AI135" s="13">
        <v>1</v>
      </c>
      <c r="AJ135" s="19">
        <f>IF(Abschlüsse[[#This Row],[Ergeb]]="ET","",SQRT(($AC135-$AH135)^2+($AD135-$AI135)^2))</f>
        <v>14.773286702694158</v>
      </c>
      <c r="AK135" s="3">
        <v>1</v>
      </c>
      <c r="AL135" s="13">
        <v>-6</v>
      </c>
      <c r="AM135" s="13">
        <v>14</v>
      </c>
      <c r="AN135" s="19">
        <f t="shared" ref="AN135:AN194" si="10">IF(AK135=0,"",SQRT(($AC135-$AL135)^2+($AD135-$AM135)^2))</f>
        <v>2.0615528128088303</v>
      </c>
      <c r="AO135" s="3">
        <v>2</v>
      </c>
      <c r="AP135" s="13">
        <v>-6</v>
      </c>
      <c r="AQ135" s="13">
        <v>13</v>
      </c>
      <c r="AR135" s="19">
        <f t="shared" ref="AR135:AR194" si="11">IF(AO135=0,"",SQRT(($AC135-$AP135)^2+($AD135-$AQ135)^2))</f>
        <v>2.5</v>
      </c>
    </row>
    <row r="136" spans="1:44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COUNTIFS($A$2:$A136,$A136,$B$2:$B136,$B136,$L$2:$L136,"&lt;&gt;ET")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X136" s="2" t="s">
        <v>151</v>
      </c>
      <c r="Y136" s="17" t="s">
        <v>149</v>
      </c>
      <c r="Z136" s="14" t="s">
        <v>150</v>
      </c>
      <c r="AA136" s="14" t="s">
        <v>156</v>
      </c>
      <c r="AB136" s="18"/>
      <c r="AC136" s="13">
        <v>-9</v>
      </c>
      <c r="AD136" s="13">
        <v>8</v>
      </c>
      <c r="AE136" s="19">
        <f t="shared" si="8"/>
        <v>9.6185030020268751</v>
      </c>
      <c r="AF136" s="19">
        <f t="shared" si="9"/>
        <v>23.987625651584761</v>
      </c>
      <c r="AG136" s="2" t="s">
        <v>146</v>
      </c>
      <c r="AH136" s="13">
        <v>-5</v>
      </c>
      <c r="AI136" s="13">
        <v>2.5</v>
      </c>
      <c r="AJ136" s="19">
        <f>IF(Abschlüsse[[#This Row],[Ergeb]]="ET","",SQRT(($AC136-$AH136)^2+($AD136-$AI136)^2))</f>
        <v>6.800735254367722</v>
      </c>
      <c r="AK136" s="3">
        <v>1</v>
      </c>
      <c r="AL136" s="13">
        <v>-6.5</v>
      </c>
      <c r="AM136" s="13">
        <v>8.5</v>
      </c>
      <c r="AN136" s="19">
        <f t="shared" si="10"/>
        <v>2.5495097567963922</v>
      </c>
      <c r="AO136" s="3">
        <v>0</v>
      </c>
      <c r="AR136" s="19" t="str">
        <f t="shared" si="11"/>
        <v/>
      </c>
    </row>
    <row r="137" spans="1:44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COUNTIFS($A$2:$A137,$A137,$B$2:$B137,$B137,$L$2:$L137,"&lt;&gt;ET")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2">
        <v>7</v>
      </c>
      <c r="P137" s="2">
        <v>10</v>
      </c>
      <c r="Q137" s="2">
        <v>8</v>
      </c>
      <c r="R137" s="2">
        <v>23</v>
      </c>
      <c r="S137" s="2">
        <v>20</v>
      </c>
      <c r="X137" s="2" t="s">
        <v>142</v>
      </c>
      <c r="Y137" s="17" t="s">
        <v>143</v>
      </c>
      <c r="Z137" s="14" t="s">
        <v>150</v>
      </c>
      <c r="AA137" s="14" t="s">
        <v>145</v>
      </c>
      <c r="AB137" s="18">
        <v>4</v>
      </c>
      <c r="AC137" s="13">
        <v>-3</v>
      </c>
      <c r="AD137" s="13">
        <v>5.5</v>
      </c>
      <c r="AE137" s="19">
        <f t="shared" si="8"/>
        <v>5.5</v>
      </c>
      <c r="AF137" s="19">
        <f t="shared" si="9"/>
        <v>57.291999541595608</v>
      </c>
      <c r="AG137" s="2" t="s">
        <v>166</v>
      </c>
      <c r="AJ137" s="19">
        <f>IF(Abschlüsse[[#This Row],[Ergeb]]="ET","",SQRT(($AC137-$AH137)^2+($AD137-$AI137)^2))</f>
        <v>6.2649820430708338</v>
      </c>
      <c r="AK137" s="3">
        <v>1</v>
      </c>
      <c r="AL137" s="13">
        <v>-0.5</v>
      </c>
      <c r="AM137" s="13">
        <v>6</v>
      </c>
      <c r="AN137" s="19">
        <f t="shared" si="10"/>
        <v>2.5495097567963922</v>
      </c>
      <c r="AO137" s="3">
        <v>1</v>
      </c>
      <c r="AP137" s="13">
        <v>-0.5</v>
      </c>
      <c r="AQ137" s="13">
        <v>0</v>
      </c>
      <c r="AR137" s="19">
        <f t="shared" si="11"/>
        <v>6.0415229867972862</v>
      </c>
    </row>
    <row r="138" spans="1:44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COUNTIFS($A$2:$A138,$A138,$B$2:$B138,$B138,$L$2:$L138,"&lt;&gt;ET")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X138" s="2" t="s">
        <v>154</v>
      </c>
      <c r="Y138" s="17" t="s">
        <v>143</v>
      </c>
      <c r="Z138" s="14" t="s">
        <v>150</v>
      </c>
      <c r="AA138" s="14" t="s">
        <v>156</v>
      </c>
      <c r="AB138" s="18"/>
      <c r="AC138" s="13">
        <v>4.5</v>
      </c>
      <c r="AD138" s="13">
        <v>7.5</v>
      </c>
      <c r="AE138" s="19">
        <f t="shared" si="8"/>
        <v>7.5468934005986856</v>
      </c>
      <c r="AF138" s="19">
        <f t="shared" si="9"/>
        <v>41.022841118202912</v>
      </c>
      <c r="AG138" s="2" t="s">
        <v>146</v>
      </c>
      <c r="AH138" s="13">
        <v>1.5</v>
      </c>
      <c r="AI138" s="13">
        <v>0.5</v>
      </c>
      <c r="AJ138" s="19">
        <f>IF(Abschlüsse[[#This Row],[Ergeb]]="ET","",SQRT(($AC138-$AH138)^2+($AD138-$AI138)^2))</f>
        <v>7.6157731058639087</v>
      </c>
      <c r="AK138" s="3">
        <v>2</v>
      </c>
      <c r="AL138" s="13">
        <v>6</v>
      </c>
      <c r="AM138" s="13">
        <v>8</v>
      </c>
      <c r="AN138" s="19">
        <f t="shared" si="10"/>
        <v>1.5811388300841898</v>
      </c>
      <c r="AO138" s="3">
        <v>1</v>
      </c>
      <c r="AP138" s="13">
        <v>1</v>
      </c>
      <c r="AQ138" s="13">
        <v>3.5</v>
      </c>
      <c r="AR138" s="19">
        <f t="shared" si="11"/>
        <v>5.315072906367325</v>
      </c>
    </row>
    <row r="139" spans="1:44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COUNTIFS($A$2:$A139,$A139,$B$2:$B139,$B139,$L$2:$L139,"&lt;&gt;ET")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2">
        <v>26</v>
      </c>
      <c r="X139" s="2" t="s">
        <v>151</v>
      </c>
      <c r="Y139" s="17" t="s">
        <v>143</v>
      </c>
      <c r="Z139" s="14" t="s">
        <v>150</v>
      </c>
      <c r="AA139" s="14" t="s">
        <v>156</v>
      </c>
      <c r="AB139" s="18">
        <v>8</v>
      </c>
      <c r="AC139" s="13">
        <v>-5</v>
      </c>
      <c r="AD139" s="13">
        <v>16.5</v>
      </c>
      <c r="AE139" s="19">
        <f t="shared" si="8"/>
        <v>16.554322698316593</v>
      </c>
      <c r="AF139" s="19">
        <f t="shared" si="9"/>
        <v>23.049744594068812</v>
      </c>
      <c r="AG139" s="2" t="s">
        <v>146</v>
      </c>
      <c r="AH139" s="13">
        <v>-0.56999999999999995</v>
      </c>
      <c r="AI139" s="13">
        <v>2</v>
      </c>
      <c r="AJ139" s="19">
        <f>IF(Abschlüsse[[#This Row],[Ergeb]]="ET","",SQRT(($AC139-$AH139)^2+($AD139-$AI139)^2))</f>
        <v>15.161625902257317</v>
      </c>
      <c r="AK139" s="3">
        <v>2</v>
      </c>
      <c r="AL139" s="13">
        <v>-5.5</v>
      </c>
      <c r="AM139" s="13">
        <v>17.5</v>
      </c>
      <c r="AN139" s="19">
        <f t="shared" si="10"/>
        <v>1.1180339887498949</v>
      </c>
      <c r="AO139" s="3">
        <v>0</v>
      </c>
      <c r="AR139" s="19" t="str">
        <f t="shared" si="11"/>
        <v/>
      </c>
    </row>
    <row r="140" spans="1:44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COUNTIFS($A$2:$A140,$A140,$B$2:$B140,$B140,$L$2:$L140,"&lt;&gt;ET")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X140" s="2" t="s">
        <v>154</v>
      </c>
      <c r="Y140" s="17" t="s">
        <v>143</v>
      </c>
      <c r="Z140" s="14" t="s">
        <v>144</v>
      </c>
      <c r="AA140" s="14" t="s">
        <v>145</v>
      </c>
      <c r="AB140" s="18">
        <v>27</v>
      </c>
      <c r="AC140" s="13">
        <v>-8</v>
      </c>
      <c r="AD140" s="13">
        <v>23</v>
      </c>
      <c r="AE140" s="19">
        <f t="shared" si="8"/>
        <v>23.405888148070776</v>
      </c>
      <c r="AF140" s="19">
        <f t="shared" si="9"/>
        <v>16.197206443157352</v>
      </c>
      <c r="AG140" s="2" t="s">
        <v>146</v>
      </c>
      <c r="AH140" s="13">
        <v>-0.5</v>
      </c>
      <c r="AI140" s="13">
        <v>3</v>
      </c>
      <c r="AJ140" s="19">
        <f>IF(Abschlüsse[[#This Row],[Ergeb]]="ET","",SQRT(($AC140-$AH140)^2+($AD140-$AI140)^2))</f>
        <v>21.360009363293827</v>
      </c>
      <c r="AK140" s="3">
        <v>1</v>
      </c>
      <c r="AL140" s="13">
        <v>-7.5</v>
      </c>
      <c r="AM140" s="13">
        <v>19.5</v>
      </c>
      <c r="AN140" s="19">
        <f t="shared" si="10"/>
        <v>3.5355339059327378</v>
      </c>
      <c r="AO140" s="3">
        <v>1</v>
      </c>
      <c r="AP140" s="13">
        <v>-5.5</v>
      </c>
      <c r="AQ140" s="13">
        <v>21.5</v>
      </c>
      <c r="AR140" s="19">
        <f t="shared" si="11"/>
        <v>2.9154759474226504</v>
      </c>
    </row>
    <row r="141" spans="1:44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COUNTIFS($A$2:$A141,$A141,$B$2:$B141,$B141,$L$2:$L141,"&lt;&gt;ET")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2">
        <v>27</v>
      </c>
      <c r="X141" s="2" t="s">
        <v>151</v>
      </c>
      <c r="Y141" s="17" t="s">
        <v>143</v>
      </c>
      <c r="Z141" s="14" t="s">
        <v>150</v>
      </c>
      <c r="AA141" s="14" t="s">
        <v>156</v>
      </c>
      <c r="AB141" s="18">
        <v>26</v>
      </c>
      <c r="AC141" s="13">
        <v>-5.5</v>
      </c>
      <c r="AD141" s="13">
        <v>26</v>
      </c>
      <c r="AE141" s="19">
        <f t="shared" si="8"/>
        <v>26.06502637635343</v>
      </c>
      <c r="AF141" s="19">
        <f t="shared" si="9"/>
        <v>15.359723570306498</v>
      </c>
      <c r="AG141" s="2" t="s">
        <v>146</v>
      </c>
      <c r="AH141" s="13">
        <v>0</v>
      </c>
      <c r="AI141" s="13">
        <v>3</v>
      </c>
      <c r="AJ141" s="19">
        <f>IF(Abschlüsse[[#This Row],[Ergeb]]="ET","",SQRT(($AC141-$AH141)^2+($AD141-$AI141)^2))</f>
        <v>23.648467180770936</v>
      </c>
      <c r="AK141" s="3">
        <v>1</v>
      </c>
      <c r="AL141" s="13">
        <v>-7</v>
      </c>
      <c r="AM141" s="13">
        <v>24.5</v>
      </c>
      <c r="AN141" s="19">
        <f t="shared" si="10"/>
        <v>2.1213203435596424</v>
      </c>
      <c r="AO141" s="3">
        <v>1</v>
      </c>
      <c r="AP141" s="13">
        <v>-3</v>
      </c>
      <c r="AQ141" s="13">
        <v>16</v>
      </c>
      <c r="AR141" s="19">
        <f t="shared" si="11"/>
        <v>10.307764064044152</v>
      </c>
    </row>
    <row r="142" spans="1:44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COUNTIFS($A$2:$A142,$A142,$B$2:$B142,$B142,$L$2:$L142,"&lt;&gt;ET")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X142" s="2" t="s">
        <v>142</v>
      </c>
      <c r="Y142" s="17" t="s">
        <v>143</v>
      </c>
      <c r="Z142" s="14" t="s">
        <v>150</v>
      </c>
      <c r="AA142" s="14" t="s">
        <v>145</v>
      </c>
      <c r="AB142" s="18"/>
      <c r="AC142" s="13">
        <v>0</v>
      </c>
      <c r="AD142" s="13">
        <v>11</v>
      </c>
      <c r="AE142" s="19">
        <f t="shared" si="8"/>
        <v>11</v>
      </c>
      <c r="AF142" s="19">
        <f t="shared" si="9"/>
        <v>36.807381798785883</v>
      </c>
      <c r="AG142" s="2" t="s">
        <v>146</v>
      </c>
      <c r="AH142" s="13">
        <v>0</v>
      </c>
      <c r="AI142" s="13">
        <v>0</v>
      </c>
      <c r="AJ142" s="19">
        <f>IF(Abschlüsse[[#This Row],[Ergeb]]="ET","",SQRT(($AC142-$AH142)^2+($AD142-$AI142)^2))</f>
        <v>11</v>
      </c>
      <c r="AK142" s="3">
        <v>0</v>
      </c>
      <c r="AL142" s="13"/>
      <c r="AM142" s="13"/>
      <c r="AN142" s="19" t="str">
        <f t="shared" si="10"/>
        <v/>
      </c>
      <c r="AO142" s="3">
        <v>0</v>
      </c>
      <c r="AR142" s="19" t="str">
        <f t="shared" si="11"/>
        <v/>
      </c>
    </row>
    <row r="143" spans="1:44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COUNTIFS($A$2:$A143,$A143,$B$2:$B143,$B143,$L$2:$L143,"&lt;&gt;ET")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X143" s="2" t="s">
        <v>141</v>
      </c>
      <c r="Y143" s="17" t="s">
        <v>149</v>
      </c>
      <c r="Z143" s="14" t="s">
        <v>150</v>
      </c>
      <c r="AA143" s="14" t="s">
        <v>145</v>
      </c>
      <c r="AB143" s="18"/>
      <c r="AC143" s="13">
        <v>4.5</v>
      </c>
      <c r="AD143" s="13">
        <v>5.5</v>
      </c>
      <c r="AE143" s="19">
        <f t="shared" si="8"/>
        <v>5.5637756964133631</v>
      </c>
      <c r="AF143" s="19">
        <f t="shared" si="9"/>
        <v>47.335730558460277</v>
      </c>
      <c r="AG143" s="2" t="s">
        <v>146</v>
      </c>
      <c r="AH143" s="13">
        <v>3</v>
      </c>
      <c r="AI143" s="13">
        <v>1.5</v>
      </c>
      <c r="AJ143" s="19">
        <f>IF(Abschlüsse[[#This Row],[Ergeb]]="ET","",SQRT(($AC143-$AH143)^2+($AD143-$AI143)^2))</f>
        <v>4.2720018726587652</v>
      </c>
      <c r="AK143" s="3">
        <v>1</v>
      </c>
      <c r="AL143" s="13">
        <v>3.5</v>
      </c>
      <c r="AM143" s="13">
        <v>6.5</v>
      </c>
      <c r="AN143" s="19">
        <f t="shared" si="10"/>
        <v>1.4142135623730951</v>
      </c>
      <c r="AO143" s="3">
        <v>0</v>
      </c>
      <c r="AR143" s="19" t="str">
        <f t="shared" si="11"/>
        <v/>
      </c>
    </row>
    <row r="144" spans="1:44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COUNTIFS($A$2:$A144,$A144,$B$2:$B144,$B144,$L$2:$L144,"&lt;&gt;ET")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X144" s="2" t="s">
        <v>141</v>
      </c>
      <c r="Y144" s="17" t="s">
        <v>149</v>
      </c>
      <c r="Z144" s="14" t="s">
        <v>144</v>
      </c>
      <c r="AA144" s="14" t="s">
        <v>145</v>
      </c>
      <c r="AB144" s="18"/>
      <c r="AC144" s="13">
        <v>0</v>
      </c>
      <c r="AD144" s="13">
        <v>14.5</v>
      </c>
      <c r="AE144" s="19">
        <f t="shared" si="8"/>
        <v>14.5</v>
      </c>
      <c r="AF144" s="19">
        <f t="shared" si="9"/>
        <v>28.33266842621213</v>
      </c>
      <c r="AG144" s="2" t="s">
        <v>169</v>
      </c>
      <c r="AH144" s="13">
        <v>0</v>
      </c>
      <c r="AI144" s="13">
        <v>11.5</v>
      </c>
      <c r="AJ144" s="19">
        <f>IF(Abschlüsse[[#This Row],[Ergeb]]="ET","",SQRT(($AC144-$AH144)^2+($AD144-$AI144)^2))</f>
        <v>3</v>
      </c>
      <c r="AK144" s="3">
        <v>2</v>
      </c>
      <c r="AL144" s="13">
        <v>-0.5</v>
      </c>
      <c r="AM144" s="13">
        <v>14.5</v>
      </c>
      <c r="AN144" s="19">
        <f t="shared" si="10"/>
        <v>0.5</v>
      </c>
      <c r="AO144" s="3">
        <v>0</v>
      </c>
      <c r="AR144" s="19" t="str">
        <f t="shared" si="11"/>
        <v/>
      </c>
    </row>
    <row r="145" spans="1:44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COUNTIFS($A$2:$A145,$A145,$B$2:$B145,$B145,$L$2:$L145,"&lt;&gt;ET")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X145" s="2" t="s">
        <v>142</v>
      </c>
      <c r="Y145" s="17" t="s">
        <v>143</v>
      </c>
      <c r="Z145" s="14" t="s">
        <v>150</v>
      </c>
      <c r="AA145" s="14" t="s">
        <v>145</v>
      </c>
      <c r="AB145" s="18"/>
      <c r="AC145" s="13">
        <v>4.5</v>
      </c>
      <c r="AD145" s="13">
        <v>9</v>
      </c>
      <c r="AE145" s="19">
        <f t="shared" si="8"/>
        <v>9.0391150009279126</v>
      </c>
      <c r="AF145" s="19">
        <f t="shared" si="9"/>
        <v>36.865389598473662</v>
      </c>
      <c r="AG145" s="2" t="s">
        <v>146</v>
      </c>
      <c r="AH145" s="13">
        <v>0.5</v>
      </c>
      <c r="AI145" s="13">
        <v>0.5</v>
      </c>
      <c r="AJ145" s="19">
        <f>IF(Abschlüsse[[#This Row],[Ergeb]]="ET","",SQRT(($AC145-$AH145)^2+($AD145-$AI145)^2))</f>
        <v>9.3941471140279678</v>
      </c>
      <c r="AK145" s="3">
        <v>0</v>
      </c>
      <c r="AL145" s="13"/>
      <c r="AM145" s="13"/>
      <c r="AN145" s="19" t="str">
        <f t="shared" si="10"/>
        <v/>
      </c>
      <c r="AO145" s="3">
        <v>2</v>
      </c>
      <c r="AP145" s="13">
        <v>2.5</v>
      </c>
      <c r="AQ145" s="13">
        <v>7</v>
      </c>
      <c r="AR145" s="19">
        <f t="shared" si="11"/>
        <v>2.8284271247461903</v>
      </c>
    </row>
    <row r="146" spans="1:44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COUNTIFS($A$2:$A146,$A146,$B$2:$B146,$B146,$L$2:$L146,"&lt;&gt;ET")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2">
        <v>8</v>
      </c>
      <c r="P146" s="2">
        <v>16</v>
      </c>
      <c r="X146" s="2" t="s">
        <v>151</v>
      </c>
      <c r="Y146" s="17" t="s">
        <v>143</v>
      </c>
      <c r="Z146" s="14" t="s">
        <v>150</v>
      </c>
      <c r="AA146" s="14" t="s">
        <v>156</v>
      </c>
      <c r="AB146" s="18">
        <v>7</v>
      </c>
      <c r="AC146" s="13">
        <v>-11</v>
      </c>
      <c r="AD146" s="13">
        <v>16.5</v>
      </c>
      <c r="AE146" s="19">
        <f t="shared" si="8"/>
        <v>18.058947920629265</v>
      </c>
      <c r="AF146" s="19">
        <f t="shared" si="9"/>
        <v>17.638787418942787</v>
      </c>
      <c r="AG146" s="2" t="s">
        <v>146</v>
      </c>
      <c r="AH146" s="13">
        <v>-1.5</v>
      </c>
      <c r="AI146" s="13">
        <v>1</v>
      </c>
      <c r="AJ146" s="19">
        <f>IF(Abschlüsse[[#This Row],[Ergeb]]="ET","",SQRT(($AC146-$AH146)^2+($AD146-$AI146)^2))</f>
        <v>18.179658962697843</v>
      </c>
      <c r="AK146" s="3">
        <v>1</v>
      </c>
      <c r="AL146" s="13">
        <v>-13</v>
      </c>
      <c r="AM146" s="13">
        <v>14.5</v>
      </c>
      <c r="AN146" s="19">
        <f t="shared" si="10"/>
        <v>2.8284271247461903</v>
      </c>
      <c r="AO146" s="3">
        <v>1</v>
      </c>
      <c r="AP146" s="13">
        <v>-6</v>
      </c>
      <c r="AQ146" s="13">
        <v>10.5</v>
      </c>
      <c r="AR146" s="19">
        <f t="shared" si="11"/>
        <v>7.810249675906654</v>
      </c>
    </row>
    <row r="147" spans="1:44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COUNTIFS($A$2:$A147,$A147,$B$2:$B147,$B147,$L$2:$L147,"&lt;&gt;ET")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X147" s="2" t="s">
        <v>151</v>
      </c>
      <c r="Y147" s="17" t="s">
        <v>149</v>
      </c>
      <c r="Z147" s="14" t="s">
        <v>150</v>
      </c>
      <c r="AA147" s="14" t="s">
        <v>156</v>
      </c>
      <c r="AB147" s="18"/>
      <c r="AC147" s="13">
        <v>-15</v>
      </c>
      <c r="AD147" s="13">
        <v>7</v>
      </c>
      <c r="AE147" s="19">
        <f t="shared" si="8"/>
        <v>13.326499915581735</v>
      </c>
      <c r="AF147" s="19">
        <f t="shared" si="9"/>
        <v>11.123592872401678</v>
      </c>
      <c r="AG147" s="2" t="s">
        <v>146</v>
      </c>
      <c r="AH147" s="13">
        <v>-4</v>
      </c>
      <c r="AI147" s="13">
        <v>1</v>
      </c>
      <c r="AJ147" s="19">
        <f>IF(Abschlüsse[[#This Row],[Ergeb]]="ET","",SQRT(($AC147-$AH147)^2+($AD147-$AI147)^2))</f>
        <v>12.529964086141668</v>
      </c>
      <c r="AK147" s="3">
        <v>1</v>
      </c>
      <c r="AL147" s="13">
        <v>-14.5</v>
      </c>
      <c r="AM147" s="13">
        <v>7.5</v>
      </c>
      <c r="AN147" s="19">
        <f t="shared" si="10"/>
        <v>0.70710678118654757</v>
      </c>
      <c r="AO147" s="3">
        <v>0</v>
      </c>
      <c r="AR147" s="19" t="str">
        <f t="shared" si="11"/>
        <v/>
      </c>
    </row>
    <row r="148" spans="1:44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COUNTIFS($A$2:$A148,$A148,$B$2:$B148,$B148,$L$2:$L148,"&lt;&gt;ET")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X148" s="2" t="s">
        <v>151</v>
      </c>
      <c r="Y148" s="17" t="s">
        <v>143</v>
      </c>
      <c r="Z148" s="14" t="s">
        <v>150</v>
      </c>
      <c r="AA148" s="14" t="s">
        <v>145</v>
      </c>
      <c r="AB148" s="18">
        <v>16</v>
      </c>
      <c r="AC148" s="13">
        <v>11</v>
      </c>
      <c r="AD148" s="13">
        <v>34</v>
      </c>
      <c r="AE148" s="19">
        <f t="shared" si="8"/>
        <v>34.783266091613655</v>
      </c>
      <c r="AF148" s="19">
        <f t="shared" si="9"/>
        <v>11.142375849705104</v>
      </c>
      <c r="AG148" s="2" t="s">
        <v>146</v>
      </c>
      <c r="AH148" s="13">
        <v>1.5</v>
      </c>
      <c r="AI148" s="13">
        <v>3.5</v>
      </c>
      <c r="AJ148" s="19">
        <f>IF(Abschlüsse[[#This Row],[Ergeb]]="ET","",SQRT(($AC148-$AH148)^2+($AD148-$AI148)^2))</f>
        <v>31.945265689926575</v>
      </c>
      <c r="AK148" s="3">
        <v>0</v>
      </c>
      <c r="AL148" s="13"/>
      <c r="AM148" s="13"/>
      <c r="AN148" s="19" t="str">
        <f t="shared" si="10"/>
        <v/>
      </c>
      <c r="AO148" s="3">
        <v>4</v>
      </c>
      <c r="AP148" s="13">
        <v>10</v>
      </c>
      <c r="AQ148" s="13">
        <v>32</v>
      </c>
      <c r="AR148" s="19">
        <f t="shared" si="11"/>
        <v>2.2360679774997898</v>
      </c>
    </row>
    <row r="149" spans="1:44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COUNTIFS($A$2:$A149,$A149,$B$2:$B149,$B149,$L$2:$L149,"&lt;&gt;ET")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2">
        <v>18</v>
      </c>
      <c r="P149" s="2">
        <v>7</v>
      </c>
      <c r="Q149" s="2">
        <v>16</v>
      </c>
      <c r="R149" s="2">
        <v>4</v>
      </c>
      <c r="S149" s="2">
        <v>10</v>
      </c>
      <c r="T149" s="2">
        <v>19</v>
      </c>
      <c r="U149" s="2">
        <v>8</v>
      </c>
      <c r="V149" s="2">
        <v>23</v>
      </c>
      <c r="X149" s="2" t="s">
        <v>151</v>
      </c>
      <c r="Y149" s="17" t="s">
        <v>143</v>
      </c>
      <c r="Z149" s="14" t="s">
        <v>150</v>
      </c>
      <c r="AA149" s="14" t="s">
        <v>156</v>
      </c>
      <c r="AB149" s="18">
        <v>19</v>
      </c>
      <c r="AC149" s="13">
        <v>3.5</v>
      </c>
      <c r="AD149" s="13">
        <v>4</v>
      </c>
      <c r="AE149" s="19">
        <f t="shared" si="8"/>
        <v>4</v>
      </c>
      <c r="AF149" s="19">
        <f t="shared" si="9"/>
        <v>63.100298524399463</v>
      </c>
      <c r="AG149" s="2" t="s">
        <v>146</v>
      </c>
      <c r="AH149" s="13">
        <v>3</v>
      </c>
      <c r="AI149" s="13">
        <v>2</v>
      </c>
      <c r="AJ149" s="19">
        <f>IF(Abschlüsse[[#This Row],[Ergeb]]="ET","",SQRT(($AC149-$AH149)^2+($AD149-$AI149)^2))</f>
        <v>2.0615528128088303</v>
      </c>
      <c r="AK149" s="3">
        <v>1</v>
      </c>
      <c r="AL149" s="13">
        <v>4</v>
      </c>
      <c r="AM149" s="13">
        <v>6</v>
      </c>
      <c r="AN149" s="19">
        <f t="shared" si="10"/>
        <v>2.0615528128088303</v>
      </c>
      <c r="AO149" s="3">
        <v>1</v>
      </c>
      <c r="AP149" s="13">
        <v>0</v>
      </c>
      <c r="AQ149" s="13">
        <v>0</v>
      </c>
      <c r="AR149" s="19">
        <f t="shared" si="11"/>
        <v>5.315072906367325</v>
      </c>
    </row>
    <row r="150" spans="1:44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COUNTIFS($A$2:$A150,$A150,$B$2:$B150,$B150,$L$2:$L150,"&lt;&gt;ET")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X150" s="2" t="s">
        <v>154</v>
      </c>
      <c r="Y150" s="17" t="s">
        <v>160</v>
      </c>
      <c r="Z150" s="14" t="s">
        <v>161</v>
      </c>
      <c r="AA150" s="14" t="s">
        <v>145</v>
      </c>
      <c r="AB150" s="18"/>
      <c r="AC150" s="13">
        <v>5</v>
      </c>
      <c r="AD150" s="13">
        <v>4.5</v>
      </c>
      <c r="AE150" s="19">
        <f t="shared" si="8"/>
        <v>4.6952742198938715</v>
      </c>
      <c r="AF150" s="19">
        <f t="shared" si="9"/>
        <v>45.959874295400844</v>
      </c>
      <c r="AG150" s="2" t="s">
        <v>146</v>
      </c>
      <c r="AH150" s="13">
        <v>1.5</v>
      </c>
      <c r="AI150" s="13">
        <v>0.5</v>
      </c>
      <c r="AJ150" s="19">
        <f>IF(Abschlüsse[[#This Row],[Ergeb]]="ET","",SQRT(($AC150-$AH150)^2+($AD150-$AI150)^2))</f>
        <v>5.315072906367325</v>
      </c>
      <c r="AK150" s="3">
        <v>0</v>
      </c>
      <c r="AL150" s="13"/>
      <c r="AM150" s="13"/>
      <c r="AN150" s="19" t="str">
        <f t="shared" si="10"/>
        <v/>
      </c>
      <c r="AO150" s="3">
        <v>2</v>
      </c>
      <c r="AP150" s="13">
        <v>4.5</v>
      </c>
      <c r="AQ150" s="13">
        <v>3.5</v>
      </c>
      <c r="AR150" s="19">
        <f t="shared" si="11"/>
        <v>1.1180339887498949</v>
      </c>
    </row>
    <row r="151" spans="1:44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COUNTIFS($A$2:$A151,$A151,$B$2:$B151,$B151,$L$2:$L151,"&lt;&gt;ET")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2">
        <v>19</v>
      </c>
      <c r="P151" s="2">
        <v>18</v>
      </c>
      <c r="Q151" s="2">
        <v>7</v>
      </c>
      <c r="X151" s="2" t="s">
        <v>154</v>
      </c>
      <c r="Y151" s="17" t="s">
        <v>160</v>
      </c>
      <c r="Z151" s="14" t="s">
        <v>161</v>
      </c>
      <c r="AA151" s="14" t="s">
        <v>156</v>
      </c>
      <c r="AB151" s="18">
        <v>10</v>
      </c>
      <c r="AC151" s="13">
        <v>4.5</v>
      </c>
      <c r="AD151" s="13">
        <v>7</v>
      </c>
      <c r="AE151" s="19">
        <f t="shared" si="8"/>
        <v>7.0502198547279358</v>
      </c>
      <c r="AF151" s="19">
        <f t="shared" si="9"/>
        <v>42.532810160119716</v>
      </c>
      <c r="AG151" s="2" t="s">
        <v>146</v>
      </c>
      <c r="AH151" s="13">
        <v>0.5</v>
      </c>
      <c r="AI151" s="13">
        <v>0.5</v>
      </c>
      <c r="AJ151" s="19">
        <f>IF(Abschlüsse[[#This Row],[Ergeb]]="ET","",SQRT(($AC151-$AH151)^2+($AD151-$AI151)^2))</f>
        <v>7.6321687612368736</v>
      </c>
      <c r="AK151" s="3">
        <v>2</v>
      </c>
      <c r="AL151" s="13">
        <v>5</v>
      </c>
      <c r="AM151" s="13">
        <v>6</v>
      </c>
      <c r="AN151" s="19">
        <f t="shared" si="10"/>
        <v>1.1180339887498949</v>
      </c>
      <c r="AO151" s="3">
        <v>0</v>
      </c>
      <c r="AR151" s="19" t="str">
        <f t="shared" si="11"/>
        <v/>
      </c>
    </row>
    <row r="152" spans="1:44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COUNTIFS($A$2:$A152,$A152,$B$2:$B152,$B152,$L$2:$L152,"&lt;&gt;ET")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2">
        <v>10</v>
      </c>
      <c r="X152" s="2" t="s">
        <v>154</v>
      </c>
      <c r="Y152" s="17" t="s">
        <v>143</v>
      </c>
      <c r="Z152" s="14" t="s">
        <v>161</v>
      </c>
      <c r="AA152" s="14" t="s">
        <v>162</v>
      </c>
      <c r="AB152" s="18">
        <v>16</v>
      </c>
      <c r="AC152" s="13">
        <v>1.5</v>
      </c>
      <c r="AD152" s="13">
        <v>7</v>
      </c>
      <c r="AE152" s="19">
        <f t="shared" si="8"/>
        <v>7</v>
      </c>
      <c r="AF152" s="19">
        <f t="shared" si="9"/>
        <v>53.544249597719258</v>
      </c>
      <c r="AG152" s="2" t="s">
        <v>146</v>
      </c>
      <c r="AH152" s="13">
        <v>0</v>
      </c>
      <c r="AI152" s="13">
        <v>0.5</v>
      </c>
      <c r="AJ152" s="19">
        <f>IF(Abschlüsse[[#This Row],[Ergeb]]="ET","",SQRT(($AC152-$AH152)^2+($AD152-$AI152)^2))</f>
        <v>6.6708320320631671</v>
      </c>
      <c r="AK152" s="3">
        <v>0</v>
      </c>
      <c r="AL152" s="13">
        <v>0</v>
      </c>
      <c r="AM152" s="13">
        <v>0</v>
      </c>
      <c r="AN152" s="19" t="str">
        <f t="shared" si="10"/>
        <v/>
      </c>
      <c r="AO152" s="3">
        <v>5</v>
      </c>
      <c r="AP152" s="13">
        <v>1.5</v>
      </c>
      <c r="AQ152" s="13">
        <v>6.5</v>
      </c>
      <c r="AR152" s="19">
        <f t="shared" si="11"/>
        <v>0.5</v>
      </c>
    </row>
    <row r="153" spans="1:44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COUNTIFS($A$2:$A153,$A153,$B$2:$B153,$B153,$L$2:$L153,"&lt;&gt;ET")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2">
        <v>8</v>
      </c>
      <c r="X153" s="2" t="s">
        <v>151</v>
      </c>
      <c r="Y153" s="17" t="s">
        <v>149</v>
      </c>
      <c r="Z153" s="14" t="s">
        <v>150</v>
      </c>
      <c r="AA153" s="14" t="s">
        <v>156</v>
      </c>
      <c r="AB153" s="18">
        <v>10</v>
      </c>
      <c r="AC153" s="13">
        <v>10</v>
      </c>
      <c r="AD153" s="13">
        <v>14</v>
      </c>
      <c r="AE153" s="19">
        <f t="shared" si="8"/>
        <v>15.368656414924502</v>
      </c>
      <c r="AF153" s="19">
        <f t="shared" si="9"/>
        <v>19.932014381656135</v>
      </c>
      <c r="AG153" s="2" t="s">
        <v>146</v>
      </c>
      <c r="AH153" s="13">
        <v>3</v>
      </c>
      <c r="AI153" s="13">
        <v>2</v>
      </c>
      <c r="AJ153" s="19">
        <f>IF(Abschlüsse[[#This Row],[Ergeb]]="ET","",SQRT(($AC153-$AH153)^2+($AD153-$AI153)^2))</f>
        <v>13.892443989449804</v>
      </c>
      <c r="AK153" s="3">
        <v>0</v>
      </c>
      <c r="AL153" s="13"/>
      <c r="AM153" s="13"/>
      <c r="AN153" s="19" t="str">
        <f t="shared" si="10"/>
        <v/>
      </c>
      <c r="AO153" s="3">
        <v>2</v>
      </c>
      <c r="AP153" s="13">
        <v>9</v>
      </c>
      <c r="AQ153" s="13">
        <v>12</v>
      </c>
      <c r="AR153" s="19">
        <f t="shared" si="11"/>
        <v>2.2360679774997898</v>
      </c>
    </row>
    <row r="154" spans="1:44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COUNTIFS($A$2:$A154,$A154,$B$2:$B154,$B154,$L$2:$L154,"&lt;&gt;ET")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2">
        <v>8</v>
      </c>
      <c r="X154" s="22" t="s">
        <v>154</v>
      </c>
      <c r="Y154" s="18" t="s">
        <v>149</v>
      </c>
      <c r="Z154" s="14" t="s">
        <v>144</v>
      </c>
      <c r="AA154" s="14" t="s">
        <v>156</v>
      </c>
      <c r="AB154" s="18">
        <v>10</v>
      </c>
      <c r="AC154" s="13">
        <v>-7.5</v>
      </c>
      <c r="AD154" s="13">
        <v>15.5</v>
      </c>
      <c r="AE154" s="19">
        <f t="shared" si="8"/>
        <v>15.968581652732968</v>
      </c>
      <c r="AF154" s="19">
        <f t="shared" si="9"/>
        <v>21.839475454833995</v>
      </c>
      <c r="AG154" s="3" t="s">
        <v>146</v>
      </c>
      <c r="AH154" s="13">
        <v>-0.5</v>
      </c>
      <c r="AI154" s="13">
        <v>1</v>
      </c>
      <c r="AJ154" s="19">
        <f>IF(Abschlüsse[[#This Row],[Ergeb]]="ET","",SQRT(($AC154-$AH154)^2+($AD154-$AI154)^2))</f>
        <v>16.101242188104617</v>
      </c>
      <c r="AK154" s="3">
        <v>0</v>
      </c>
      <c r="AL154" s="13"/>
      <c r="AM154" s="13"/>
      <c r="AN154" s="19" t="str">
        <f t="shared" si="10"/>
        <v/>
      </c>
      <c r="AO154" s="3">
        <v>3</v>
      </c>
      <c r="AP154" s="13">
        <v>-6</v>
      </c>
      <c r="AQ154" s="13">
        <v>7.5</v>
      </c>
      <c r="AR154" s="19">
        <f t="shared" si="11"/>
        <v>8.1394102980498531</v>
      </c>
    </row>
    <row r="155" spans="1:44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COUNTIFS($A$2:$A155,$A155,$B$2:$B155,$B155,$L$2:$L155,"&lt;&gt;ET")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X155" s="2" t="s">
        <v>151</v>
      </c>
      <c r="Y155" s="17" t="s">
        <v>149</v>
      </c>
      <c r="Z155" s="14" t="s">
        <v>150</v>
      </c>
      <c r="AA155" s="14" t="s">
        <v>156</v>
      </c>
      <c r="AB155" s="18">
        <v>27</v>
      </c>
      <c r="AC155" s="13">
        <v>-2</v>
      </c>
      <c r="AD155" s="13">
        <v>7.5</v>
      </c>
      <c r="AE155" s="19">
        <f t="shared" si="8"/>
        <v>7.5</v>
      </c>
      <c r="AF155" s="19">
        <f t="shared" si="9"/>
        <v>49.52090376340567</v>
      </c>
      <c r="AG155" s="2" t="s">
        <v>146</v>
      </c>
      <c r="AH155" s="13">
        <v>-1</v>
      </c>
      <c r="AI155" s="13">
        <v>1</v>
      </c>
      <c r="AJ155" s="19">
        <f>IF(Abschlüsse[[#This Row],[Ergeb]]="ET","",SQRT(($AC155-$AH155)^2+($AD155-$AI155)^2))</f>
        <v>6.5764732189829527</v>
      </c>
      <c r="AK155" s="3">
        <v>1</v>
      </c>
      <c r="AL155" s="13">
        <v>0</v>
      </c>
      <c r="AM155" s="13">
        <v>9</v>
      </c>
      <c r="AN155" s="19">
        <f t="shared" si="10"/>
        <v>2.5</v>
      </c>
      <c r="AO155" s="3">
        <v>3</v>
      </c>
      <c r="AP155" s="13">
        <v>-1</v>
      </c>
      <c r="AQ155" s="13">
        <v>6</v>
      </c>
      <c r="AR155" s="19">
        <f t="shared" si="11"/>
        <v>1.8027756377319946</v>
      </c>
    </row>
    <row r="156" spans="1:44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COUNTIFS($A$2:$A156,$A156,$B$2:$B156,$B156,$L$2:$L156,"&lt;&gt;ET")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2">
        <v>19</v>
      </c>
      <c r="P156" s="2">
        <v>7</v>
      </c>
      <c r="Q156" s="2">
        <v>8</v>
      </c>
      <c r="R156" s="2">
        <v>20</v>
      </c>
      <c r="S156" s="2">
        <v>26</v>
      </c>
      <c r="X156" s="2" t="s">
        <v>151</v>
      </c>
      <c r="Y156" s="17" t="s">
        <v>149</v>
      </c>
      <c r="Z156" s="14" t="s">
        <v>150</v>
      </c>
      <c r="AA156" s="14" t="s">
        <v>156</v>
      </c>
      <c r="AB156" s="18">
        <v>10</v>
      </c>
      <c r="AC156" s="13">
        <v>8.5</v>
      </c>
      <c r="AD156" s="13">
        <v>8</v>
      </c>
      <c r="AE156" s="19">
        <f t="shared" si="8"/>
        <v>9.3501657739314972</v>
      </c>
      <c r="AF156" s="19">
        <f t="shared" si="9"/>
        <v>25.485354454151746</v>
      </c>
      <c r="AG156" s="2" t="s">
        <v>146</v>
      </c>
      <c r="AH156" s="13">
        <v>3.5</v>
      </c>
      <c r="AI156" s="13">
        <v>2</v>
      </c>
      <c r="AJ156" s="19">
        <f>IF(Abschlüsse[[#This Row],[Ergeb]]="ET","",SQRT(($AC156-$AH156)^2+($AD156-$AI156)^2))</f>
        <v>7.810249675906654</v>
      </c>
      <c r="AK156" s="3">
        <v>0</v>
      </c>
      <c r="AL156" s="13"/>
      <c r="AM156" s="13"/>
      <c r="AN156" s="19" t="str">
        <f t="shared" si="10"/>
        <v/>
      </c>
      <c r="AO156" s="3">
        <v>3</v>
      </c>
      <c r="AP156" s="13">
        <v>8</v>
      </c>
      <c r="AQ156" s="13">
        <v>7</v>
      </c>
      <c r="AR156" s="19">
        <f t="shared" si="11"/>
        <v>1.1180339887498949</v>
      </c>
    </row>
    <row r="157" spans="1:44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COUNTIFS($A$2:$A157,$A157,$B$2:$B157,$B157,$L$2:$L157,"&lt;&gt;ET")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2">
        <v>8</v>
      </c>
      <c r="X157" s="2" t="s">
        <v>141</v>
      </c>
      <c r="Y157" s="17" t="s">
        <v>149</v>
      </c>
      <c r="Z157" s="14" t="s">
        <v>144</v>
      </c>
      <c r="AA157" s="14" t="s">
        <v>156</v>
      </c>
      <c r="AB157" s="18">
        <v>7</v>
      </c>
      <c r="AC157" s="13">
        <v>-5</v>
      </c>
      <c r="AD157" s="13">
        <v>9.5</v>
      </c>
      <c r="AE157" s="19">
        <f t="shared" si="8"/>
        <v>9.5940398164693885</v>
      </c>
      <c r="AF157" s="19">
        <f t="shared" si="9"/>
        <v>34.322888606241513</v>
      </c>
      <c r="AG157" s="2" t="s">
        <v>146</v>
      </c>
      <c r="AH157" s="13">
        <v>-2.5</v>
      </c>
      <c r="AI157" s="13">
        <v>2</v>
      </c>
      <c r="AJ157" s="19">
        <f>IF(Abschlüsse[[#This Row],[Ergeb]]="ET","",SQRT(($AC157-$AH157)^2+($AD157-$AI157)^2))</f>
        <v>7.9056941504209481</v>
      </c>
      <c r="AK157" s="3">
        <v>0</v>
      </c>
      <c r="AL157" s="13"/>
      <c r="AM157" s="13"/>
      <c r="AN157" s="19" t="str">
        <f t="shared" si="10"/>
        <v/>
      </c>
      <c r="AO157" s="3">
        <v>1</v>
      </c>
      <c r="AP157" s="13">
        <v>-3</v>
      </c>
      <c r="AQ157" s="13">
        <v>4.5</v>
      </c>
      <c r="AR157" s="19">
        <f t="shared" si="11"/>
        <v>5.3851648071345037</v>
      </c>
    </row>
    <row r="158" spans="1:44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COUNTIFS($A$2:$A158,$A158,$B$2:$B158,$B158,$L$2:$L158,"&lt;&gt;ET")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2">
        <v>7</v>
      </c>
      <c r="X158" s="2" t="s">
        <v>141</v>
      </c>
      <c r="Y158" s="17" t="s">
        <v>149</v>
      </c>
      <c r="Z158" s="14" t="s">
        <v>144</v>
      </c>
      <c r="AA158" s="14" t="s">
        <v>156</v>
      </c>
      <c r="AB158" s="18">
        <v>10</v>
      </c>
      <c r="AC158" s="13">
        <v>5.5</v>
      </c>
      <c r="AD158" s="13">
        <v>9</v>
      </c>
      <c r="AE158" s="19">
        <f t="shared" si="8"/>
        <v>9.1861635082334558</v>
      </c>
      <c r="AF158" s="19">
        <f t="shared" si="9"/>
        <v>33.950219920676389</v>
      </c>
      <c r="AG158" s="2" t="s">
        <v>146</v>
      </c>
      <c r="AH158" s="13">
        <v>2</v>
      </c>
      <c r="AI158" s="13">
        <v>1.5</v>
      </c>
      <c r="AJ158" s="19">
        <f>IF(Abschlüsse[[#This Row],[Ergeb]]="ET","",SQRT(($AC158-$AH158)^2+($AD158-$AI158)^2))</f>
        <v>8.2764726786234242</v>
      </c>
      <c r="AK158" s="3">
        <v>0</v>
      </c>
      <c r="AL158" s="13"/>
      <c r="AM158" s="13"/>
      <c r="AN158" s="19" t="str">
        <f t="shared" si="10"/>
        <v/>
      </c>
      <c r="AO158" s="3">
        <v>3</v>
      </c>
      <c r="AP158" s="13">
        <v>4</v>
      </c>
      <c r="AQ158" s="13">
        <v>5</v>
      </c>
      <c r="AR158" s="19">
        <f t="shared" si="11"/>
        <v>4.2720018726587652</v>
      </c>
    </row>
    <row r="159" spans="1:44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COUNTIFS($A$2:$A159,$A159,$B$2:$B159,$B159,$L$2:$L159,"&lt;&gt;ET")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2">
        <v>27</v>
      </c>
      <c r="X159" s="2" t="s">
        <v>142</v>
      </c>
      <c r="Y159" s="18" t="s">
        <v>143</v>
      </c>
      <c r="Z159" s="14" t="s">
        <v>150</v>
      </c>
      <c r="AA159" s="14" t="s">
        <v>156</v>
      </c>
      <c r="AB159" s="18">
        <v>4</v>
      </c>
      <c r="AC159" s="13">
        <v>4.5</v>
      </c>
      <c r="AD159" s="13">
        <v>9.5</v>
      </c>
      <c r="AE159" s="19">
        <f t="shared" si="8"/>
        <v>9.5370645378963435</v>
      </c>
      <c r="AF159" s="19">
        <f t="shared" si="9"/>
        <v>35.607831474935765</v>
      </c>
      <c r="AG159" s="3" t="s">
        <v>146</v>
      </c>
      <c r="AH159" s="13">
        <v>3</v>
      </c>
      <c r="AI159" s="13">
        <v>1.5</v>
      </c>
      <c r="AJ159" s="19">
        <f>IF(Abschlüsse[[#This Row],[Ergeb]]="ET","",SQRT(($AC159-$AH159)^2+($AD159-$AI159)^2))</f>
        <v>8.1394102980498531</v>
      </c>
      <c r="AK159" s="3">
        <v>1</v>
      </c>
      <c r="AL159" s="13">
        <v>5.5</v>
      </c>
      <c r="AM159" s="13">
        <v>9.5</v>
      </c>
      <c r="AN159" s="19">
        <f t="shared" si="10"/>
        <v>1</v>
      </c>
      <c r="AO159" s="3">
        <v>2</v>
      </c>
      <c r="AP159" s="13">
        <v>4</v>
      </c>
      <c r="AQ159" s="13">
        <v>4</v>
      </c>
      <c r="AR159" s="19">
        <f t="shared" si="11"/>
        <v>5.5226805085936306</v>
      </c>
    </row>
    <row r="160" spans="1:44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COUNTIFS($A$2:$A160,$A160,$B$2:$B160,$B160,$L$2:$L160,"&lt;&gt;ET")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2">
        <v>7</v>
      </c>
      <c r="P160" s="2">
        <v>27</v>
      </c>
      <c r="X160" s="2" t="s">
        <v>151</v>
      </c>
      <c r="Y160" s="17" t="s">
        <v>149</v>
      </c>
      <c r="Z160" s="14" t="s">
        <v>150</v>
      </c>
      <c r="AA160" s="14" t="s">
        <v>145</v>
      </c>
      <c r="AB160" s="18">
        <v>10</v>
      </c>
      <c r="AC160" s="13">
        <v>8</v>
      </c>
      <c r="AD160" s="13">
        <v>18.5</v>
      </c>
      <c r="AE160" s="19">
        <f t="shared" si="8"/>
        <v>19.002252498059278</v>
      </c>
      <c r="AF160" s="19">
        <f t="shared" si="9"/>
        <v>19.01947505927642</v>
      </c>
      <c r="AG160" s="2" t="s">
        <v>146</v>
      </c>
      <c r="AH160" s="13">
        <v>9.5</v>
      </c>
      <c r="AI160" s="13">
        <v>19.5</v>
      </c>
      <c r="AJ160" s="19">
        <f>IF(Abschlüsse[[#This Row],[Ergeb]]="ET","",SQRT(($AC160-$AH160)^2+($AD160-$AI160)^2))</f>
        <v>1.8027756377319946</v>
      </c>
      <c r="AK160" s="3">
        <v>1</v>
      </c>
      <c r="AL160" s="13">
        <v>1.5</v>
      </c>
      <c r="AM160" s="13">
        <v>2.5</v>
      </c>
      <c r="AN160" s="19">
        <f t="shared" si="10"/>
        <v>17.269916039170543</v>
      </c>
      <c r="AO160" s="3">
        <v>2</v>
      </c>
      <c r="AP160" s="13">
        <v>7.5</v>
      </c>
      <c r="AQ160" s="13">
        <v>16.5</v>
      </c>
      <c r="AR160" s="19">
        <f t="shared" si="11"/>
        <v>2.0615528128088303</v>
      </c>
    </row>
    <row r="161" spans="1:44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COUNTIFS($A$2:$A161,$A161,$B$2:$B161,$B161,$L$2:$L161,"&lt;&gt;ET")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2">
        <v>26</v>
      </c>
      <c r="P161" s="2">
        <v>4</v>
      </c>
      <c r="Q161" s="2">
        <v>27</v>
      </c>
      <c r="X161" s="2" t="s">
        <v>151</v>
      </c>
      <c r="Y161" s="17" t="s">
        <v>143</v>
      </c>
      <c r="Z161" s="14" t="s">
        <v>150</v>
      </c>
      <c r="AA161" s="14" t="s">
        <v>145</v>
      </c>
      <c r="AB161" s="18">
        <v>7</v>
      </c>
      <c r="AC161" s="13">
        <v>-6</v>
      </c>
      <c r="AD161" s="13">
        <v>11</v>
      </c>
      <c r="AE161" s="19">
        <f t="shared" si="8"/>
        <v>11.246137114582945</v>
      </c>
      <c r="AF161" s="19">
        <f t="shared" si="9"/>
        <v>29.279656857805321</v>
      </c>
      <c r="AG161" s="2" t="s">
        <v>146</v>
      </c>
      <c r="AH161" s="13">
        <v>-1.5</v>
      </c>
      <c r="AI161" s="13">
        <v>4.5</v>
      </c>
      <c r="AJ161" s="19">
        <f>IF(Abschlüsse[[#This Row],[Ergeb]]="ET","",SQRT(($AC161-$AH161)^2+($AD161-$AI161)^2))</f>
        <v>7.9056941504209481</v>
      </c>
      <c r="AK161" s="3">
        <v>3</v>
      </c>
      <c r="AL161" s="13">
        <v>-7.5</v>
      </c>
      <c r="AM161" s="13">
        <v>11.5</v>
      </c>
      <c r="AN161" s="19">
        <f t="shared" si="10"/>
        <v>1.5811388300841898</v>
      </c>
      <c r="AO161" s="3">
        <v>0</v>
      </c>
      <c r="AR161" s="19" t="str">
        <f t="shared" si="11"/>
        <v/>
      </c>
    </row>
    <row r="162" spans="1:44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COUNTIFS($A$2:$A162,$A162,$B$2:$B162,$B162,$L$2:$L162,"&lt;&gt;ET")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2">
        <v>7</v>
      </c>
      <c r="P162" s="2">
        <v>8</v>
      </c>
      <c r="Q162" s="2">
        <v>26</v>
      </c>
      <c r="X162" s="2" t="s">
        <v>142</v>
      </c>
      <c r="Y162" s="17" t="s">
        <v>143</v>
      </c>
      <c r="Z162" s="14" t="s">
        <v>150</v>
      </c>
      <c r="AA162" s="14" t="s">
        <v>156</v>
      </c>
      <c r="AB162" s="18">
        <v>10</v>
      </c>
      <c r="AC162" s="13">
        <v>8</v>
      </c>
      <c r="AD162" s="13">
        <v>9</v>
      </c>
      <c r="AE162" s="19">
        <f t="shared" si="8"/>
        <v>9.9917766188000812</v>
      </c>
      <c r="AF162" s="19">
        <f t="shared" si="9"/>
        <v>26.592141806196555</v>
      </c>
      <c r="AG162" s="2" t="s">
        <v>146</v>
      </c>
      <c r="AH162" s="13">
        <v>5</v>
      </c>
      <c r="AI162" s="13">
        <v>1.5</v>
      </c>
      <c r="AJ162" s="19">
        <f>IF(Abschlüsse[[#This Row],[Ergeb]]="ET","",SQRT(($AC162-$AH162)^2+($AD162-$AI162)^2))</f>
        <v>8.0777472107017552</v>
      </c>
      <c r="AK162" s="3">
        <v>1</v>
      </c>
      <c r="AL162" s="13">
        <v>5.5</v>
      </c>
      <c r="AM162" s="13">
        <v>9</v>
      </c>
      <c r="AN162" s="19">
        <f t="shared" si="10"/>
        <v>2.5</v>
      </c>
      <c r="AO162" s="3">
        <v>3</v>
      </c>
      <c r="AP162" s="13">
        <v>6</v>
      </c>
      <c r="AQ162" s="13">
        <v>4.5</v>
      </c>
      <c r="AR162" s="19">
        <f t="shared" si="11"/>
        <v>4.924428900898052</v>
      </c>
    </row>
    <row r="163" spans="1:44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COUNTIFS($A$2:$A163,$A163,$B$2:$B163,$B163,$L$2:$L163,"&lt;&gt;ET")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X163" s="22" t="s">
        <v>151</v>
      </c>
      <c r="Y163" s="18" t="s">
        <v>149</v>
      </c>
      <c r="Z163" s="14" t="s">
        <v>150</v>
      </c>
      <c r="AA163" s="14" t="s">
        <v>156</v>
      </c>
      <c r="AB163" s="18">
        <v>8</v>
      </c>
      <c r="AC163" s="13">
        <v>10</v>
      </c>
      <c r="AD163" s="13">
        <v>9.5</v>
      </c>
      <c r="AE163" s="19">
        <f t="shared" si="8"/>
        <v>11.421278387290979</v>
      </c>
      <c r="AF163" s="19">
        <f t="shared" si="9"/>
        <v>21.464990616315546</v>
      </c>
      <c r="AG163" s="3" t="s">
        <v>146</v>
      </c>
      <c r="AH163" s="13">
        <v>4.5</v>
      </c>
      <c r="AI163" s="13">
        <v>1.5</v>
      </c>
      <c r="AJ163" s="19">
        <f>IF(Abschlüsse[[#This Row],[Ergeb]]="ET","",SQRT(($AC163-$AH163)^2+($AD163-$AI163)^2))</f>
        <v>9.7082439194737997</v>
      </c>
      <c r="AK163" s="3">
        <v>2</v>
      </c>
      <c r="AL163" s="13">
        <v>9</v>
      </c>
      <c r="AM163" s="13">
        <v>9.5</v>
      </c>
      <c r="AN163" s="19">
        <f t="shared" si="10"/>
        <v>1</v>
      </c>
      <c r="AO163" s="3">
        <v>3</v>
      </c>
      <c r="AP163" s="13">
        <v>7</v>
      </c>
      <c r="AQ163" s="13">
        <v>6</v>
      </c>
      <c r="AR163" s="19">
        <f t="shared" si="11"/>
        <v>4.6097722286464435</v>
      </c>
    </row>
    <row r="164" spans="1:44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COUNTIFS($A$2:$A164,$A164,$B$2:$B164,$B164,$L$2:$L164,"&lt;&gt;ET")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2">
        <v>8</v>
      </c>
      <c r="X164" s="2" t="s">
        <v>141</v>
      </c>
      <c r="Y164" s="17" t="s">
        <v>149</v>
      </c>
      <c r="Z164" s="14" t="s">
        <v>150</v>
      </c>
      <c r="AA164" s="14" t="s">
        <v>156</v>
      </c>
      <c r="AB164" s="18">
        <v>10</v>
      </c>
      <c r="AC164" s="13">
        <v>-8</v>
      </c>
      <c r="AD164" s="13">
        <v>15.5</v>
      </c>
      <c r="AE164" s="19">
        <f t="shared" si="8"/>
        <v>16.096136182326489</v>
      </c>
      <c r="AF164" s="19">
        <f t="shared" si="9"/>
        <v>21.310363124701595</v>
      </c>
      <c r="AG164" s="2" t="s">
        <v>146</v>
      </c>
      <c r="AH164" s="13">
        <v>-3</v>
      </c>
      <c r="AI164" s="13">
        <v>1</v>
      </c>
      <c r="AJ164" s="19">
        <f>IF(Abschlüsse[[#This Row],[Ergeb]]="ET","",SQRT(($AC164-$AH164)^2+($AD164-$AI164)^2))</f>
        <v>15.337861650177967</v>
      </c>
      <c r="AK164" s="3">
        <v>0</v>
      </c>
      <c r="AL164" s="13"/>
      <c r="AM164" s="13"/>
      <c r="AN164" s="19" t="str">
        <f t="shared" si="10"/>
        <v/>
      </c>
      <c r="AO164" s="3">
        <v>1</v>
      </c>
      <c r="AP164" s="13">
        <v>-6</v>
      </c>
      <c r="AQ164" s="13">
        <v>10.5</v>
      </c>
      <c r="AR164" s="19">
        <f t="shared" si="11"/>
        <v>5.3851648071345037</v>
      </c>
    </row>
    <row r="165" spans="1:44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COUNTIFS($A$2:$A165,$A165,$B$2:$B165,$B165,$L$2:$L165,"&lt;&gt;ET")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X165" s="2" t="s">
        <v>142</v>
      </c>
      <c r="Y165" s="17" t="s">
        <v>143</v>
      </c>
      <c r="Z165" s="14" t="s">
        <v>150</v>
      </c>
      <c r="AA165" s="14" t="s">
        <v>156</v>
      </c>
      <c r="AB165" s="18">
        <v>26</v>
      </c>
      <c r="AC165" s="13">
        <v>7.5</v>
      </c>
      <c r="AD165" s="13">
        <v>20</v>
      </c>
      <c r="AE165" s="19">
        <f t="shared" si="8"/>
        <v>20.365303827834243</v>
      </c>
      <c r="AF165" s="19">
        <f t="shared" si="9"/>
        <v>18.292991879035615</v>
      </c>
      <c r="AG165" s="2" t="s">
        <v>146</v>
      </c>
      <c r="AH165" s="13">
        <v>2</v>
      </c>
      <c r="AI165" s="13">
        <v>0.5</v>
      </c>
      <c r="AJ165" s="19">
        <f>IF(Abschlüsse[[#This Row],[Ergeb]]="ET","",SQRT(($AC165-$AH165)^2+($AD165-$AI165)^2))</f>
        <v>20.260799589354811</v>
      </c>
      <c r="AK165" s="3">
        <v>0</v>
      </c>
      <c r="AL165" s="13"/>
      <c r="AM165" s="13"/>
      <c r="AN165" s="19" t="str">
        <f t="shared" si="10"/>
        <v/>
      </c>
      <c r="AO165" s="3">
        <v>2</v>
      </c>
      <c r="AP165" s="13">
        <v>4</v>
      </c>
      <c r="AQ165" s="13">
        <v>9</v>
      </c>
      <c r="AR165" s="19">
        <f t="shared" si="11"/>
        <v>11.543396380615196</v>
      </c>
    </row>
    <row r="166" spans="1:44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COUNTIFS($A$2:$A166,$A166,$B$2:$B166,$B166,$L$2:$L166,"&lt;&gt;ET")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X166" s="2" t="s">
        <v>151</v>
      </c>
      <c r="Y166" s="17" t="s">
        <v>149</v>
      </c>
      <c r="Z166" s="14" t="s">
        <v>150</v>
      </c>
      <c r="AA166" s="14" t="s">
        <v>145</v>
      </c>
      <c r="AB166" s="18"/>
      <c r="AC166" s="13">
        <v>-2</v>
      </c>
      <c r="AD166" s="13">
        <v>30</v>
      </c>
      <c r="AE166" s="19">
        <f t="shared" si="8"/>
        <v>30</v>
      </c>
      <c r="AF166" s="19">
        <f t="shared" si="9"/>
        <v>13.851353216671258</v>
      </c>
      <c r="AG166" s="2" t="s">
        <v>146</v>
      </c>
      <c r="AH166" s="13">
        <v>0</v>
      </c>
      <c r="AI166" s="13">
        <v>2.5</v>
      </c>
      <c r="AJ166" s="19">
        <f>IF(Abschlüsse[[#This Row],[Ergeb]]="ET","",SQRT(($AC166-$AH166)^2+($AD166-$AI166)^2))</f>
        <v>27.572631357924475</v>
      </c>
      <c r="AK166" s="3">
        <v>0</v>
      </c>
      <c r="AL166" s="13"/>
      <c r="AM166" s="13"/>
      <c r="AN166" s="19" t="str">
        <f t="shared" si="10"/>
        <v/>
      </c>
      <c r="AO166" s="3">
        <v>2</v>
      </c>
      <c r="AP166" s="13">
        <v>-2</v>
      </c>
      <c r="AQ166" s="13">
        <v>25</v>
      </c>
      <c r="AR166" s="19">
        <f t="shared" si="11"/>
        <v>5</v>
      </c>
    </row>
    <row r="167" spans="1:44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COUNTIFS($A$2:$A167,$A167,$B$2:$B167,$B167,$L$2:$L167,"&lt;&gt;ET")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2">
        <v>19</v>
      </c>
      <c r="P167" s="2">
        <v>4</v>
      </c>
      <c r="X167" s="22" t="s">
        <v>151</v>
      </c>
      <c r="Y167" s="18" t="s">
        <v>149</v>
      </c>
      <c r="Z167" s="14" t="s">
        <v>150</v>
      </c>
      <c r="AA167" s="14" t="s">
        <v>156</v>
      </c>
      <c r="AB167" s="18">
        <v>10</v>
      </c>
      <c r="AC167" s="13">
        <v>12</v>
      </c>
      <c r="AD167" s="13">
        <v>13</v>
      </c>
      <c r="AE167" s="19">
        <f>IF($L167="ET","",IF($AC167&gt;3.66,SQRT($AD167^2+($AC167-(7.32/2))^2),IF($AC167&lt;-3.66,SQRT($AD167^2+($AC167+(7.32/2))^2),$AD167)))</f>
        <v>15.445245223045182</v>
      </c>
      <c r="AF167" s="19">
        <f>IF($L167="ET","",IF(DEGREES(ATAN((7.32*$AD167)/($AD167^2+$AC167^2-(7.32/2)^2)))&lt;=0,180+DEGREES(ATAN((7.32*$AD167)/($AD167^2+$AC167^2-(7.32/2)^2))),DEGREES(ATAN((7.32*$AD167)/($AD167^2+$AC167^2-(7.32/2)^2)))))</f>
        <v>17.62082823680722</v>
      </c>
      <c r="AG167" s="3" t="s">
        <v>146</v>
      </c>
      <c r="AH167" s="13">
        <v>3.5</v>
      </c>
      <c r="AI167" s="13">
        <v>2</v>
      </c>
      <c r="AJ167" s="19">
        <f>IF(Abschlüsse[[#This Row],[Ergeb]]="ET","",SQRT(($AC167-$AH167)^2+($AD167-$AI167)^2))</f>
        <v>13.901438774457844</v>
      </c>
      <c r="AK167" s="3">
        <v>0</v>
      </c>
      <c r="AL167" s="13"/>
      <c r="AM167" s="13"/>
      <c r="AN167" s="19" t="str">
        <f>IF(AK167=0,"",SQRT(($AC167-$AL167)^2+($AD167-$AM167)^2))</f>
        <v/>
      </c>
      <c r="AO167" s="3">
        <v>2</v>
      </c>
      <c r="AP167" s="13">
        <v>11</v>
      </c>
      <c r="AQ167" s="13">
        <v>11</v>
      </c>
      <c r="AR167" s="19">
        <f>IF(AO167=0,"",SQRT(($AC167-$AP167)^2+($AD167-$AQ167)^2))</f>
        <v>2.2360679774997898</v>
      </c>
    </row>
    <row r="168" spans="1:44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COUNTIFS($A$2:$A168,$A168,$B$2:$B168,$B168,$L$2:$L168,"&lt;&gt;ET")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2">
        <v>27</v>
      </c>
      <c r="P168" s="2">
        <v>1</v>
      </c>
      <c r="X168" s="2" t="s">
        <v>151</v>
      </c>
      <c r="Y168" s="17" t="s">
        <v>149</v>
      </c>
      <c r="Z168" s="14" t="s">
        <v>150</v>
      </c>
      <c r="AA168" s="14" t="s">
        <v>156</v>
      </c>
      <c r="AB168" s="18">
        <v>10</v>
      </c>
      <c r="AC168" s="13">
        <v>10</v>
      </c>
      <c r="AD168" s="13">
        <v>10.5</v>
      </c>
      <c r="AE168" s="19">
        <f t="shared" si="8"/>
        <v>12.265626767515796</v>
      </c>
      <c r="AF168" s="19">
        <f t="shared" si="9"/>
        <v>21.327704708825838</v>
      </c>
      <c r="AG168" s="2" t="s">
        <v>146</v>
      </c>
      <c r="AH168" s="13">
        <v>3.5</v>
      </c>
      <c r="AI168" s="13">
        <v>2</v>
      </c>
      <c r="AJ168" s="19">
        <f>IF(Abschlüsse[[#This Row],[Ergeb]]="ET","",SQRT(($AC168-$AH168)^2+($AD168-$AI168)^2))</f>
        <v>10.700467279516348</v>
      </c>
      <c r="AK168" s="3">
        <v>0</v>
      </c>
      <c r="AL168" s="13"/>
      <c r="AM168" s="13"/>
      <c r="AN168" s="19" t="str">
        <f t="shared" si="10"/>
        <v/>
      </c>
      <c r="AO168" s="3">
        <v>3</v>
      </c>
      <c r="AP168" s="13">
        <v>9</v>
      </c>
      <c r="AQ168" s="13">
        <v>9</v>
      </c>
      <c r="AR168" s="19">
        <f t="shared" si="11"/>
        <v>1.8027756377319946</v>
      </c>
    </row>
    <row r="169" spans="1:44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COUNTIFS($A$2:$A169,$A169,$B$2:$B169,$B169,$L$2:$L169,"&lt;&gt;ET")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X169" s="2" t="s">
        <v>151</v>
      </c>
      <c r="Y169" s="17" t="s">
        <v>143</v>
      </c>
      <c r="Z169" s="14" t="s">
        <v>150</v>
      </c>
      <c r="AA169" s="14" t="s">
        <v>156</v>
      </c>
      <c r="AB169" s="18"/>
      <c r="AC169" s="13">
        <v>-16</v>
      </c>
      <c r="AD169" s="13">
        <v>12.5</v>
      </c>
      <c r="AE169" s="19">
        <f t="shared" si="8"/>
        <v>17.564896811538631</v>
      </c>
      <c r="AF169" s="19">
        <f t="shared" si="9"/>
        <v>12.920492169163744</v>
      </c>
      <c r="AG169" s="2" t="s">
        <v>146</v>
      </c>
      <c r="AH169" s="13">
        <v>-2.5</v>
      </c>
      <c r="AI169" s="13">
        <v>1</v>
      </c>
      <c r="AJ169" s="19">
        <f>IF(Abschlüsse[[#This Row],[Ergeb]]="ET","",SQRT(($AC169-$AH169)^2+($AD169-$AI169)^2))</f>
        <v>17.734147850968199</v>
      </c>
      <c r="AK169" s="3">
        <v>0</v>
      </c>
      <c r="AL169" s="13"/>
      <c r="AM169" s="13"/>
      <c r="AN169" s="19" t="str">
        <f t="shared" si="10"/>
        <v/>
      </c>
      <c r="AO169" s="3">
        <v>2</v>
      </c>
      <c r="AP169" s="13">
        <v>-14.5</v>
      </c>
      <c r="AQ169" s="13">
        <v>11</v>
      </c>
      <c r="AR169" s="19">
        <f t="shared" si="11"/>
        <v>2.1213203435596424</v>
      </c>
    </row>
    <row r="170" spans="1:44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COUNTIFS($A$2:$A170,$A170,$B$2:$B170,$B170,$L$2:$L170,"&lt;&gt;ET")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X170" s="2" t="s">
        <v>142</v>
      </c>
      <c r="Y170" s="17" t="s">
        <v>143</v>
      </c>
      <c r="Z170" s="14" t="s">
        <v>150</v>
      </c>
      <c r="AA170" s="14" t="s">
        <v>156</v>
      </c>
      <c r="AB170" s="18"/>
      <c r="AC170" s="13">
        <v>6.5</v>
      </c>
      <c r="AD170" s="13">
        <v>17</v>
      </c>
      <c r="AE170" s="19">
        <f t="shared" si="8"/>
        <v>17.235591083568906</v>
      </c>
      <c r="AF170" s="19">
        <f t="shared" si="9"/>
        <v>21.380343495987951</v>
      </c>
      <c r="AG170" s="2" t="s">
        <v>146</v>
      </c>
      <c r="AH170" s="13">
        <v>3</v>
      </c>
      <c r="AI170" s="13">
        <v>0.5</v>
      </c>
      <c r="AJ170" s="19">
        <f>IF(Abschlüsse[[#This Row],[Ergeb]]="ET","",SQRT(($AC170-$AH170)^2+($AD170-$AI170)^2))</f>
        <v>16.867127793432999</v>
      </c>
      <c r="AK170" s="3">
        <v>1</v>
      </c>
      <c r="AL170" s="13">
        <v>5.5</v>
      </c>
      <c r="AM170" s="13">
        <v>16.5</v>
      </c>
      <c r="AN170" s="19">
        <f t="shared" si="10"/>
        <v>1.1180339887498949</v>
      </c>
      <c r="AO170" s="3">
        <v>2</v>
      </c>
      <c r="AP170" s="13">
        <v>6</v>
      </c>
      <c r="AQ170" s="13">
        <v>15.5</v>
      </c>
      <c r="AR170" s="19">
        <f t="shared" si="11"/>
        <v>1.5811388300841898</v>
      </c>
    </row>
    <row r="171" spans="1:44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COUNTIFS($A$2:$A171,$A171,$B$2:$B171,$B171,$L$2:$L171,"&lt;&gt;ET")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2">
        <v>27</v>
      </c>
      <c r="X171" s="2" t="s">
        <v>151</v>
      </c>
      <c r="Y171" s="17" t="s">
        <v>149</v>
      </c>
      <c r="Z171" s="14" t="s">
        <v>150</v>
      </c>
      <c r="AA171" s="14" t="s">
        <v>145</v>
      </c>
      <c r="AB171" s="18">
        <v>8</v>
      </c>
      <c r="AC171" s="13">
        <v>2</v>
      </c>
      <c r="AD171" s="13">
        <v>14.5</v>
      </c>
      <c r="AE171" s="19">
        <f t="shared" si="8"/>
        <v>14.5</v>
      </c>
      <c r="AF171" s="19">
        <f t="shared" si="9"/>
        <v>27.85387619932613</v>
      </c>
      <c r="AG171" s="2" t="s">
        <v>146</v>
      </c>
      <c r="AH171" s="13">
        <v>0</v>
      </c>
      <c r="AI171" s="13">
        <v>7.5</v>
      </c>
      <c r="AJ171" s="19">
        <f>IF(Abschlüsse[[#This Row],[Ergeb]]="ET","",SQRT(($AC171-$AH171)^2+($AD171-$AI171)^2))</f>
        <v>7.2801098892805181</v>
      </c>
      <c r="AK171" s="3">
        <v>2</v>
      </c>
      <c r="AL171" s="13">
        <v>0</v>
      </c>
      <c r="AM171" s="13">
        <v>15.5</v>
      </c>
      <c r="AN171" s="19">
        <f t="shared" si="10"/>
        <v>2.2360679774997898</v>
      </c>
      <c r="AO171" s="3">
        <v>0</v>
      </c>
      <c r="AR171" s="19" t="str">
        <f t="shared" si="11"/>
        <v/>
      </c>
    </row>
    <row r="172" spans="1:44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COUNTIFS($A$2:$A172,$A172,$B$2:$B172,$B172,$L$2:$L172,"&lt;&gt;ET")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2">
        <v>20</v>
      </c>
      <c r="X172" s="2" t="s">
        <v>141</v>
      </c>
      <c r="Y172" s="17" t="s">
        <v>143</v>
      </c>
      <c r="Z172" s="14" t="s">
        <v>144</v>
      </c>
      <c r="AA172" s="14" t="s">
        <v>156</v>
      </c>
      <c r="AB172" s="18">
        <v>16</v>
      </c>
      <c r="AC172" s="13">
        <v>0</v>
      </c>
      <c r="AD172" s="13">
        <v>5.5</v>
      </c>
      <c r="AE172" s="19">
        <f t="shared" si="8"/>
        <v>5.5</v>
      </c>
      <c r="AF172" s="19">
        <f t="shared" si="9"/>
        <v>67.283920499400438</v>
      </c>
      <c r="AG172" s="2" t="s">
        <v>146</v>
      </c>
      <c r="AH172" s="13">
        <v>1</v>
      </c>
      <c r="AI172" s="13">
        <v>0.5</v>
      </c>
      <c r="AJ172" s="19">
        <f>IF(Abschlüsse[[#This Row],[Ergeb]]="ET","",SQRT(($AC172-$AH172)^2+($AD172-$AI172)^2))</f>
        <v>5.0990195135927845</v>
      </c>
      <c r="AK172" s="3">
        <v>1</v>
      </c>
      <c r="AL172" s="13">
        <v>-1</v>
      </c>
      <c r="AM172" s="13">
        <v>0.5</v>
      </c>
      <c r="AN172" s="19">
        <f t="shared" si="10"/>
        <v>5.0990195135927845</v>
      </c>
      <c r="AO172" s="3">
        <v>3</v>
      </c>
      <c r="AP172" s="13">
        <v>-0.5</v>
      </c>
      <c r="AQ172" s="13">
        <v>5</v>
      </c>
      <c r="AR172" s="19">
        <f t="shared" si="11"/>
        <v>0.70710678118654757</v>
      </c>
    </row>
    <row r="173" spans="1:44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COUNTIFS($A$2:$A173,$A173,$B$2:$B173,$B173,$L$2:$L173,"&lt;&gt;ET")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X173" s="22" t="s">
        <v>151</v>
      </c>
      <c r="Y173" s="18" t="s">
        <v>143</v>
      </c>
      <c r="Z173" s="14" t="s">
        <v>150</v>
      </c>
      <c r="AA173" s="14" t="s">
        <v>156</v>
      </c>
      <c r="AB173" s="18"/>
      <c r="AC173" s="13">
        <v>-11.5</v>
      </c>
      <c r="AD173" s="13">
        <v>19</v>
      </c>
      <c r="AE173" s="19">
        <f t="shared" si="8"/>
        <v>20.553967986741636</v>
      </c>
      <c r="AF173" s="19">
        <f t="shared" si="9"/>
        <v>16.163592420742219</v>
      </c>
      <c r="AG173" s="3" t="s">
        <v>146</v>
      </c>
      <c r="AH173" s="13">
        <v>0.5</v>
      </c>
      <c r="AI173" s="13">
        <v>0.5</v>
      </c>
      <c r="AJ173" s="19">
        <f>IF(Abschlüsse[[#This Row],[Ergeb]]="ET","",SQRT(($AC173-$AH173)^2+($AD173-$AI173)^2))</f>
        <v>22.051077071199945</v>
      </c>
      <c r="AK173" s="3">
        <v>1</v>
      </c>
      <c r="AL173" s="13">
        <v>-11.5</v>
      </c>
      <c r="AM173" s="13">
        <v>17.5</v>
      </c>
      <c r="AN173" s="19">
        <f>IF(AK173=0,"",SQRT(($AC173-$AL173)^2+($AD173-$AM173)^2))</f>
        <v>1.5</v>
      </c>
      <c r="AO173" s="3">
        <v>0</v>
      </c>
      <c r="AR173" s="19" t="str">
        <f>IF(AO173=0,"",SQRT(($AC173-$AP173)^2+($AD173-$AQ173)^2))</f>
        <v/>
      </c>
    </row>
    <row r="174" spans="1:44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COUNTIFS($A$2:$A174,$A174,$B$2:$B174,$B174,$L$2:$L174,"&lt;&gt;ET")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X174" s="2" t="s">
        <v>151</v>
      </c>
      <c r="Y174" s="17" t="s">
        <v>149</v>
      </c>
      <c r="Z174" s="14" t="s">
        <v>150</v>
      </c>
      <c r="AA174" s="14" t="s">
        <v>145</v>
      </c>
      <c r="AB174" s="18"/>
      <c r="AC174" s="13">
        <v>9</v>
      </c>
      <c r="AD174" s="13">
        <v>6</v>
      </c>
      <c r="AE174" s="19">
        <f t="shared" si="8"/>
        <v>8.0321603569649938</v>
      </c>
      <c r="AF174" s="19">
        <f t="shared" si="9"/>
        <v>22.973069860031057</v>
      </c>
      <c r="AG174" s="2" t="s">
        <v>146</v>
      </c>
      <c r="AH174" s="13">
        <v>3.5</v>
      </c>
      <c r="AI174" s="13">
        <v>1</v>
      </c>
      <c r="AJ174" s="19">
        <f>IF(Abschlüsse[[#This Row],[Ergeb]]="ET","",SQRT(($AC174-$AH174)^2+($AD174-$AI174)^2))</f>
        <v>7.433034373659253</v>
      </c>
      <c r="AK174" s="3">
        <v>2</v>
      </c>
      <c r="AL174" s="13">
        <v>8</v>
      </c>
      <c r="AM174" s="13">
        <v>6.5</v>
      </c>
      <c r="AN174" s="19">
        <f t="shared" si="10"/>
        <v>1.1180339887498949</v>
      </c>
      <c r="AO174" s="3">
        <v>0</v>
      </c>
      <c r="AR174" s="19" t="str">
        <f t="shared" si="11"/>
        <v/>
      </c>
    </row>
    <row r="175" spans="1:44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COUNTIFS($A$2:$A175,$A175,$B$2:$B175,$B175,$L$2:$L175,"&lt;&gt;ET")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X175" s="2" t="s">
        <v>142</v>
      </c>
      <c r="Y175" s="17" t="s">
        <v>143</v>
      </c>
      <c r="Z175" s="14" t="s">
        <v>150</v>
      </c>
      <c r="AA175" s="14" t="s">
        <v>156</v>
      </c>
      <c r="AB175" s="18"/>
      <c r="AC175" s="13">
        <v>7.5</v>
      </c>
      <c r="AD175" s="13">
        <v>11.5</v>
      </c>
      <c r="AE175" s="19">
        <f t="shared" si="8"/>
        <v>12.124174198682564</v>
      </c>
      <c r="AF175" s="19">
        <f t="shared" si="9"/>
        <v>25.67553789095021</v>
      </c>
      <c r="AG175" s="2" t="s">
        <v>146</v>
      </c>
      <c r="AH175" s="13">
        <v>3</v>
      </c>
      <c r="AI175" s="13">
        <v>1</v>
      </c>
      <c r="AJ175" s="19">
        <f>IF(Abschlüsse[[#This Row],[Ergeb]]="ET","",SQRT(($AC175-$AH175)^2+($AD175-$AI175)^2))</f>
        <v>11.423659658795863</v>
      </c>
      <c r="AK175" s="3">
        <v>0</v>
      </c>
      <c r="AL175" s="13"/>
      <c r="AM175" s="13"/>
      <c r="AN175" s="19" t="str">
        <f t="shared" si="10"/>
        <v/>
      </c>
      <c r="AO175" s="3">
        <v>1</v>
      </c>
      <c r="AP175" s="13">
        <v>6.5</v>
      </c>
      <c r="AQ175" s="13">
        <v>10</v>
      </c>
      <c r="AR175" s="19">
        <f t="shared" si="11"/>
        <v>1.8027756377319946</v>
      </c>
    </row>
    <row r="176" spans="1:44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COUNTIFS($A$2:$A176,$A176,$B$2:$B176,$B176,$L$2:$L176,"&lt;&gt;ET")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X176" s="2" t="s">
        <v>151</v>
      </c>
      <c r="Y176" s="17" t="s">
        <v>143</v>
      </c>
      <c r="Z176" s="14" t="s">
        <v>150</v>
      </c>
      <c r="AA176" s="14" t="s">
        <v>156</v>
      </c>
      <c r="AB176" s="18">
        <v>27</v>
      </c>
      <c r="AC176" s="13">
        <v>17</v>
      </c>
      <c r="AD176" s="13">
        <v>17</v>
      </c>
      <c r="AE176" s="19">
        <f t="shared" si="8"/>
        <v>21.609155467069971</v>
      </c>
      <c r="AF176" s="19">
        <f t="shared" si="9"/>
        <v>12.429392155577906</v>
      </c>
      <c r="AG176" s="2" t="s">
        <v>166</v>
      </c>
      <c r="AJ176" s="19">
        <f>IF(Abschlüsse[[#This Row],[Ergeb]]="ET","",SQRT(($AC176-$AH176)^2+($AD176-$AI176)^2))</f>
        <v>24.041630560342615</v>
      </c>
      <c r="AK176" s="3">
        <v>1</v>
      </c>
      <c r="AL176" s="13">
        <v>15.5</v>
      </c>
      <c r="AM176" s="13">
        <v>18.5</v>
      </c>
      <c r="AN176" s="19">
        <f t="shared" si="10"/>
        <v>2.1213203435596424</v>
      </c>
      <c r="AO176" s="3">
        <v>0</v>
      </c>
      <c r="AR176" s="19" t="str">
        <f t="shared" si="11"/>
        <v/>
      </c>
    </row>
    <row r="177" spans="1:44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COUNTIFS($A$2:$A177,$A177,$B$2:$B177,$B177,$L$2:$L177,"&lt;&gt;ET")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X177" s="2" t="s">
        <v>142</v>
      </c>
      <c r="Y177" s="17" t="s">
        <v>143</v>
      </c>
      <c r="Z177" s="14" t="s">
        <v>150</v>
      </c>
      <c r="AA177" s="14" t="s">
        <v>156</v>
      </c>
      <c r="AB177" s="18"/>
      <c r="AC177" s="13">
        <v>7</v>
      </c>
      <c r="AD177" s="13">
        <v>9</v>
      </c>
      <c r="AE177" s="19">
        <f t="shared" si="8"/>
        <v>9.5997708305979881</v>
      </c>
      <c r="AF177" s="19">
        <f t="shared" si="9"/>
        <v>29.465894784837175</v>
      </c>
      <c r="AG177" s="2" t="s">
        <v>146</v>
      </c>
      <c r="AH177" s="13">
        <v>3.5</v>
      </c>
      <c r="AI177" s="13">
        <v>1</v>
      </c>
      <c r="AJ177" s="19">
        <f>IF(Abschlüsse[[#This Row],[Ergeb]]="ET","",SQRT(($AC177-$AH177)^2+($AD177-$AI177)^2))</f>
        <v>8.7321245982864895</v>
      </c>
      <c r="AK177" s="3">
        <v>0</v>
      </c>
      <c r="AL177" s="13"/>
      <c r="AM177" s="13"/>
      <c r="AN177" s="19" t="str">
        <f t="shared" si="10"/>
        <v/>
      </c>
      <c r="AO177" s="3">
        <v>2</v>
      </c>
      <c r="AP177" s="13">
        <v>6.5</v>
      </c>
      <c r="AQ177" s="13">
        <v>8.5</v>
      </c>
      <c r="AR177" s="19">
        <f t="shared" si="11"/>
        <v>0.70710678118654757</v>
      </c>
    </row>
    <row r="178" spans="1:44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COUNTIFS($A$2:$A178,$A178,$B$2:$B178,$B178,$L$2:$L178,"&lt;&gt;ET")</f>
        <v>7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L178" s="17" t="s">
        <v>171</v>
      </c>
      <c r="Z178" s="14"/>
      <c r="AA178" s="14"/>
      <c r="AB178" s="18"/>
      <c r="AE178" s="19" t="str">
        <f t="shared" si="8"/>
        <v/>
      </c>
      <c r="AF178" s="19" t="str">
        <f t="shared" si="9"/>
        <v/>
      </c>
      <c r="AJ178" s="19" t="str">
        <f>IF(Abschlüsse[[#This Row],[Ergeb]]="ET","",SQRT(($AC178-$AH178)^2+($AD178-$AI178)^2))</f>
        <v/>
      </c>
      <c r="AL178" s="13"/>
      <c r="AM178" s="13"/>
      <c r="AN178" s="19" t="str">
        <f t="shared" si="10"/>
        <v/>
      </c>
      <c r="AR178" s="19" t="str">
        <f t="shared" si="11"/>
        <v/>
      </c>
    </row>
    <row r="179" spans="1:44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COUNTIFS($A$2:$A179,$A179,$B$2:$B179,$B179,$L$2:$L179,"&lt;&gt;ET")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21</v>
      </c>
      <c r="L179" s="17" t="s">
        <v>19</v>
      </c>
      <c r="M179" s="2" t="s">
        <v>163</v>
      </c>
      <c r="N179" s="2" t="s">
        <v>158</v>
      </c>
      <c r="O179" s="2">
        <v>8</v>
      </c>
      <c r="P179" s="2">
        <v>16</v>
      </c>
      <c r="X179" s="2" t="s">
        <v>151</v>
      </c>
      <c r="Y179" s="17" t="s">
        <v>143</v>
      </c>
      <c r="Z179" s="14" t="s">
        <v>150</v>
      </c>
      <c r="AA179" s="14" t="s">
        <v>156</v>
      </c>
      <c r="AB179" s="18">
        <v>27</v>
      </c>
      <c r="AC179" s="13">
        <v>-3</v>
      </c>
      <c r="AD179" s="13">
        <v>16.5</v>
      </c>
      <c r="AE179" s="19">
        <f t="shared" si="8"/>
        <v>16.5</v>
      </c>
      <c r="AF179" s="19">
        <f t="shared" si="9"/>
        <v>24.271404601949332</v>
      </c>
      <c r="AG179" s="2" t="s">
        <v>146</v>
      </c>
      <c r="AH179" s="13">
        <v>-0.5</v>
      </c>
      <c r="AI179" s="13">
        <v>3.5</v>
      </c>
      <c r="AJ179" s="19">
        <f>IF(Abschlüsse[[#This Row],[Ergeb]]="ET","",SQRT(($AC179-$AH179)^2+($AD179-$AI179)^2))</f>
        <v>13.238202294873727</v>
      </c>
      <c r="AK179" s="3">
        <v>1</v>
      </c>
      <c r="AL179" s="13">
        <v>-5.5</v>
      </c>
      <c r="AM179" s="13">
        <v>14.5</v>
      </c>
      <c r="AN179" s="19">
        <f t="shared" si="10"/>
        <v>3.2015621187164243</v>
      </c>
      <c r="AO179" s="3">
        <v>1</v>
      </c>
      <c r="AP179" s="13">
        <v>-3</v>
      </c>
      <c r="AQ179" s="13">
        <v>14.5</v>
      </c>
      <c r="AR179" s="19">
        <f t="shared" si="11"/>
        <v>2</v>
      </c>
    </row>
    <row r="180" spans="1:44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COUNTIFS($A$2:$A180,$A180,$B$2:$B180,$B180,$L$2:$L180,"&lt;&gt;ET")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22</v>
      </c>
      <c r="L180" s="17" t="s">
        <v>20</v>
      </c>
      <c r="M180" s="2" t="s">
        <v>163</v>
      </c>
      <c r="N180" s="2" t="s">
        <v>164</v>
      </c>
      <c r="O180" s="2">
        <v>8</v>
      </c>
      <c r="X180" s="2" t="s">
        <v>151</v>
      </c>
      <c r="Y180" s="17" t="s">
        <v>149</v>
      </c>
      <c r="Z180" s="14" t="s">
        <v>150</v>
      </c>
      <c r="AA180" s="14" t="s">
        <v>156</v>
      </c>
      <c r="AB180" s="18">
        <v>10</v>
      </c>
      <c r="AC180" s="13">
        <v>14.5</v>
      </c>
      <c r="AD180" s="13">
        <v>8.5</v>
      </c>
      <c r="AE180" s="19">
        <f t="shared" si="8"/>
        <v>13.775180579578622</v>
      </c>
      <c r="AF180" s="19">
        <f t="shared" si="9"/>
        <v>13.018666912102047</v>
      </c>
      <c r="AG180" s="2" t="s">
        <v>146</v>
      </c>
      <c r="AH180" s="13">
        <v>3.5</v>
      </c>
      <c r="AI180" s="13">
        <v>0.5</v>
      </c>
      <c r="AJ180" s="19">
        <f>IF(Abschlüsse[[#This Row],[Ergeb]]="ET","",SQRT(($AC180-$AH180)^2+($AD180-$AI180)^2))</f>
        <v>13.601470508735444</v>
      </c>
      <c r="AK180" s="3">
        <v>1</v>
      </c>
      <c r="AL180" s="13">
        <v>11</v>
      </c>
      <c r="AM180" s="13">
        <v>8.5</v>
      </c>
      <c r="AN180" s="19">
        <f t="shared" si="10"/>
        <v>3.5</v>
      </c>
      <c r="AO180" s="3">
        <v>1</v>
      </c>
      <c r="AP180" s="13">
        <v>13.5</v>
      </c>
      <c r="AQ180" s="13">
        <v>7.5</v>
      </c>
      <c r="AR180" s="19">
        <f t="shared" si="11"/>
        <v>1.4142135623730951</v>
      </c>
    </row>
    <row r="181" spans="1:44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COUNTIFS($A$2:$A181,$A181,$B$2:$B181,$B181,$L$2:$L181,"&lt;&gt;ET")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23</v>
      </c>
      <c r="L181" s="17" t="s">
        <v>20</v>
      </c>
      <c r="M181" s="2" t="s">
        <v>168</v>
      </c>
      <c r="N181" s="2" t="s">
        <v>3</v>
      </c>
      <c r="X181" s="2" t="s">
        <v>141</v>
      </c>
      <c r="Y181" s="17" t="s">
        <v>149</v>
      </c>
      <c r="Z181" s="14" t="s">
        <v>150</v>
      </c>
      <c r="AA181" s="14" t="s">
        <v>156</v>
      </c>
      <c r="AB181" s="18">
        <v>27</v>
      </c>
      <c r="AC181" s="13">
        <v>11</v>
      </c>
      <c r="AD181" s="13">
        <v>28</v>
      </c>
      <c r="AE181" s="19">
        <f t="shared" si="8"/>
        <v>28.94608090916627</v>
      </c>
      <c r="AF181" s="19">
        <f t="shared" si="9"/>
        <v>12.946111027969463</v>
      </c>
      <c r="AG181" s="2" t="s">
        <v>146</v>
      </c>
      <c r="AH181" s="13">
        <v>0</v>
      </c>
      <c r="AI181" s="13">
        <v>1</v>
      </c>
      <c r="AJ181" s="19">
        <f>IF(Abschlüsse[[#This Row],[Ergeb]]="ET","",SQRT(($AC181-$AH181)^2+($AD181-$AI181)^2))</f>
        <v>29.154759474226502</v>
      </c>
      <c r="AK181" s="3">
        <v>1</v>
      </c>
      <c r="AL181" s="13">
        <v>10</v>
      </c>
      <c r="AM181" s="13">
        <v>27.5</v>
      </c>
      <c r="AN181" s="19">
        <f t="shared" si="10"/>
        <v>1.1180339887498949</v>
      </c>
      <c r="AO181" s="3">
        <v>3</v>
      </c>
      <c r="AP181" s="13">
        <v>6.5</v>
      </c>
      <c r="AQ181" s="13">
        <v>17.5</v>
      </c>
      <c r="AR181" s="19">
        <f t="shared" si="11"/>
        <v>11.423659658795863</v>
      </c>
    </row>
    <row r="182" spans="1:44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COUNTIFS($A$2:$A182,$A182,$B$2:$B182,$B182,$L$2:$L182,"&lt;&gt;ET")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24</v>
      </c>
      <c r="L182" s="17" t="s">
        <v>20</v>
      </c>
      <c r="M182" s="2" t="s">
        <v>163</v>
      </c>
      <c r="N182" s="2" t="s">
        <v>164</v>
      </c>
      <c r="X182" s="2" t="s">
        <v>151</v>
      </c>
      <c r="Y182" s="17" t="s">
        <v>143</v>
      </c>
      <c r="Z182" s="14" t="s">
        <v>150</v>
      </c>
      <c r="AA182" s="14" t="s">
        <v>156</v>
      </c>
      <c r="AB182" s="18"/>
      <c r="AC182" s="13">
        <v>-12.5</v>
      </c>
      <c r="AD182" s="13">
        <v>11.5</v>
      </c>
      <c r="AE182" s="19">
        <f t="shared" si="8"/>
        <v>14.505019820737923</v>
      </c>
      <c r="AF182" s="19">
        <f t="shared" si="9"/>
        <v>17.013740039938664</v>
      </c>
      <c r="AG182" s="2" t="s">
        <v>146</v>
      </c>
      <c r="AH182" s="13">
        <v>-2.5</v>
      </c>
      <c r="AI182" s="13">
        <v>0.5</v>
      </c>
      <c r="AJ182" s="19">
        <f>IF(Abschlüsse[[#This Row],[Ergeb]]="ET","",SQRT(($AC182-$AH182)^2+($AD182-$AI182)^2))</f>
        <v>14.866068747318506</v>
      </c>
      <c r="AK182" s="3">
        <v>3</v>
      </c>
      <c r="AL182" s="13">
        <v>-12.5</v>
      </c>
      <c r="AM182" s="13">
        <v>10.5</v>
      </c>
      <c r="AN182" s="19">
        <f t="shared" si="10"/>
        <v>1</v>
      </c>
      <c r="AO182" s="3">
        <v>2</v>
      </c>
      <c r="AP182" s="13">
        <v>-7</v>
      </c>
      <c r="AQ182" s="13">
        <v>8</v>
      </c>
      <c r="AR182" s="19">
        <f t="shared" si="11"/>
        <v>6.5192024052026492</v>
      </c>
    </row>
    <row r="183" spans="1:44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COUNTIFS($A$2:$A183,$A183,$B$2:$B183,$B183,$L$2:$L183,"&lt;&gt;ET")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25</v>
      </c>
      <c r="L183" s="17" t="s">
        <v>18</v>
      </c>
      <c r="M183" s="2" t="s">
        <v>163</v>
      </c>
      <c r="N183" s="2" t="s">
        <v>164</v>
      </c>
      <c r="O183" s="2">
        <v>10</v>
      </c>
      <c r="P183" s="2">
        <v>20</v>
      </c>
      <c r="X183" s="2" t="s">
        <v>151</v>
      </c>
      <c r="Y183" s="17" t="s">
        <v>149</v>
      </c>
      <c r="Z183" s="14" t="s">
        <v>150</v>
      </c>
      <c r="AA183" s="14" t="s">
        <v>156</v>
      </c>
      <c r="AB183" s="18">
        <v>7</v>
      </c>
      <c r="AC183" s="13">
        <v>4.5</v>
      </c>
      <c r="AD183" s="13">
        <v>8</v>
      </c>
      <c r="AE183" s="19">
        <f t="shared" si="8"/>
        <v>8.0439791148411128</v>
      </c>
      <c r="AF183" s="19">
        <f t="shared" si="9"/>
        <v>39.573173460749466</v>
      </c>
      <c r="AG183" s="2" t="s">
        <v>146</v>
      </c>
      <c r="AH183" s="13">
        <v>4</v>
      </c>
      <c r="AI183" s="13">
        <v>6.5</v>
      </c>
      <c r="AJ183" s="19">
        <f>IF(Abschlüsse[[#This Row],[Ergeb]]="ET","",SQRT(($AC183-$AH183)^2+($AD183-$AI183)^2))</f>
        <v>1.5811388300841898</v>
      </c>
      <c r="AK183" s="3">
        <v>1</v>
      </c>
      <c r="AL183" s="13">
        <v>5.5</v>
      </c>
      <c r="AM183" s="13">
        <v>10.5</v>
      </c>
      <c r="AN183" s="19">
        <f t="shared" si="10"/>
        <v>2.6925824035672519</v>
      </c>
      <c r="AO183" s="3">
        <v>1</v>
      </c>
      <c r="AP183" s="13">
        <v>-1.5</v>
      </c>
      <c r="AQ183" s="13">
        <v>3.5</v>
      </c>
      <c r="AR183" s="19">
        <f t="shared" si="11"/>
        <v>7.5</v>
      </c>
    </row>
    <row r="184" spans="1:44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COUNTIFS($A$2:$A184,$A184,$B$2:$B184,$B184,$L$2:$L184,"&lt;&gt;ET")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25</v>
      </c>
      <c r="L184" s="17" t="s">
        <v>170</v>
      </c>
      <c r="M184" s="2" t="s">
        <v>163</v>
      </c>
      <c r="N184" s="2" t="s">
        <v>164</v>
      </c>
      <c r="X184" s="2" t="s">
        <v>151</v>
      </c>
      <c r="Y184" s="17" t="s">
        <v>143</v>
      </c>
      <c r="Z184" s="14" t="s">
        <v>150</v>
      </c>
      <c r="AA184" s="14" t="s">
        <v>145</v>
      </c>
      <c r="AB184" s="18">
        <v>27</v>
      </c>
      <c r="AC184" s="13">
        <v>-14.5</v>
      </c>
      <c r="AD184" s="13">
        <v>1.5</v>
      </c>
      <c r="AE184" s="19">
        <f t="shared" si="8"/>
        <v>10.943290181659261</v>
      </c>
      <c r="AF184" s="19">
        <f t="shared" si="9"/>
        <v>3.1564901417983617</v>
      </c>
      <c r="AG184" s="2" t="s">
        <v>146</v>
      </c>
      <c r="AH184" s="13">
        <v>-4.5</v>
      </c>
      <c r="AI184" s="13">
        <v>0.5</v>
      </c>
      <c r="AJ184" s="19">
        <f>IF(Abschlüsse[[#This Row],[Ergeb]]="ET","",SQRT(($AC184-$AH184)^2+($AD184-$AI184)^2))</f>
        <v>10.04987562112089</v>
      </c>
      <c r="AK184" s="3">
        <v>1</v>
      </c>
      <c r="AL184" s="13">
        <v>-13.5</v>
      </c>
      <c r="AM184" s="13">
        <v>2.5</v>
      </c>
      <c r="AN184" s="19">
        <f t="shared" si="10"/>
        <v>1.4142135623730951</v>
      </c>
      <c r="AO184" s="3">
        <v>1</v>
      </c>
      <c r="AP184" s="13">
        <v>-4</v>
      </c>
      <c r="AQ184" s="13">
        <v>1</v>
      </c>
      <c r="AR184" s="19">
        <f t="shared" si="11"/>
        <v>10.51189802081432</v>
      </c>
    </row>
    <row r="185" spans="1:44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COUNTIFS($A$2:$A185,$A185,$B$2:$B185,$B185,$L$2:$L185,"&lt;&gt;ET")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26</v>
      </c>
      <c r="L185" s="17" t="s">
        <v>18</v>
      </c>
      <c r="M185" s="2" t="s">
        <v>163</v>
      </c>
      <c r="N185" s="2" t="s">
        <v>158</v>
      </c>
      <c r="X185" s="2" t="s">
        <v>151</v>
      </c>
      <c r="Y185" s="17" t="s">
        <v>149</v>
      </c>
      <c r="Z185" s="14" t="s">
        <v>150</v>
      </c>
      <c r="AA185" s="14" t="s">
        <v>156</v>
      </c>
      <c r="AB185" s="18"/>
      <c r="AC185" s="13">
        <v>3</v>
      </c>
      <c r="AD185" s="13">
        <v>20</v>
      </c>
      <c r="AE185" s="19">
        <f t="shared" si="8"/>
        <v>20</v>
      </c>
      <c r="AF185" s="19">
        <f t="shared" si="9"/>
        <v>20.307833196437571</v>
      </c>
      <c r="AG185" s="2" t="s">
        <v>146</v>
      </c>
      <c r="AH185" s="13">
        <v>1.5</v>
      </c>
      <c r="AI185" s="13">
        <v>1</v>
      </c>
      <c r="AJ185" s="19">
        <f>IF(Abschlüsse[[#This Row],[Ergeb]]="ET","",SQRT(($AC185-$AH185)^2+($AD185-$AI185)^2))</f>
        <v>19.059118552545918</v>
      </c>
      <c r="AK185" s="3">
        <v>1</v>
      </c>
      <c r="AL185" s="13">
        <v>3.5</v>
      </c>
      <c r="AM185" s="13">
        <v>19</v>
      </c>
      <c r="AN185" s="19">
        <f t="shared" si="10"/>
        <v>1.1180339887498949</v>
      </c>
      <c r="AO185" s="3">
        <v>0</v>
      </c>
      <c r="AR185" s="19" t="str">
        <f t="shared" si="11"/>
        <v/>
      </c>
    </row>
    <row r="186" spans="1:44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COUNTIFS($A$2:$A186,$A186,$B$2:$B186,$B186,$L$2:$L186,"&lt;&gt;ET")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26</v>
      </c>
      <c r="L186" s="17" t="s">
        <v>170</v>
      </c>
      <c r="M186" s="2" t="s">
        <v>163</v>
      </c>
      <c r="N186" s="2" t="s">
        <v>165</v>
      </c>
      <c r="X186" s="2" t="s">
        <v>142</v>
      </c>
      <c r="Y186" s="17" t="s">
        <v>149</v>
      </c>
      <c r="Z186" s="14" t="s">
        <v>150</v>
      </c>
      <c r="AA186" s="14" t="s">
        <v>156</v>
      </c>
      <c r="AB186" s="18"/>
      <c r="AC186" s="13">
        <v>-8</v>
      </c>
      <c r="AD186" s="13">
        <v>3.5</v>
      </c>
      <c r="AE186" s="19">
        <f t="shared" si="8"/>
        <v>5.5754461704871652</v>
      </c>
      <c r="AF186" s="19">
        <f t="shared" si="9"/>
        <v>22.176236341492778</v>
      </c>
      <c r="AG186" s="2" t="s">
        <v>146</v>
      </c>
      <c r="AH186" s="13">
        <v>-3.5</v>
      </c>
      <c r="AI186" s="13">
        <v>0.5</v>
      </c>
      <c r="AJ186" s="19">
        <f>IF(Abschlüsse[[#This Row],[Ergeb]]="ET","",SQRT(($AC186-$AH186)^2+($AD186-$AI186)^2))</f>
        <v>5.4083269131959844</v>
      </c>
      <c r="AK186" s="3">
        <v>1</v>
      </c>
      <c r="AL186" s="13">
        <v>-6.5</v>
      </c>
      <c r="AM186" s="13">
        <v>4.5</v>
      </c>
      <c r="AN186" s="19">
        <f t="shared" si="10"/>
        <v>1.8027756377319946</v>
      </c>
      <c r="AO186" s="3">
        <v>0</v>
      </c>
      <c r="AR186" s="19" t="str">
        <f t="shared" si="11"/>
        <v/>
      </c>
    </row>
    <row r="187" spans="1:44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COUNTIFS($A$2:$A187,$A187,$B$2:$B187,$B187,$L$2:$L187,"&lt;&gt;ET")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26</v>
      </c>
      <c r="L187" s="17" t="s">
        <v>20</v>
      </c>
      <c r="M187" s="2" t="s">
        <v>163</v>
      </c>
      <c r="N187" s="2" t="s">
        <v>3</v>
      </c>
      <c r="X187" s="2" t="s">
        <v>151</v>
      </c>
      <c r="Y187" s="17" t="s">
        <v>143</v>
      </c>
      <c r="Z187" s="14" t="s">
        <v>150</v>
      </c>
      <c r="AA187" s="14" t="s">
        <v>156</v>
      </c>
      <c r="AB187" s="18"/>
      <c r="AC187" s="13">
        <v>7.5</v>
      </c>
      <c r="AD187" s="13">
        <v>10</v>
      </c>
      <c r="AE187" s="19">
        <f t="shared" si="8"/>
        <v>10.711937266433182</v>
      </c>
      <c r="AF187" s="19">
        <f t="shared" si="9"/>
        <v>27.131048187283202</v>
      </c>
      <c r="AG187" s="2" t="s">
        <v>146</v>
      </c>
      <c r="AH187" s="13">
        <v>2</v>
      </c>
      <c r="AI187" s="13">
        <v>0</v>
      </c>
      <c r="AJ187" s="19">
        <f>IF(Abschlüsse[[#This Row],[Ergeb]]="ET","",SQRT(($AC187-$AH187)^2+($AD187-$AI187)^2))</f>
        <v>11.412712210513327</v>
      </c>
      <c r="AK187" s="3">
        <v>0</v>
      </c>
      <c r="AL187" s="13"/>
      <c r="AM187" s="13"/>
      <c r="AN187" s="19" t="str">
        <f t="shared" si="10"/>
        <v/>
      </c>
      <c r="AO187" s="3">
        <v>3</v>
      </c>
      <c r="AP187" s="13">
        <v>6.5</v>
      </c>
      <c r="AQ187" s="13">
        <v>8</v>
      </c>
      <c r="AR187" s="19">
        <f t="shared" si="11"/>
        <v>2.2360679774997898</v>
      </c>
    </row>
    <row r="188" spans="1:44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COUNTIFS($A$2:$A188,$A188,$B$2:$B188,$B188,$L$2:$L188,"&lt;&gt;ET")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26</v>
      </c>
      <c r="L188" s="17" t="s">
        <v>20</v>
      </c>
      <c r="M188" s="2" t="s">
        <v>163</v>
      </c>
      <c r="N188" s="2" t="s">
        <v>165</v>
      </c>
      <c r="X188" s="2" t="s">
        <v>154</v>
      </c>
      <c r="Y188" s="17" t="s">
        <v>143</v>
      </c>
      <c r="Z188" s="14" t="s">
        <v>144</v>
      </c>
      <c r="AA188" s="14" t="s">
        <v>156</v>
      </c>
      <c r="AB188" s="18"/>
      <c r="AC188" s="13">
        <v>-1</v>
      </c>
      <c r="AD188" s="13">
        <v>9</v>
      </c>
      <c r="AE188" s="19">
        <f t="shared" si="8"/>
        <v>9</v>
      </c>
      <c r="AF188" s="19">
        <f t="shared" si="9"/>
        <v>43.839454439268671</v>
      </c>
      <c r="AG188" s="2" t="s">
        <v>146</v>
      </c>
      <c r="AH188" s="13">
        <v>0.5</v>
      </c>
      <c r="AI188" s="13">
        <v>0</v>
      </c>
      <c r="AJ188" s="19">
        <f>IF(Abschlüsse[[#This Row],[Ergeb]]="ET","",SQRT(($AC188-$AH188)^2+($AD188-$AI188)^2))</f>
        <v>9.1241437954473295</v>
      </c>
      <c r="AK188" s="3">
        <v>2</v>
      </c>
      <c r="AL188" s="13">
        <v>1</v>
      </c>
      <c r="AM188" s="13">
        <v>9</v>
      </c>
      <c r="AN188" s="19">
        <f t="shared" si="10"/>
        <v>2</v>
      </c>
      <c r="AO188" s="3">
        <v>2</v>
      </c>
      <c r="AP188" s="13">
        <v>1.5</v>
      </c>
      <c r="AQ188" s="13">
        <v>3</v>
      </c>
      <c r="AR188" s="19">
        <f t="shared" si="11"/>
        <v>6.5</v>
      </c>
    </row>
    <row r="189" spans="1:44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COUNTIFS($A$2:$A189,$A189,$B$2:$B189,$B189,$L$2:$L189,"&lt;&gt;ET")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27</v>
      </c>
      <c r="L189" s="18" t="s">
        <v>18</v>
      </c>
      <c r="M189" s="3" t="s">
        <v>147</v>
      </c>
      <c r="N189" s="2" t="s">
        <v>152</v>
      </c>
      <c r="O189" s="2">
        <v>4</v>
      </c>
      <c r="P189" s="2">
        <v>1</v>
      </c>
      <c r="Q189" s="2">
        <v>23</v>
      </c>
      <c r="R189" s="2">
        <v>6</v>
      </c>
      <c r="X189" s="22" t="s">
        <v>151</v>
      </c>
      <c r="Y189" s="18" t="s">
        <v>143</v>
      </c>
      <c r="Z189" s="14" t="s">
        <v>150</v>
      </c>
      <c r="AA189" s="14" t="s">
        <v>156</v>
      </c>
      <c r="AB189" s="18">
        <v>18</v>
      </c>
      <c r="AC189" s="13">
        <v>13</v>
      </c>
      <c r="AD189" s="13">
        <v>14</v>
      </c>
      <c r="AE189" s="19">
        <f>IF($L189="ET","",IF($AC189&gt;3.66,SQRT($AD189^2+($AC189-(7.32/2))^2),IF($AC189&lt;-3.66,SQRT($AD189^2+($AC189+(7.32/2))^2),$AD189)))</f>
        <v>16.829604867613497</v>
      </c>
      <c r="AF189" s="19">
        <f>IF($L189="ET","",IF(DEGREES(ATAN((7.32*$AD189)/($AD189^2+$AC189^2-(7.32/2)^2)))&lt;=0,180+DEGREES(ATAN((7.32*$AD189)/($AD189^2+$AC189^2-(7.32/2)^2))),DEGREES(ATAN((7.32*$AD189)/($AD189^2+$AC189^2-(7.32/2)^2)))))</f>
        <v>16.249498826123144</v>
      </c>
      <c r="AG189" s="3" t="s">
        <v>146</v>
      </c>
      <c r="AH189" s="13">
        <v>3.5</v>
      </c>
      <c r="AI189" s="13">
        <v>1.5</v>
      </c>
      <c r="AJ189" s="19">
        <f>IF(Abschlüsse[[#This Row],[Ergeb]]="ET","",SQRT(($AC189-$AH189)^2+($AD189-$AI189)^2))</f>
        <v>15.700318468107582</v>
      </c>
      <c r="AK189" s="3">
        <v>1</v>
      </c>
      <c r="AL189" s="13">
        <v>11.5</v>
      </c>
      <c r="AM189" s="13">
        <v>13</v>
      </c>
      <c r="AN189" s="19">
        <f>IF(AK189=0,"",SQRT(($AC189-$AL189)^2+($AD189-$AM189)^2))</f>
        <v>1.8027756377319946</v>
      </c>
      <c r="AO189" s="3">
        <v>0</v>
      </c>
      <c r="AR189" s="19" t="str">
        <f>IF(AO189=0,"",SQRT(($AC189-$AP189)^2+($AD189-$AQ189)^2))</f>
        <v/>
      </c>
    </row>
    <row r="190" spans="1:44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COUNTIFS($A$2:$A190,$A190,$B$2:$B190,$B190,$L$2:$L190,"&lt;&gt;ET")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28</v>
      </c>
      <c r="L190" s="17" t="s">
        <v>19</v>
      </c>
      <c r="M190" s="2" t="s">
        <v>163</v>
      </c>
      <c r="N190" s="2" t="s">
        <v>158</v>
      </c>
      <c r="X190" s="2" t="s">
        <v>151</v>
      </c>
      <c r="Y190" s="17" t="s">
        <v>149</v>
      </c>
      <c r="Z190" s="14" t="s">
        <v>150</v>
      </c>
      <c r="AA190" s="14" t="s">
        <v>145</v>
      </c>
      <c r="AB190" s="18"/>
      <c r="AC190" s="13">
        <v>7.5</v>
      </c>
      <c r="AD190" s="13">
        <v>20.5</v>
      </c>
      <c r="AE190" s="19">
        <f t="shared" si="8"/>
        <v>20.856548132421146</v>
      </c>
      <c r="AF190" s="19">
        <f t="shared" si="9"/>
        <v>17.953911363223014</v>
      </c>
      <c r="AG190" s="2" t="s">
        <v>146</v>
      </c>
      <c r="AH190" s="13">
        <v>1.5</v>
      </c>
      <c r="AI190" s="13">
        <v>0.5</v>
      </c>
      <c r="AJ190" s="19">
        <f>IF(Abschlüsse[[#This Row],[Ergeb]]="ET","",SQRT(($AC190-$AH190)^2+($AD190-$AI190)^2))</f>
        <v>20.880613017821101</v>
      </c>
      <c r="AK190" s="3">
        <v>2</v>
      </c>
      <c r="AL190" s="13">
        <v>6</v>
      </c>
      <c r="AM190" s="13">
        <v>19.5</v>
      </c>
      <c r="AN190" s="19">
        <f t="shared" si="10"/>
        <v>1.8027756377319946</v>
      </c>
      <c r="AO190" s="3">
        <v>1</v>
      </c>
      <c r="AP190" s="13">
        <v>6</v>
      </c>
      <c r="AQ190" s="13">
        <v>14</v>
      </c>
      <c r="AR190" s="19">
        <f t="shared" si="11"/>
        <v>6.6708320320631671</v>
      </c>
    </row>
    <row r="191" spans="1:44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COUNTIFS($A$2:$A191,$A191,$B$2:$B191,$B191,$L$2:$L191,"&lt;&gt;ET")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29</v>
      </c>
      <c r="L191" s="17" t="s">
        <v>18</v>
      </c>
      <c r="M191" s="2" t="s">
        <v>163</v>
      </c>
      <c r="N191" s="2" t="s">
        <v>172</v>
      </c>
      <c r="O191" s="2">
        <v>18</v>
      </c>
      <c r="P191" s="2">
        <v>4</v>
      </c>
      <c r="X191" s="2" t="s">
        <v>142</v>
      </c>
      <c r="Y191" s="17" t="s">
        <v>143</v>
      </c>
      <c r="Z191" s="14" t="s">
        <v>150</v>
      </c>
      <c r="AA191" s="14" t="s">
        <v>145</v>
      </c>
      <c r="AB191" s="18">
        <v>7</v>
      </c>
      <c r="AC191" s="13">
        <v>-1.5</v>
      </c>
      <c r="AD191" s="13">
        <v>3</v>
      </c>
      <c r="AE191" s="19">
        <f t="shared" si="8"/>
        <v>3</v>
      </c>
      <c r="AF191" s="19">
        <f t="shared" si="9"/>
        <v>95.580367224792411</v>
      </c>
      <c r="AG191" s="2" t="s">
        <v>169</v>
      </c>
      <c r="AH191" s="13">
        <v>2</v>
      </c>
      <c r="AI191" s="13">
        <v>0.5</v>
      </c>
      <c r="AJ191" s="19">
        <f>IF(Abschlüsse[[#This Row],[Ergeb]]="ET","",SQRT(($AC191-$AH191)^2+($AD191-$AI191)^2))</f>
        <v>4.3011626335213133</v>
      </c>
      <c r="AK191" s="3">
        <v>1</v>
      </c>
      <c r="AL191" s="13">
        <v>-1</v>
      </c>
      <c r="AM191" s="13">
        <v>3.5</v>
      </c>
      <c r="AN191" s="19">
        <f t="shared" si="10"/>
        <v>0.70710678118654757</v>
      </c>
      <c r="AO191" s="3">
        <v>0</v>
      </c>
      <c r="AR191" s="19" t="str">
        <f t="shared" si="11"/>
        <v/>
      </c>
    </row>
    <row r="192" spans="1:44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COUNTIFS($A$2:$A192,$A192,$B$2:$B192,$B192,$L$2:$L192,"&lt;&gt;ET")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29</v>
      </c>
      <c r="L192" s="18" t="s">
        <v>20</v>
      </c>
      <c r="M192" s="3" t="s">
        <v>163</v>
      </c>
      <c r="N192" s="2" t="s">
        <v>165</v>
      </c>
      <c r="X192" s="22" t="s">
        <v>142</v>
      </c>
      <c r="Y192" s="18" t="s">
        <v>149</v>
      </c>
      <c r="Z192" s="14" t="s">
        <v>150</v>
      </c>
      <c r="AA192" s="14" t="s">
        <v>156</v>
      </c>
      <c r="AB192" s="18">
        <v>10</v>
      </c>
      <c r="AC192" s="13">
        <v>-7</v>
      </c>
      <c r="AD192" s="13">
        <v>1.5</v>
      </c>
      <c r="AE192" s="19">
        <f>IF($L192="ET","",IF($AC192&gt;3.66,SQRT($AD192^2+($AC192-(7.32/2))^2),IF($AC192&lt;-3.66,SQRT($AD192^2+($AC192+(7.32/2))^2),$AD192)))</f>
        <v>3.6613658653568071</v>
      </c>
      <c r="AF192" s="19">
        <f>IF($L192="ET","",IF(DEGREES(ATAN((7.32*$AD192)/($AD192^2+$AC192^2-(7.32/2)^2)))&lt;=0,180+DEGREES(ATAN((7.32*$AD192)/($AD192^2+$AC192^2-(7.32/2)^2))),DEGREES(ATAN((7.32*$AD192)/($AD192^2+$AC192^2-(7.32/2)^2)))))</f>
        <v>16.175264039187649</v>
      </c>
      <c r="AG192" s="3" t="s">
        <v>146</v>
      </c>
      <c r="AH192" s="13">
        <v>-4.5</v>
      </c>
      <c r="AI192" s="13">
        <v>0.5</v>
      </c>
      <c r="AJ192" s="19">
        <f>IF(Abschlüsse[[#This Row],[Ergeb]]="ET","",SQRT(($AC192-$AH192)^2+($AD192-$AI192)^2))</f>
        <v>2.6925824035672519</v>
      </c>
      <c r="AK192" s="3">
        <v>1</v>
      </c>
      <c r="AL192" s="13">
        <v>-6</v>
      </c>
      <c r="AM192" s="13">
        <v>2</v>
      </c>
      <c r="AN192" s="19">
        <f>IF(AK192=0,"",SQRT(($AC192-$AL192)^2+($AD192-$AM192)^2))</f>
        <v>1.1180339887498949</v>
      </c>
      <c r="AO192" s="3">
        <v>1</v>
      </c>
      <c r="AP192" s="13">
        <v>-6</v>
      </c>
      <c r="AQ192" s="13">
        <v>1</v>
      </c>
      <c r="AR192" s="19">
        <f>IF(AO192=0,"",SQRT(($AC192-$AP192)^2+($AD192-$AQ192)^2))</f>
        <v>1.1180339887498949</v>
      </c>
    </row>
    <row r="193" spans="1:44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COUNTIFS($A$2:$A193,$A193,$B$2:$B193,$B193,$L$2:$L193,"&lt;&gt;ET")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29</v>
      </c>
      <c r="L193" s="17" t="s">
        <v>0</v>
      </c>
      <c r="M193" s="2" t="s">
        <v>163</v>
      </c>
      <c r="N193" s="2" t="s">
        <v>165</v>
      </c>
      <c r="X193" s="2" t="s">
        <v>151</v>
      </c>
      <c r="Y193" s="17" t="s">
        <v>143</v>
      </c>
      <c r="Z193" s="14" t="s">
        <v>150</v>
      </c>
      <c r="AA193" s="14" t="s">
        <v>156</v>
      </c>
      <c r="AB193" s="18">
        <v>4</v>
      </c>
      <c r="AC193" s="13">
        <v>-6.5</v>
      </c>
      <c r="AD193" s="13">
        <v>12.5</v>
      </c>
      <c r="AE193" s="19">
        <f t="shared" si="8"/>
        <v>12.818564662238904</v>
      </c>
      <c r="AF193" s="19">
        <f t="shared" si="9"/>
        <v>26.303907349002905</v>
      </c>
      <c r="AG193" s="2" t="s">
        <v>146</v>
      </c>
      <c r="AH193" s="13">
        <v>-2.5</v>
      </c>
      <c r="AI193" s="13">
        <v>1</v>
      </c>
      <c r="AJ193" s="19">
        <f>IF(Abschlüsse[[#This Row],[Ergeb]]="ET","",SQRT(($AC193-$AH193)^2+($AD193-$AI193)^2))</f>
        <v>12.175795661885921</v>
      </c>
      <c r="AK193" s="3">
        <v>1</v>
      </c>
      <c r="AL193" s="13">
        <v>-6</v>
      </c>
      <c r="AM193" s="13">
        <v>14</v>
      </c>
      <c r="AN193" s="19">
        <f t="shared" si="10"/>
        <v>1.5811388300841898</v>
      </c>
      <c r="AO193" s="3">
        <v>3</v>
      </c>
      <c r="AP193" s="13">
        <v>-5.5</v>
      </c>
      <c r="AQ193" s="13">
        <v>8.5</v>
      </c>
      <c r="AR193" s="19">
        <f t="shared" si="11"/>
        <v>4.1231056256176606</v>
      </c>
    </row>
    <row r="194" spans="1:44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COUNTIFS($A$2:$A194,$A194,$B$2:$B194,$B194,$L$2:$L194,"&lt;&gt;ET")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30</v>
      </c>
      <c r="L194" s="17" t="s">
        <v>18</v>
      </c>
      <c r="M194" s="2" t="s">
        <v>163</v>
      </c>
      <c r="N194" s="2" t="s">
        <v>3</v>
      </c>
      <c r="X194" s="2" t="s">
        <v>141</v>
      </c>
      <c r="Y194" s="17" t="s">
        <v>143</v>
      </c>
      <c r="Z194" s="14" t="s">
        <v>150</v>
      </c>
      <c r="AA194" s="14" t="s">
        <v>156</v>
      </c>
      <c r="AB194" s="18"/>
      <c r="AC194" s="13">
        <v>-0.5</v>
      </c>
      <c r="AD194" s="13">
        <v>15</v>
      </c>
      <c r="AE194" s="19">
        <f t="shared" si="8"/>
        <v>15</v>
      </c>
      <c r="AF194" s="19">
        <f t="shared" si="9"/>
        <v>27.396825673048827</v>
      </c>
      <c r="AG194" s="2" t="s">
        <v>146</v>
      </c>
      <c r="AH194" s="13">
        <v>0.5</v>
      </c>
      <c r="AI194" s="13">
        <v>1</v>
      </c>
      <c r="AJ194" s="19">
        <f>IF(Abschlüsse[[#This Row],[Ergeb]]="ET","",SQRT(($AC194-$AH194)^2+($AD194-$AI194)^2))</f>
        <v>14.035668847618199</v>
      </c>
      <c r="AK194" s="3">
        <v>3</v>
      </c>
      <c r="AL194" s="13">
        <v>-0.5</v>
      </c>
      <c r="AM194" s="13">
        <v>15.5</v>
      </c>
      <c r="AN194" s="19">
        <f t="shared" si="10"/>
        <v>0.5</v>
      </c>
      <c r="AO194" s="3">
        <v>0</v>
      </c>
      <c r="AR194" s="19" t="str">
        <f t="shared" si="11"/>
        <v/>
      </c>
    </row>
    <row r="195" spans="1:44" ht="25.05" customHeight="1">
      <c r="A195" s="3">
        <v>13</v>
      </c>
      <c r="B195" s="2" t="s">
        <v>76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FCN</v>
      </c>
      <c r="E195" s="18">
        <f>COUNTIFS($A$2:$A195,$A195,$B$2:$B195,$B195,$L$2:$L195,"&lt;&gt;ET")</f>
        <v>1</v>
      </c>
      <c r="F195" s="11">
        <v>7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20</v>
      </c>
      <c r="M195" s="2" t="s">
        <v>163</v>
      </c>
      <c r="N195" s="2" t="s">
        <v>158</v>
      </c>
      <c r="X195" s="2" t="s">
        <v>142</v>
      </c>
      <c r="Y195" s="17" t="s">
        <v>149</v>
      </c>
      <c r="Z195" s="14" t="s">
        <v>150</v>
      </c>
      <c r="AA195" s="14" t="s">
        <v>156</v>
      </c>
      <c r="AB195" s="18"/>
      <c r="AC195" s="13">
        <v>-2</v>
      </c>
      <c r="AD195" s="13">
        <v>17.5</v>
      </c>
      <c r="AE195" s="19">
        <f t="shared" ref="AE195:AE223" si="12">IF($L195="ET","",IF($AC195&gt;3.66,SQRT($AD195^2+($AC195-(7.32/2))^2),IF($AC195&lt;-3.66,SQRT($AD195^2+($AC195+(7.32/2))^2),$AD195)))</f>
        <v>17.5</v>
      </c>
      <c r="AF195" s="19">
        <f t="shared" ref="AF195:AF223" si="13">IF($L195="ET","",IF(DEGREES(ATAN((7.32*$AD195)/($AD195^2+$AC195^2-(7.32/2)^2)))&lt;=0,180+DEGREES(ATAN((7.32*$AD195)/($AD195^2+$AC195^2-(7.32/2)^2))),DEGREES(ATAN((7.32*$AD195)/($AD195^2+$AC195^2-(7.32/2)^2)))))</f>
        <v>23.341389828691302</v>
      </c>
      <c r="AG195" s="2" t="s">
        <v>146</v>
      </c>
      <c r="AH195" s="13">
        <v>-0.5</v>
      </c>
      <c r="AI195" s="13">
        <v>0.5</v>
      </c>
      <c r="AJ195" s="19">
        <f>IF(Abschlüsse[[#This Row],[Ergeb]]="ET","",SQRT(($AC195-$AH195)^2+($AD195-$AI195)^2))</f>
        <v>17.066048165876012</v>
      </c>
      <c r="AK195" s="3">
        <v>1</v>
      </c>
      <c r="AL195" s="13">
        <v>-2.5</v>
      </c>
      <c r="AM195" s="13">
        <v>17</v>
      </c>
      <c r="AN195" s="19">
        <f t="shared" ref="AN195:AN223" si="14">IF(AK195=0,"",SQRT(($AC195-$AL195)^2+($AD195-$AM195)^2))</f>
        <v>0.70710678118654757</v>
      </c>
      <c r="AO195" s="3">
        <v>2</v>
      </c>
      <c r="AP195" s="13">
        <v>-2</v>
      </c>
      <c r="AQ195" s="13">
        <v>14</v>
      </c>
      <c r="AR195" s="19">
        <f t="shared" ref="AR195:AR223" si="15">IF(AO195=0,"",SQRT(($AC195-$AP195)^2+($AD195-$AQ195)^2))</f>
        <v>3.5</v>
      </c>
    </row>
    <row r="196" spans="1:44" ht="25.05" customHeight="1">
      <c r="A196" s="3">
        <v>13</v>
      </c>
      <c r="B196" s="2" t="s">
        <v>76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FCN</v>
      </c>
      <c r="E196" s="18">
        <f>COUNTIFS($A$2:$A196,$A196,$B$2:$B196,$B196,$L$2:$L196,"&lt;&gt;ET")</f>
        <v>2</v>
      </c>
      <c r="F196" s="11">
        <v>7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19</v>
      </c>
      <c r="M196" s="2" t="s">
        <v>163</v>
      </c>
      <c r="N196" s="2" t="s">
        <v>165</v>
      </c>
      <c r="X196" s="2" t="s">
        <v>154</v>
      </c>
      <c r="Y196" s="17" t="s">
        <v>143</v>
      </c>
      <c r="Z196" s="14" t="s">
        <v>161</v>
      </c>
      <c r="AA196" s="14" t="s">
        <v>162</v>
      </c>
      <c r="AB196" s="18"/>
      <c r="AC196" s="13">
        <v>-12</v>
      </c>
      <c r="AD196" s="13">
        <v>15.5</v>
      </c>
      <c r="AE196" s="19">
        <f t="shared" si="12"/>
        <v>17.601295406872758</v>
      </c>
      <c r="AF196" s="19">
        <f t="shared" si="13"/>
        <v>17.011080950867086</v>
      </c>
      <c r="AG196" s="2" t="s">
        <v>146</v>
      </c>
      <c r="AH196" s="13">
        <v>-2</v>
      </c>
      <c r="AI196" s="13">
        <v>1</v>
      </c>
      <c r="AJ196" s="19">
        <f>IF(Abschlüsse[[#This Row],[Ergeb]]="ET","",SQRT(($AC196-$AH196)^2+($AD196-$AI196)^2))</f>
        <v>17.613914953808536</v>
      </c>
      <c r="AK196" s="3">
        <v>0</v>
      </c>
      <c r="AL196" s="13"/>
      <c r="AM196" s="13"/>
      <c r="AN196" s="19" t="str">
        <f t="shared" si="14"/>
        <v/>
      </c>
      <c r="AO196" s="3">
        <v>2</v>
      </c>
      <c r="AP196" s="13">
        <v>-10.5</v>
      </c>
      <c r="AQ196" s="13">
        <v>13.5</v>
      </c>
      <c r="AR196" s="19">
        <f t="shared" si="15"/>
        <v>2.5</v>
      </c>
    </row>
    <row r="197" spans="1:44" ht="25.05" customHeight="1">
      <c r="A197" s="3">
        <v>13</v>
      </c>
      <c r="B197" s="2" t="s">
        <v>8</v>
      </c>
      <c r="C197" s="17" t="str">
        <f>IF($A197="","",IF(VLOOKUP($A197,Spiele!$A$2:$D$15,3,FALSE)=$B197,"H","G"))</f>
        <v>H</v>
      </c>
      <c r="D197" s="17" t="str">
        <f>IF($B197="","",IF(VLOOKUP($A197,Spiele!$A$2:$F$15,3,FALSE)=$B197,VLOOKUP($A197,Spiele!$A$2:$F$15,4,FALSE),VLOOKUP($A197,Spiele!$A$2:$F$15,3,FALSE)))</f>
        <v>60M</v>
      </c>
      <c r="E197" s="18">
        <f>COUNTIFS($A$2:$A197,$A197,$B$2:$B197,$B197,$L$2:$L197,"&lt;&gt;ET")</f>
        <v>1</v>
      </c>
      <c r="F197" s="11">
        <v>8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/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2</v>
      </c>
      <c r="L197" s="17" t="s">
        <v>19</v>
      </c>
      <c r="M197" s="2" t="s">
        <v>163</v>
      </c>
      <c r="N197" s="2" t="s">
        <v>164</v>
      </c>
      <c r="O197" s="2">
        <v>8</v>
      </c>
      <c r="X197" s="2" t="s">
        <v>151</v>
      </c>
      <c r="Y197" s="17" t="s">
        <v>143</v>
      </c>
      <c r="Z197" s="14" t="s">
        <v>150</v>
      </c>
      <c r="AA197" s="14" t="s">
        <v>156</v>
      </c>
      <c r="AB197" s="18">
        <v>9</v>
      </c>
      <c r="AC197" s="13">
        <v>-3.5</v>
      </c>
      <c r="AD197" s="13">
        <v>11.5</v>
      </c>
      <c r="AE197" s="19">
        <f t="shared" si="12"/>
        <v>11.5</v>
      </c>
      <c r="AF197" s="19">
        <f t="shared" si="13"/>
        <v>32.703859314557576</v>
      </c>
      <c r="AG197" s="2" t="s">
        <v>146</v>
      </c>
      <c r="AH197" s="13">
        <v>-1.5</v>
      </c>
      <c r="AI197" s="13">
        <v>3.5</v>
      </c>
      <c r="AJ197" s="19">
        <f>IF(Abschlüsse[[#This Row],[Ergeb]]="ET","",SQRT(($AC197-$AH197)^2+($AD197-$AI197)^2))</f>
        <v>8.2462112512353212</v>
      </c>
      <c r="AK197" s="3">
        <v>0</v>
      </c>
      <c r="AL197" s="13"/>
      <c r="AM197" s="13"/>
      <c r="AN197" s="19" t="str">
        <f t="shared" si="14"/>
        <v/>
      </c>
      <c r="AO197" s="3">
        <v>1</v>
      </c>
      <c r="AP197" s="13">
        <v>-3.5</v>
      </c>
      <c r="AQ197" s="13">
        <v>9.5</v>
      </c>
      <c r="AR197" s="19">
        <f t="shared" si="15"/>
        <v>2</v>
      </c>
    </row>
    <row r="198" spans="1:44" ht="25.05" customHeight="1">
      <c r="A198" s="3">
        <v>13</v>
      </c>
      <c r="B198" s="2" t="s">
        <v>76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FCN</v>
      </c>
      <c r="E198" s="18">
        <f>COUNTIFS($A$2:$A198,$A198,$B$2:$B198,$B198,$L$2:$L198,"&lt;&gt;ET")</f>
        <v>3</v>
      </c>
      <c r="F198" s="11">
        <v>9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0</v>
      </c>
      <c r="K198" s="3">
        <v>3</v>
      </c>
      <c r="L198" s="17" t="s">
        <v>18</v>
      </c>
      <c r="M198" s="2" t="s">
        <v>147</v>
      </c>
      <c r="N198" s="2" t="s">
        <v>158</v>
      </c>
      <c r="X198" s="2" t="s">
        <v>154</v>
      </c>
      <c r="Y198" s="17" t="s">
        <v>143</v>
      </c>
      <c r="Z198" s="14" t="s">
        <v>144</v>
      </c>
      <c r="AA198" s="14" t="s">
        <v>156</v>
      </c>
      <c r="AB198" s="18"/>
      <c r="AC198" s="13">
        <v>-0.5</v>
      </c>
      <c r="AD198" s="13">
        <v>15.5</v>
      </c>
      <c r="AE198" s="19">
        <f t="shared" si="12"/>
        <v>15.5</v>
      </c>
      <c r="AF198" s="19">
        <f t="shared" si="13"/>
        <v>26.546439371443093</v>
      </c>
      <c r="AG198" s="2" t="s">
        <v>146</v>
      </c>
      <c r="AH198" s="13">
        <v>0.5</v>
      </c>
      <c r="AI198" s="13">
        <v>0.5</v>
      </c>
      <c r="AJ198" s="19">
        <f>IF(Abschlüsse[[#This Row],[Ergeb]]="ET","",SQRT(($AC198-$AH198)^2+($AD198-$AI198)^2))</f>
        <v>15.033296378372908</v>
      </c>
      <c r="AK198" s="3">
        <v>0</v>
      </c>
      <c r="AL198" s="13"/>
      <c r="AM198" s="13"/>
      <c r="AN198" s="19" t="str">
        <f t="shared" si="14"/>
        <v/>
      </c>
      <c r="AO198" s="3">
        <v>2</v>
      </c>
      <c r="AP198" s="13">
        <v>-1</v>
      </c>
      <c r="AQ198" s="13">
        <v>9.5</v>
      </c>
      <c r="AR198" s="19">
        <f t="shared" si="15"/>
        <v>6.0207972893961479</v>
      </c>
    </row>
    <row r="199" spans="1:44" ht="25.05" customHeight="1">
      <c r="A199" s="3">
        <v>13</v>
      </c>
      <c r="B199" s="2" t="s">
        <v>8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60M</v>
      </c>
      <c r="E199" s="18">
        <f>COUNTIFS($A$2:$A199,$A199,$B$2:$B199,$B199,$L$2:$L199,"&lt;&gt;ET")</f>
        <v>2</v>
      </c>
      <c r="F199" s="11">
        <v>10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0</v>
      </c>
      <c r="K199" s="3">
        <v>4</v>
      </c>
      <c r="L199" s="17" t="s">
        <v>19</v>
      </c>
      <c r="M199" s="2" t="s">
        <v>163</v>
      </c>
      <c r="N199" s="2" t="s">
        <v>152</v>
      </c>
      <c r="O199" s="2">
        <v>9</v>
      </c>
      <c r="P199" s="2">
        <v>6</v>
      </c>
      <c r="Q199" s="2">
        <v>7</v>
      </c>
      <c r="R199" s="2">
        <v>23</v>
      </c>
      <c r="X199" s="2" t="s">
        <v>151</v>
      </c>
      <c r="Y199" s="17" t="s">
        <v>143</v>
      </c>
      <c r="Z199" s="14" t="s">
        <v>150</v>
      </c>
      <c r="AA199" s="14" t="s">
        <v>145</v>
      </c>
      <c r="AB199" s="18">
        <v>7</v>
      </c>
      <c r="AC199" s="13">
        <v>15</v>
      </c>
      <c r="AD199" s="13">
        <v>7.5</v>
      </c>
      <c r="AE199" s="19">
        <f t="shared" si="12"/>
        <v>13.595793467098565</v>
      </c>
      <c r="AF199" s="19">
        <f t="shared" si="13"/>
        <v>11.583042211219654</v>
      </c>
      <c r="AG199" s="2" t="s">
        <v>146</v>
      </c>
      <c r="AH199" s="13">
        <v>4</v>
      </c>
      <c r="AI199" s="13">
        <v>1.5</v>
      </c>
      <c r="AJ199" s="19">
        <f>IF(Abschlüsse[[#This Row],[Ergeb]]="ET","",SQRT(($AC199-$AH199)^2+($AD199-$AI199)^2))</f>
        <v>12.529964086141668</v>
      </c>
      <c r="AK199" s="3">
        <v>1</v>
      </c>
      <c r="AL199" s="13">
        <v>13.5</v>
      </c>
      <c r="AM199" s="13">
        <v>8.5</v>
      </c>
      <c r="AN199" s="19">
        <f t="shared" si="14"/>
        <v>1.8027756377319946</v>
      </c>
      <c r="AO199" s="3">
        <v>0</v>
      </c>
      <c r="AR199" s="19" t="str">
        <f t="shared" si="15"/>
        <v/>
      </c>
    </row>
    <row r="200" spans="1:44" ht="25.05" customHeight="1">
      <c r="A200" s="3">
        <v>13</v>
      </c>
      <c r="B200" s="2" t="s">
        <v>76</v>
      </c>
      <c r="C200" s="17" t="str">
        <f>IF($A200="","",IF(VLOOKUP($A200,Spiele!$A$2:$D$15,3,FALSE)=$B200,"H","G"))</f>
        <v>G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COUNTIFS($A$2:$A200,$A200,$B$2:$B200,$B200,$L$2:$L200,"&lt;&gt;ET")</f>
        <v>4</v>
      </c>
      <c r="F200" s="11">
        <v>14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0</v>
      </c>
      <c r="K200" s="3">
        <v>5</v>
      </c>
      <c r="L200" s="17" t="s">
        <v>20</v>
      </c>
      <c r="M200" s="2" t="s">
        <v>147</v>
      </c>
      <c r="N200" s="2" t="s">
        <v>153</v>
      </c>
      <c r="X200" s="2" t="s">
        <v>154</v>
      </c>
      <c r="Y200" s="17" t="s">
        <v>160</v>
      </c>
      <c r="Z200" s="14" t="s">
        <v>161</v>
      </c>
      <c r="AA200" s="14" t="s">
        <v>156</v>
      </c>
      <c r="AB200" s="18"/>
      <c r="AC200" s="13">
        <v>7.5</v>
      </c>
      <c r="AD200" s="13">
        <v>13</v>
      </c>
      <c r="AE200" s="19">
        <f t="shared" si="12"/>
        <v>13.555279414309393</v>
      </c>
      <c r="AF200" s="19">
        <f t="shared" si="13"/>
        <v>24.188491715950388</v>
      </c>
      <c r="AG200" s="2" t="s">
        <v>146</v>
      </c>
      <c r="AH200" s="13">
        <v>1</v>
      </c>
      <c r="AI200" s="13">
        <v>0.5</v>
      </c>
      <c r="AJ200" s="19">
        <f>IF(Abschlüsse[[#This Row],[Ergeb]]="ET","",SQRT(($AC200-$AH200)^2+($AD200-$AI200)^2))</f>
        <v>14.089002803605371</v>
      </c>
      <c r="AK200" s="3">
        <v>0</v>
      </c>
      <c r="AL200" s="13"/>
      <c r="AM200" s="13"/>
      <c r="AN200" s="19" t="str">
        <f t="shared" si="14"/>
        <v/>
      </c>
      <c r="AO200" s="3">
        <v>2</v>
      </c>
      <c r="AP200" s="13">
        <v>7</v>
      </c>
      <c r="AQ200" s="13">
        <v>12</v>
      </c>
      <c r="AR200" s="19">
        <f t="shared" si="15"/>
        <v>1.1180339887498949</v>
      </c>
    </row>
    <row r="201" spans="1:44" ht="25.05" customHeight="1">
      <c r="A201" s="3">
        <v>13</v>
      </c>
      <c r="B201" s="2" t="s">
        <v>76</v>
      </c>
      <c r="C201" s="17" t="str">
        <f>IF($A201="","",IF(VLOOKUP($A201,Spiele!$A$2:$D$15,3,FALSE)=$B201,"H","G"))</f>
        <v>G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COUNTIFS($A$2:$A201,$A201,$B$2:$B201,$B201,$L$2:$L201,"&lt;&gt;ET")</f>
        <v>5</v>
      </c>
      <c r="F201" s="11">
        <v>18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/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0</v>
      </c>
      <c r="K201" s="3">
        <v>6</v>
      </c>
      <c r="L201" s="17" t="s">
        <v>20</v>
      </c>
      <c r="M201" s="2" t="s">
        <v>163</v>
      </c>
      <c r="N201" s="2" t="s">
        <v>3</v>
      </c>
      <c r="X201" s="2" t="s">
        <v>141</v>
      </c>
      <c r="Y201" s="17" t="s">
        <v>149</v>
      </c>
      <c r="Z201" s="14" t="s">
        <v>150</v>
      </c>
      <c r="AA201" s="14" t="s">
        <v>145</v>
      </c>
      <c r="AB201" s="18"/>
      <c r="AC201" s="13">
        <v>1</v>
      </c>
      <c r="AD201" s="13">
        <v>19</v>
      </c>
      <c r="AE201" s="19">
        <f t="shared" si="12"/>
        <v>19</v>
      </c>
      <c r="AF201" s="19">
        <f t="shared" si="13"/>
        <v>21.750134253188115</v>
      </c>
      <c r="AG201" s="2" t="s">
        <v>146</v>
      </c>
      <c r="AH201" s="13">
        <v>0</v>
      </c>
      <c r="AI201" s="13">
        <v>0.5</v>
      </c>
      <c r="AJ201" s="19">
        <f>IF(Abschlüsse[[#This Row],[Ergeb]]="ET","",SQRT(($AC201-$AH201)^2+($AD201-$AI201)^2))</f>
        <v>18.527007313648905</v>
      </c>
      <c r="AK201" s="3">
        <v>1</v>
      </c>
      <c r="AL201" s="13">
        <v>-1.5</v>
      </c>
      <c r="AM201" s="13">
        <v>18</v>
      </c>
      <c r="AN201" s="19">
        <f t="shared" si="14"/>
        <v>2.6925824035672519</v>
      </c>
      <c r="AO201" s="3">
        <v>2</v>
      </c>
      <c r="AP201" s="13">
        <v>1</v>
      </c>
      <c r="AQ201" s="13">
        <v>14</v>
      </c>
      <c r="AR201" s="19">
        <f t="shared" si="15"/>
        <v>5</v>
      </c>
    </row>
    <row r="202" spans="1:44" ht="25.05" customHeight="1">
      <c r="A202" s="3">
        <v>13</v>
      </c>
      <c r="B202" s="2" t="s">
        <v>76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FCN</v>
      </c>
      <c r="E202" s="18">
        <f>COUNTIFS($A$2:$A202,$A202,$B$2:$B202,$B202,$L$2:$L202,"&lt;&gt;ET")</f>
        <v>6</v>
      </c>
      <c r="F202" s="11">
        <v>18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20</v>
      </c>
      <c r="M202" s="2" t="s">
        <v>163</v>
      </c>
      <c r="N202" s="2" t="s">
        <v>3</v>
      </c>
      <c r="X202" s="2" t="s">
        <v>142</v>
      </c>
      <c r="Y202" s="17" t="s">
        <v>149</v>
      </c>
      <c r="Z202" s="14" t="s">
        <v>150</v>
      </c>
      <c r="AA202" s="14" t="s">
        <v>145</v>
      </c>
      <c r="AB202" s="18"/>
      <c r="AC202" s="13">
        <v>6.5</v>
      </c>
      <c r="AD202" s="13">
        <v>14.5</v>
      </c>
      <c r="AE202" s="19">
        <f t="shared" si="12"/>
        <v>14.775506759498978</v>
      </c>
      <c r="AF202" s="19">
        <f t="shared" si="13"/>
        <v>23.936746455580142</v>
      </c>
      <c r="AG202" s="2" t="s">
        <v>146</v>
      </c>
      <c r="AH202" s="13">
        <v>0.5</v>
      </c>
      <c r="AI202" s="13">
        <v>0.5</v>
      </c>
      <c r="AJ202" s="19">
        <f>IF(Abschlüsse[[#This Row],[Ergeb]]="ET","",SQRT(($AC202-$AH202)^2+($AD202-$AI202)^2))</f>
        <v>15.231546211727817</v>
      </c>
      <c r="AK202" s="3">
        <v>2</v>
      </c>
      <c r="AL202" s="13">
        <v>3</v>
      </c>
      <c r="AM202" s="13">
        <v>14.5</v>
      </c>
      <c r="AN202" s="19">
        <f t="shared" si="14"/>
        <v>3.5</v>
      </c>
      <c r="AO202" s="3">
        <v>2</v>
      </c>
      <c r="AP202" s="13">
        <v>6</v>
      </c>
      <c r="AQ202" s="13">
        <v>13.5</v>
      </c>
      <c r="AR202" s="19">
        <f t="shared" si="15"/>
        <v>1.1180339887498949</v>
      </c>
    </row>
    <row r="203" spans="1:44" ht="25.05" customHeight="1">
      <c r="A203" s="3">
        <v>13</v>
      </c>
      <c r="B203" s="2" t="s">
        <v>8</v>
      </c>
      <c r="C203" s="17" t="str">
        <f>IF($A203="","",IF(VLOOKUP($A203,Spiele!$A$2:$D$15,3,FALSE)=$B203,"H","G"))</f>
        <v>H</v>
      </c>
      <c r="D203" s="17" t="str">
        <f>IF($B203="","",IF(VLOOKUP($A203,Spiele!$A$2:$F$15,3,FALSE)=$B203,VLOOKUP($A203,Spiele!$A$2:$F$15,4,FALSE),VLOOKUP($A203,Spiele!$A$2:$F$15,3,FALSE)))</f>
        <v>60M</v>
      </c>
      <c r="E203" s="18">
        <f>COUNTIFS($A$2:$A203,$A203,$B$2:$B203,$B203,$L$2:$L203,"&lt;&gt;ET")</f>
        <v>3</v>
      </c>
      <c r="F203" s="11">
        <v>18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158</v>
      </c>
      <c r="O203" s="2">
        <v>7</v>
      </c>
      <c r="X203" s="2" t="s">
        <v>151</v>
      </c>
      <c r="Y203" s="17" t="s">
        <v>149</v>
      </c>
      <c r="Z203" s="14" t="s">
        <v>150</v>
      </c>
      <c r="AA203" s="14" t="s">
        <v>145</v>
      </c>
      <c r="AB203" s="18">
        <v>8</v>
      </c>
      <c r="AC203" s="13">
        <v>4.5</v>
      </c>
      <c r="AD203" s="13">
        <v>14.5</v>
      </c>
      <c r="AE203" s="19">
        <f t="shared" si="12"/>
        <v>14.524310654898565</v>
      </c>
      <c r="AF203" s="19">
        <f t="shared" si="13"/>
        <v>26.053510457112758</v>
      </c>
      <c r="AG203" s="2" t="s">
        <v>146</v>
      </c>
      <c r="AH203" s="13">
        <v>1.5</v>
      </c>
      <c r="AI203" s="13">
        <v>3.5</v>
      </c>
      <c r="AJ203" s="19">
        <f>IF(Abschlüsse[[#This Row],[Ergeb]]="ET","",SQRT(($AC203-$AH203)^2+($AD203-$AI203)^2))</f>
        <v>11.401754250991379</v>
      </c>
      <c r="AK203" s="3">
        <v>1</v>
      </c>
      <c r="AL203" s="13">
        <v>7</v>
      </c>
      <c r="AM203" s="13">
        <v>11.5</v>
      </c>
      <c r="AN203" s="19">
        <f t="shared" si="14"/>
        <v>3.905124837953327</v>
      </c>
      <c r="AO203" s="3">
        <v>2</v>
      </c>
      <c r="AP203" s="13">
        <v>4</v>
      </c>
      <c r="AQ203" s="13">
        <v>10.5</v>
      </c>
      <c r="AR203" s="19">
        <f t="shared" si="15"/>
        <v>4.0311288741492746</v>
      </c>
    </row>
    <row r="204" spans="1:44" ht="25.05" customHeight="1">
      <c r="A204" s="3">
        <v>13</v>
      </c>
      <c r="B204" s="2" t="s">
        <v>8</v>
      </c>
      <c r="C204" s="17" t="str">
        <f>IF($A204="","",IF(VLOOKUP($A204,Spiele!$A$2:$D$15,3,FALSE)=$B204,"H","G"))</f>
        <v>H</v>
      </c>
      <c r="D204" s="17" t="str">
        <f>IF($B204="","",IF(VLOOKUP($A204,Spiele!$A$2:$F$15,3,FALSE)=$B204,VLOOKUP($A204,Spiele!$A$2:$F$15,4,FALSE),VLOOKUP($A204,Spiele!$A$2:$F$15,3,FALSE)))</f>
        <v>60M</v>
      </c>
      <c r="E204" s="18">
        <f>COUNTIFS($A$2:$A204,$A204,$B$2:$B204,$B204,$L$2:$L204,"&lt;&gt;ET")</f>
        <v>4</v>
      </c>
      <c r="F204" s="11">
        <v>22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7" t="s">
        <v>19</v>
      </c>
      <c r="M204" s="2" t="s">
        <v>168</v>
      </c>
      <c r="N204" s="2" t="s">
        <v>3</v>
      </c>
      <c r="X204" s="2" t="s">
        <v>141</v>
      </c>
      <c r="Y204" s="17" t="s">
        <v>143</v>
      </c>
      <c r="Z204" s="14" t="s">
        <v>144</v>
      </c>
      <c r="AA204" s="14" t="s">
        <v>145</v>
      </c>
      <c r="AB204" s="18">
        <v>6</v>
      </c>
      <c r="AC204" s="13">
        <v>-6.5</v>
      </c>
      <c r="AD204" s="13">
        <v>16.5</v>
      </c>
      <c r="AE204" s="19">
        <f t="shared" si="12"/>
        <v>16.742628228566744</v>
      </c>
      <c r="AF204" s="19">
        <f t="shared" si="13"/>
        <v>21.856872591143812</v>
      </c>
      <c r="AG204" s="2" t="s">
        <v>146</v>
      </c>
      <c r="AH204" s="13">
        <v>-1.5</v>
      </c>
      <c r="AI204" s="13">
        <v>2</v>
      </c>
      <c r="AJ204" s="19">
        <f>IF(Abschlüsse[[#This Row],[Ergeb]]="ET","",SQRT(($AC204-$AH204)^2+($AD204-$AI204)^2))</f>
        <v>15.337861650177967</v>
      </c>
      <c r="AK204" s="3">
        <v>1</v>
      </c>
      <c r="AL204" s="13">
        <v>-3</v>
      </c>
      <c r="AM204" s="13">
        <v>14</v>
      </c>
      <c r="AN204" s="19">
        <f t="shared" si="14"/>
        <v>4.3011626335213133</v>
      </c>
      <c r="AO204" s="3">
        <v>2</v>
      </c>
      <c r="AP204" s="13">
        <v>-2</v>
      </c>
      <c r="AQ204" s="13">
        <v>6</v>
      </c>
      <c r="AR204" s="19">
        <f t="shared" si="15"/>
        <v>11.423659658795863</v>
      </c>
    </row>
    <row r="205" spans="1:44" ht="25.05" customHeight="1">
      <c r="A205" s="3">
        <v>13</v>
      </c>
      <c r="B205" s="2" t="s">
        <v>8</v>
      </c>
      <c r="C205" s="17" t="str">
        <f>IF($A205="","",IF(VLOOKUP($A205,Spiele!$A$2:$D$15,3,FALSE)=$B205,"H","G"))</f>
        <v>H</v>
      </c>
      <c r="D205" s="17" t="str">
        <f>IF($B205="","",IF(VLOOKUP($A205,Spiele!$A$2:$F$15,3,FALSE)=$B205,VLOOKUP($A205,Spiele!$A$2:$F$15,4,FALSE),VLOOKUP($A205,Spiele!$A$2:$F$15,3,FALSE)))</f>
        <v>60M</v>
      </c>
      <c r="E205" s="18">
        <f>COUNTIFS($A$2:$A205,$A205,$B$2:$B205,$B205,$L$2:$L205,"&lt;&gt;ET")</f>
        <v>5</v>
      </c>
      <c r="F205" s="11">
        <v>25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/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20</v>
      </c>
      <c r="M205" s="2" t="s">
        <v>157</v>
      </c>
      <c r="N205" s="2" t="s">
        <v>3</v>
      </c>
      <c r="X205" s="2" t="s">
        <v>151</v>
      </c>
      <c r="Y205" s="17" t="s">
        <v>149</v>
      </c>
      <c r="Z205" s="14" t="s">
        <v>150</v>
      </c>
      <c r="AA205" s="14" t="s">
        <v>156</v>
      </c>
      <c r="AB205" s="18">
        <v>20</v>
      </c>
      <c r="AC205" s="13">
        <v>-13.5</v>
      </c>
      <c r="AD205" s="13">
        <v>21.5</v>
      </c>
      <c r="AE205" s="19">
        <f t="shared" si="12"/>
        <v>23.644779550674606</v>
      </c>
      <c r="AF205" s="19">
        <f t="shared" si="13"/>
        <v>14.002393253988416</v>
      </c>
      <c r="AG205" s="2" t="s">
        <v>146</v>
      </c>
      <c r="AH205" s="13">
        <v>-0.5</v>
      </c>
      <c r="AI205" s="13">
        <v>3</v>
      </c>
      <c r="AJ205" s="19">
        <f>IF(Abschlüsse[[#This Row],[Ergeb]]="ET","",SQRT(($AC205-$AH205)^2+($AD205-$AI205)^2))</f>
        <v>22.610838109190027</v>
      </c>
      <c r="AK205" s="3">
        <v>0</v>
      </c>
      <c r="AL205" s="13"/>
      <c r="AM205" s="13"/>
      <c r="AN205" s="19" t="str">
        <f t="shared" si="14"/>
        <v/>
      </c>
      <c r="AO205" s="3">
        <v>2</v>
      </c>
      <c r="AP205" s="13">
        <v>-12</v>
      </c>
      <c r="AQ205" s="13">
        <v>20.5</v>
      </c>
      <c r="AR205" s="19">
        <f t="shared" si="15"/>
        <v>1.8027756377319946</v>
      </c>
    </row>
    <row r="206" spans="1:44" ht="25.05" customHeight="1">
      <c r="A206" s="3">
        <v>13</v>
      </c>
      <c r="B206" s="2" t="s">
        <v>76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FCN</v>
      </c>
      <c r="E206" s="18">
        <f>COUNTIFS($A$2:$A206,$A206,$B$2:$B206,$B206,$L$2:$L206,"&lt;&gt;ET")</f>
        <v>7</v>
      </c>
      <c r="F206" s="11">
        <v>28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0</v>
      </c>
      <c r="K206" s="3">
        <v>10</v>
      </c>
      <c r="L206" s="17" t="s">
        <v>18</v>
      </c>
      <c r="M206" s="2" t="s">
        <v>163</v>
      </c>
      <c r="N206" s="2" t="s">
        <v>158</v>
      </c>
      <c r="X206" s="2" t="s">
        <v>151</v>
      </c>
      <c r="Y206" s="17" t="s">
        <v>143</v>
      </c>
      <c r="Z206" s="14" t="s">
        <v>150</v>
      </c>
      <c r="AA206" s="14" t="s">
        <v>145</v>
      </c>
      <c r="AB206" s="18"/>
      <c r="AC206" s="13">
        <v>0</v>
      </c>
      <c r="AD206" s="13">
        <v>25.5</v>
      </c>
      <c r="AE206" s="19">
        <f t="shared" si="12"/>
        <v>25.5</v>
      </c>
      <c r="AF206" s="19">
        <f t="shared" si="13"/>
        <v>16.335693207949546</v>
      </c>
      <c r="AG206" s="2" t="s">
        <v>146</v>
      </c>
      <c r="AH206" s="13">
        <v>0</v>
      </c>
      <c r="AI206" s="13">
        <v>0.5</v>
      </c>
      <c r="AJ206" s="19">
        <f>IF(Abschlüsse[[#This Row],[Ergeb]]="ET","",SQRT(($AC206-$AH206)^2+($AD206-$AI206)^2))</f>
        <v>25</v>
      </c>
      <c r="AK206" s="3">
        <v>1</v>
      </c>
      <c r="AL206" s="13">
        <v>-2</v>
      </c>
      <c r="AM206" s="13">
        <v>28</v>
      </c>
      <c r="AN206" s="19">
        <f t="shared" si="14"/>
        <v>3.2015621187164243</v>
      </c>
      <c r="AO206" s="3">
        <v>1</v>
      </c>
      <c r="AP206" s="13">
        <v>0</v>
      </c>
      <c r="AQ206" s="13">
        <v>17</v>
      </c>
      <c r="AR206" s="19">
        <f t="shared" si="15"/>
        <v>8.5</v>
      </c>
    </row>
    <row r="207" spans="1:44" ht="25.05" customHeight="1">
      <c r="A207" s="3">
        <v>13</v>
      </c>
      <c r="B207" s="2" t="s">
        <v>8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60M</v>
      </c>
      <c r="E207" s="18">
        <f>COUNTIFS($A$2:$A207,$A207,$B$2:$B207,$B207,$L$2:$L207,"&lt;&gt;ET")</f>
        <v>6</v>
      </c>
      <c r="F207" s="11">
        <v>33</v>
      </c>
      <c r="G207" s="12">
        <v>1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0</v>
      </c>
      <c r="K207" s="3">
        <v>11</v>
      </c>
      <c r="L207" s="17" t="s">
        <v>19</v>
      </c>
      <c r="M207" s="2" t="s">
        <v>163</v>
      </c>
      <c r="N207" s="2" t="s">
        <v>164</v>
      </c>
      <c r="O207" s="2">
        <v>8</v>
      </c>
      <c r="P207" s="2">
        <v>16</v>
      </c>
      <c r="Q207" s="2">
        <v>26</v>
      </c>
      <c r="X207" s="2" t="s">
        <v>151</v>
      </c>
      <c r="Y207" s="17" t="s">
        <v>149</v>
      </c>
      <c r="Z207" s="14" t="s">
        <v>150</v>
      </c>
      <c r="AA207" s="14" t="s">
        <v>145</v>
      </c>
      <c r="AB207" s="18">
        <v>7</v>
      </c>
      <c r="AC207" s="13">
        <v>5.5</v>
      </c>
      <c r="AD207" s="13">
        <v>17.5</v>
      </c>
      <c r="AE207" s="19">
        <f t="shared" si="12"/>
        <v>17.59646555419582</v>
      </c>
      <c r="AF207" s="19">
        <f t="shared" si="13"/>
        <v>21.626656434445117</v>
      </c>
      <c r="AG207" s="2" t="s">
        <v>146</v>
      </c>
      <c r="AH207" s="13">
        <v>1</v>
      </c>
      <c r="AI207" s="13">
        <v>3</v>
      </c>
      <c r="AJ207" s="19">
        <f>IF(Abschlüsse[[#This Row],[Ergeb]]="ET","",SQRT(($AC207-$AH207)^2+($AD207-$AI207)^2))</f>
        <v>15.182226450688976</v>
      </c>
      <c r="AK207" s="3">
        <v>2</v>
      </c>
      <c r="AL207" s="13">
        <v>6.5</v>
      </c>
      <c r="AM207" s="13">
        <v>18.5</v>
      </c>
      <c r="AN207" s="19">
        <f t="shared" si="14"/>
        <v>1.4142135623730951</v>
      </c>
      <c r="AO207" s="3">
        <v>0</v>
      </c>
      <c r="AR207" s="19" t="str">
        <f t="shared" si="15"/>
        <v/>
      </c>
    </row>
    <row r="208" spans="1:44" ht="25.05" customHeight="1">
      <c r="A208" s="3">
        <v>13</v>
      </c>
      <c r="B208" s="2" t="s">
        <v>76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FCN</v>
      </c>
      <c r="E208" s="18">
        <f>COUNTIFS($A$2:$A208,$A208,$B$2:$B208,$B208,$L$2:$L208,"&lt;&gt;ET")</f>
        <v>8</v>
      </c>
      <c r="F208" s="11">
        <v>35</v>
      </c>
      <c r="G208" s="12">
        <v>1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/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0</v>
      </c>
      <c r="K208" s="3">
        <v>12</v>
      </c>
      <c r="L208" s="17" t="s">
        <v>19</v>
      </c>
      <c r="M208" s="2" t="s">
        <v>163</v>
      </c>
      <c r="N208" s="2" t="s">
        <v>153</v>
      </c>
      <c r="X208" s="2" t="s">
        <v>154</v>
      </c>
      <c r="Y208" s="17" t="s">
        <v>160</v>
      </c>
      <c r="Z208" s="14" t="s">
        <v>161</v>
      </c>
      <c r="AA208" s="14" t="s">
        <v>156</v>
      </c>
      <c r="AB208" s="18"/>
      <c r="AC208" s="13">
        <v>-1</v>
      </c>
      <c r="AD208" s="13">
        <v>9</v>
      </c>
      <c r="AE208" s="19">
        <f t="shared" si="12"/>
        <v>9</v>
      </c>
      <c r="AF208" s="19">
        <f t="shared" si="13"/>
        <v>43.839454439268671</v>
      </c>
      <c r="AG208" s="2" t="s">
        <v>146</v>
      </c>
      <c r="AH208" s="13">
        <v>-1</v>
      </c>
      <c r="AI208" s="13">
        <v>0.5</v>
      </c>
      <c r="AJ208" s="19">
        <f>IF(Abschlüsse[[#This Row],[Ergeb]]="ET","",SQRT(($AC208-$AH208)^2+($AD208-$AI208)^2))</f>
        <v>8.5</v>
      </c>
      <c r="AK208" s="3">
        <v>1</v>
      </c>
      <c r="AL208" s="13">
        <v>0</v>
      </c>
      <c r="AM208" s="13">
        <v>9</v>
      </c>
      <c r="AN208" s="19">
        <f t="shared" si="14"/>
        <v>1</v>
      </c>
      <c r="AO208" s="3">
        <v>0</v>
      </c>
      <c r="AR208" s="19" t="str">
        <f t="shared" si="15"/>
        <v/>
      </c>
    </row>
    <row r="209" spans="1:44" ht="25.05" customHeight="1">
      <c r="A209" s="3">
        <v>13</v>
      </c>
      <c r="B209" s="2" t="s">
        <v>76</v>
      </c>
      <c r="C209" s="17" t="str">
        <f>IF($A209="","",IF(VLOOKUP($A209,Spiele!$A$2:$D$15,3,FALSE)=$B209,"H","G"))</f>
        <v>G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COUNTIFS($A$2:$A209,$A209,$B$2:$B209,$B209,$L$2:$L209,"&lt;&gt;ET")</f>
        <v>9</v>
      </c>
      <c r="F209" s="11">
        <v>37</v>
      </c>
      <c r="G209" s="12">
        <v>1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0</v>
      </c>
      <c r="K209" s="3">
        <v>13</v>
      </c>
      <c r="L209" s="17" t="s">
        <v>19</v>
      </c>
      <c r="M209" s="2" t="s">
        <v>173</v>
      </c>
      <c r="N209" s="2" t="s">
        <v>173</v>
      </c>
      <c r="X209" s="2" t="s">
        <v>154</v>
      </c>
      <c r="Y209" s="17" t="s">
        <v>160</v>
      </c>
      <c r="Z209" s="14" t="s">
        <v>161</v>
      </c>
      <c r="AA209" s="14" t="s">
        <v>145</v>
      </c>
      <c r="AB209" s="18"/>
      <c r="AC209" s="13">
        <v>-6</v>
      </c>
      <c r="AD209" s="13">
        <v>1</v>
      </c>
      <c r="AE209" s="19">
        <f t="shared" si="12"/>
        <v>2.5447200238926087</v>
      </c>
      <c r="AF209" s="19">
        <f t="shared" si="13"/>
        <v>17.229273479884245</v>
      </c>
      <c r="AG209" s="2" t="s">
        <v>146</v>
      </c>
      <c r="AH209" s="13">
        <v>-4</v>
      </c>
      <c r="AI209" s="13">
        <v>0.5</v>
      </c>
      <c r="AJ209" s="19">
        <f>IF(Abschlüsse[[#This Row],[Ergeb]]="ET","",SQRT(($AC209-$AH209)^2+($AD209-$AI209)^2))</f>
        <v>2.0615528128088303</v>
      </c>
      <c r="AK209" s="3">
        <v>1</v>
      </c>
      <c r="AL209" s="13">
        <v>-5</v>
      </c>
      <c r="AM209" s="13">
        <v>1</v>
      </c>
      <c r="AN209" s="19">
        <f t="shared" si="14"/>
        <v>1</v>
      </c>
      <c r="AO209" s="3">
        <v>1</v>
      </c>
      <c r="AP209" s="13">
        <v>-3.5</v>
      </c>
      <c r="AQ209" s="13">
        <v>0.5</v>
      </c>
      <c r="AR209" s="19">
        <f t="shared" si="15"/>
        <v>2.5495097567963922</v>
      </c>
    </row>
    <row r="210" spans="1:44" ht="25.05" customHeight="1">
      <c r="A210" s="3">
        <v>13</v>
      </c>
      <c r="B210" s="2" t="s">
        <v>8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60M</v>
      </c>
      <c r="E210" s="18">
        <f>COUNTIFS($A$2:$A210,$A210,$B$2:$B210,$B210,$L$2:$L210,"&lt;&gt;ET")</f>
        <v>7</v>
      </c>
      <c r="F210" s="11">
        <v>40</v>
      </c>
      <c r="G210" s="12">
        <v>1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0</v>
      </c>
      <c r="K210" s="3">
        <v>14</v>
      </c>
      <c r="L210" s="17" t="s">
        <v>18</v>
      </c>
      <c r="M210" s="2" t="s">
        <v>163</v>
      </c>
      <c r="N210" s="2" t="s">
        <v>153</v>
      </c>
      <c r="O210" s="2">
        <v>7</v>
      </c>
      <c r="X210" s="2" t="s">
        <v>154</v>
      </c>
      <c r="Y210" s="17" t="s">
        <v>160</v>
      </c>
      <c r="Z210" s="14" t="s">
        <v>161</v>
      </c>
      <c r="AA210" s="14" t="s">
        <v>156</v>
      </c>
      <c r="AB210" s="18">
        <v>9</v>
      </c>
      <c r="AC210" s="13">
        <v>-2</v>
      </c>
      <c r="AD210" s="13">
        <v>9</v>
      </c>
      <c r="AE210" s="19">
        <f t="shared" si="12"/>
        <v>9</v>
      </c>
      <c r="AF210" s="19">
        <f t="shared" si="13"/>
        <v>42.615768593997174</v>
      </c>
      <c r="AG210" s="2" t="s">
        <v>146</v>
      </c>
      <c r="AH210" s="13">
        <v>-2</v>
      </c>
      <c r="AI210" s="13">
        <v>2.5</v>
      </c>
      <c r="AJ210" s="19">
        <f>IF(Abschlüsse[[#This Row],[Ergeb]]="ET","",SQRT(($AC210-$AH210)^2+($AD210-$AI210)^2))</f>
        <v>6.5</v>
      </c>
      <c r="AK210" s="3">
        <v>2</v>
      </c>
      <c r="AL210" s="13">
        <v>-0.5</v>
      </c>
      <c r="AM210" s="13">
        <v>9</v>
      </c>
      <c r="AN210" s="19">
        <f t="shared" si="14"/>
        <v>1.5</v>
      </c>
      <c r="AO210" s="3">
        <v>0</v>
      </c>
      <c r="AR210" s="19" t="str">
        <f t="shared" si="15"/>
        <v/>
      </c>
    </row>
    <row r="211" spans="1:44" ht="25.05" customHeight="1">
      <c r="A211" s="3">
        <v>13</v>
      </c>
      <c r="B211" s="2" t="s">
        <v>8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60M</v>
      </c>
      <c r="E211" s="18">
        <f>COUNTIFS($A$2:$A211,$A211,$B$2:$B211,$B211,$L$2:$L211,"&lt;&gt;ET")</f>
        <v>8</v>
      </c>
      <c r="F211" s="11">
        <v>40</v>
      </c>
      <c r="G211" s="12">
        <v>1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>1:0</v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0</v>
      </c>
      <c r="K211" s="3">
        <v>14</v>
      </c>
      <c r="L211" s="17" t="s">
        <v>0</v>
      </c>
      <c r="M211" s="2" t="s">
        <v>163</v>
      </c>
      <c r="N211" s="2" t="s">
        <v>3</v>
      </c>
      <c r="X211" s="2" t="s">
        <v>154</v>
      </c>
      <c r="Y211" s="17" t="s">
        <v>160</v>
      </c>
      <c r="Z211" s="14" t="s">
        <v>161</v>
      </c>
      <c r="AA211" s="14" t="s">
        <v>145</v>
      </c>
      <c r="AB211" s="18">
        <v>7</v>
      </c>
      <c r="AC211" s="13">
        <v>-6.5</v>
      </c>
      <c r="AD211" s="13">
        <v>5</v>
      </c>
      <c r="AE211" s="19">
        <f t="shared" si="12"/>
        <v>5.7502695588989567</v>
      </c>
      <c r="AF211" s="19">
        <f t="shared" si="13"/>
        <v>34.200427604672875</v>
      </c>
      <c r="AG211" s="2" t="s">
        <v>169</v>
      </c>
      <c r="AH211" s="13">
        <v>0.5</v>
      </c>
      <c r="AI211" s="13">
        <v>2</v>
      </c>
      <c r="AJ211" s="19">
        <f>IF(Abschlüsse[[#This Row],[Ergeb]]="ET","",SQRT(($AC211-$AH211)^2+($AD211-$AI211)^2))</f>
        <v>7.6157731058639087</v>
      </c>
      <c r="AK211" s="3">
        <v>1</v>
      </c>
      <c r="AL211" s="13">
        <v>-4</v>
      </c>
      <c r="AM211" s="13">
        <v>5.5</v>
      </c>
      <c r="AN211" s="19">
        <f t="shared" si="14"/>
        <v>2.5495097567963922</v>
      </c>
      <c r="AO211" s="3">
        <v>0</v>
      </c>
      <c r="AR211" s="19" t="str">
        <f t="shared" si="15"/>
        <v/>
      </c>
    </row>
    <row r="212" spans="1:44" ht="25.05" customHeight="1">
      <c r="A212" s="3">
        <v>13</v>
      </c>
      <c r="B212" s="2" t="s">
        <v>76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FCN</v>
      </c>
      <c r="E212" s="18">
        <f>COUNTIFS($A$2:$A212,$A212,$B$2:$B212,$B212,$L$2:$L212,"&lt;&gt;ET")</f>
        <v>10</v>
      </c>
      <c r="F212" s="11">
        <v>44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-1</v>
      </c>
      <c r="K212" s="3">
        <v>15</v>
      </c>
      <c r="L212" s="17" t="s">
        <v>19</v>
      </c>
      <c r="M212" s="2" t="s">
        <v>174</v>
      </c>
      <c r="X212" s="2" t="s">
        <v>142</v>
      </c>
      <c r="Y212" s="17" t="s">
        <v>143</v>
      </c>
      <c r="Z212" s="14" t="s">
        <v>150</v>
      </c>
      <c r="AA212" s="14" t="s">
        <v>156</v>
      </c>
      <c r="AB212" s="18"/>
      <c r="AC212" s="13">
        <v>-3</v>
      </c>
      <c r="AD212" s="13">
        <v>34</v>
      </c>
      <c r="AE212" s="19">
        <f t="shared" si="12"/>
        <v>34</v>
      </c>
      <c r="AF212" s="19">
        <f t="shared" si="13"/>
        <v>12.194976603981754</v>
      </c>
      <c r="AG212" s="2" t="s">
        <v>146</v>
      </c>
      <c r="AH212" s="13">
        <v>0.5</v>
      </c>
      <c r="AI212" s="13">
        <v>0.5</v>
      </c>
      <c r="AJ212" s="19">
        <f>IF(Abschlüsse[[#This Row],[Ergeb]]="ET","",SQRT(($AC212-$AH212)^2+($AD212-$AI212)^2))</f>
        <v>33.68233958619858</v>
      </c>
      <c r="AK212" s="3">
        <v>0</v>
      </c>
      <c r="AL212" s="13"/>
      <c r="AM212" s="13"/>
      <c r="AN212" s="19" t="str">
        <f t="shared" si="14"/>
        <v/>
      </c>
      <c r="AO212" s="3">
        <v>3</v>
      </c>
      <c r="AP212" s="13">
        <v>-3.5</v>
      </c>
      <c r="AQ212" s="13">
        <v>27</v>
      </c>
      <c r="AR212" s="19">
        <f t="shared" si="15"/>
        <v>7.0178344238090995</v>
      </c>
    </row>
    <row r="213" spans="1:44" ht="25.05" customHeight="1">
      <c r="A213" s="3">
        <v>13</v>
      </c>
      <c r="B213" s="2" t="s">
        <v>8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60M</v>
      </c>
      <c r="E213" s="18">
        <f>COUNTIFS($A$2:$A213,$A213,$B$2:$B213,$B213,$L$2:$L213,"&lt;&gt;ET")</f>
        <v>9</v>
      </c>
      <c r="F213" s="11">
        <v>51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1</v>
      </c>
      <c r="K213" s="3">
        <v>16</v>
      </c>
      <c r="L213" s="18" t="s">
        <v>18</v>
      </c>
      <c r="M213" s="3" t="s">
        <v>163</v>
      </c>
      <c r="N213" s="2" t="s">
        <v>164</v>
      </c>
      <c r="O213" s="2">
        <v>8</v>
      </c>
      <c r="P213" s="2">
        <v>26</v>
      </c>
      <c r="Q213" s="2">
        <v>6</v>
      </c>
      <c r="X213" s="22" t="s">
        <v>151</v>
      </c>
      <c r="Y213" s="18" t="s">
        <v>143</v>
      </c>
      <c r="Z213" s="14" t="s">
        <v>150</v>
      </c>
      <c r="AA213" s="14" t="s">
        <v>145</v>
      </c>
      <c r="AB213" s="18">
        <v>10</v>
      </c>
      <c r="AC213" s="13">
        <v>-10.5</v>
      </c>
      <c r="AD213" s="13">
        <v>13</v>
      </c>
      <c r="AE213" s="19">
        <f t="shared" si="12"/>
        <v>14.689642609675703</v>
      </c>
      <c r="AF213" s="19">
        <f t="shared" si="13"/>
        <v>19.694334659050181</v>
      </c>
      <c r="AG213" s="3" t="s">
        <v>146</v>
      </c>
      <c r="AH213" s="13">
        <v>-3.5</v>
      </c>
      <c r="AI213" s="13">
        <v>2.5</v>
      </c>
      <c r="AJ213" s="19">
        <f>IF(Abschlüsse[[#This Row],[Ergeb]]="ET","",SQRT(($AC213-$AH213)^2+($AD213-$AI213)^2))</f>
        <v>12.619429464123963</v>
      </c>
      <c r="AK213" s="3">
        <v>2</v>
      </c>
      <c r="AL213" s="13">
        <v>-10</v>
      </c>
      <c r="AM213" s="13">
        <v>13.5</v>
      </c>
      <c r="AN213" s="19">
        <f t="shared" si="14"/>
        <v>0.70710678118654757</v>
      </c>
      <c r="AO213" s="3">
        <v>1</v>
      </c>
      <c r="AP213" s="13">
        <v>-3</v>
      </c>
      <c r="AQ213" s="13">
        <v>7.5</v>
      </c>
      <c r="AR213" s="19">
        <f t="shared" si="15"/>
        <v>9.3005376188691375</v>
      </c>
    </row>
    <row r="214" spans="1:44" ht="25.05" customHeight="1">
      <c r="A214" s="3">
        <v>13</v>
      </c>
      <c r="B214" s="2" t="s">
        <v>76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FCN</v>
      </c>
      <c r="E214" s="18">
        <f>COUNTIFS($A$2:$A214,$A214,$B$2:$B214,$B214,$L$2:$L214,"&lt;&gt;ET")</f>
        <v>11</v>
      </c>
      <c r="F214" s="11">
        <v>57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-1</v>
      </c>
      <c r="K214" s="3">
        <v>17</v>
      </c>
      <c r="L214" s="17" t="s">
        <v>19</v>
      </c>
      <c r="M214" s="2" t="s">
        <v>163</v>
      </c>
      <c r="N214" s="2" t="s">
        <v>152</v>
      </c>
      <c r="X214" s="2" t="s">
        <v>142</v>
      </c>
      <c r="Y214" s="17" t="s">
        <v>143</v>
      </c>
      <c r="Z214" s="14" t="s">
        <v>150</v>
      </c>
      <c r="AA214" s="14" t="s">
        <v>145</v>
      </c>
      <c r="AB214" s="18"/>
      <c r="AC214" s="13">
        <v>12</v>
      </c>
      <c r="AD214" s="13">
        <v>7.5</v>
      </c>
      <c r="AE214" s="19">
        <f t="shared" si="12"/>
        <v>11.216309553502882</v>
      </c>
      <c r="AF214" s="19">
        <f t="shared" si="13"/>
        <v>16.373402664953399</v>
      </c>
      <c r="AG214" s="2" t="s">
        <v>146</v>
      </c>
      <c r="AH214" s="13">
        <v>3.5</v>
      </c>
      <c r="AI214" s="13">
        <v>0.5</v>
      </c>
      <c r="AJ214" s="19">
        <f>IF(Abschlüsse[[#This Row],[Ergeb]]="ET","",SQRT(($AC214-$AH214)^2+($AD214-$AI214)^2))</f>
        <v>11.01135777277262</v>
      </c>
      <c r="AK214" s="3">
        <v>1</v>
      </c>
      <c r="AL214" s="13">
        <v>9</v>
      </c>
      <c r="AM214" s="13">
        <v>8.5</v>
      </c>
      <c r="AN214" s="19">
        <f t="shared" si="14"/>
        <v>3.1622776601683795</v>
      </c>
      <c r="AO214" s="3">
        <v>0</v>
      </c>
      <c r="AR214" s="19" t="str">
        <f t="shared" si="15"/>
        <v/>
      </c>
    </row>
    <row r="215" spans="1:44" ht="25.05" customHeight="1">
      <c r="A215" s="3">
        <v>13</v>
      </c>
      <c r="B215" s="2" t="s">
        <v>8</v>
      </c>
      <c r="C215" s="17" t="str">
        <f>IF($A215="","",IF(VLOOKUP($A215,Spiele!$A$2:$D$15,3,FALSE)=$B215,"H","G"))</f>
        <v>H</v>
      </c>
      <c r="D215" s="17" t="str">
        <f>IF($B215="","",IF(VLOOKUP($A215,Spiele!$A$2:$F$15,3,FALSE)=$B215,VLOOKUP($A215,Spiele!$A$2:$F$15,4,FALSE),VLOOKUP($A215,Spiele!$A$2:$F$15,3,FALSE)))</f>
        <v>60M</v>
      </c>
      <c r="E215" s="18">
        <f>COUNTIFS($A$2:$A215,$A215,$B$2:$B215,$B215,$L$2:$L215,"&lt;&gt;ET")</f>
        <v>10</v>
      </c>
      <c r="F215" s="11">
        <v>59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1</v>
      </c>
      <c r="K215" s="3">
        <v>18</v>
      </c>
      <c r="L215" s="17" t="s">
        <v>18</v>
      </c>
      <c r="M215" s="2" t="s">
        <v>147</v>
      </c>
      <c r="N215" s="2" t="s">
        <v>158</v>
      </c>
      <c r="O215" s="2">
        <v>4</v>
      </c>
      <c r="P215" s="2">
        <v>23</v>
      </c>
      <c r="Q215" s="2">
        <v>6</v>
      </c>
      <c r="R215" s="2">
        <v>8</v>
      </c>
      <c r="S215" s="2">
        <v>20</v>
      </c>
      <c r="X215" s="2" t="s">
        <v>151</v>
      </c>
      <c r="Y215" s="17" t="s">
        <v>143</v>
      </c>
      <c r="Z215" s="14" t="s">
        <v>150</v>
      </c>
      <c r="AA215" s="14" t="s">
        <v>156</v>
      </c>
      <c r="AB215" s="18">
        <v>18</v>
      </c>
      <c r="AC215" s="13">
        <v>-14</v>
      </c>
      <c r="AD215" s="13">
        <v>19.5</v>
      </c>
      <c r="AE215" s="19">
        <f t="shared" si="12"/>
        <v>22.071828197954062</v>
      </c>
      <c r="AF215" s="19">
        <f t="shared" si="13"/>
        <v>14.230221882728383</v>
      </c>
      <c r="AG215" s="2" t="s">
        <v>146</v>
      </c>
      <c r="AH215" s="13">
        <v>-1.5</v>
      </c>
      <c r="AI215" s="13">
        <v>2.5</v>
      </c>
      <c r="AJ215" s="19">
        <f>IF(Abschlüsse[[#This Row],[Ergeb]]="ET","",SQRT(($AC215-$AH215)^2+($AD215-$AI215)^2))</f>
        <v>21.100947846009191</v>
      </c>
      <c r="AK215" s="3">
        <v>1</v>
      </c>
      <c r="AL215" s="13">
        <v>-14</v>
      </c>
      <c r="AM215" s="13">
        <v>18</v>
      </c>
      <c r="AN215" s="19">
        <f t="shared" si="14"/>
        <v>1.5</v>
      </c>
      <c r="AO215" s="3">
        <v>2</v>
      </c>
      <c r="AP215" s="13">
        <v>-11</v>
      </c>
      <c r="AQ215" s="13">
        <v>14.5</v>
      </c>
      <c r="AR215" s="19">
        <f t="shared" si="15"/>
        <v>5.8309518948453007</v>
      </c>
    </row>
    <row r="216" spans="1:44" ht="25.05" customHeight="1">
      <c r="A216" s="3">
        <v>13</v>
      </c>
      <c r="B216" s="2" t="s">
        <v>8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60M</v>
      </c>
      <c r="E216" s="18">
        <f>COUNTIFS($A$2:$A216,$A216,$B$2:$B216,$B216,$L$2:$L216,"&lt;&gt;ET")</f>
        <v>11</v>
      </c>
      <c r="F216" s="11">
        <v>60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1</v>
      </c>
      <c r="K216" s="3">
        <v>19</v>
      </c>
      <c r="L216" s="17" t="s">
        <v>18</v>
      </c>
      <c r="M216" s="2" t="s">
        <v>174</v>
      </c>
      <c r="X216" s="2" t="s">
        <v>142</v>
      </c>
      <c r="Y216" s="17" t="s">
        <v>143</v>
      </c>
      <c r="Z216" s="14" t="s">
        <v>150</v>
      </c>
      <c r="AA216" s="14" t="s">
        <v>145</v>
      </c>
      <c r="AB216" s="18">
        <v>8</v>
      </c>
      <c r="AC216" s="13">
        <v>14</v>
      </c>
      <c r="AD216" s="13">
        <v>23.5</v>
      </c>
      <c r="AE216" s="19">
        <f t="shared" si="12"/>
        <v>25.674220533445606</v>
      </c>
      <c r="AF216" s="19">
        <f t="shared" si="13"/>
        <v>13.174977970680043</v>
      </c>
      <c r="AG216" s="2" t="s">
        <v>146</v>
      </c>
      <c r="AH216" s="13">
        <v>0</v>
      </c>
      <c r="AI216" s="13">
        <v>2.5</v>
      </c>
      <c r="AJ216" s="19">
        <f>IF(Abschlüsse[[#This Row],[Ergeb]]="ET","",SQRT(($AC216-$AH216)^2+($AD216-$AI216)^2))</f>
        <v>25.238858928247925</v>
      </c>
      <c r="AK216" s="3">
        <v>0</v>
      </c>
      <c r="AL216" s="13"/>
      <c r="AM216" s="13"/>
      <c r="AN216" s="19" t="str">
        <f t="shared" si="14"/>
        <v/>
      </c>
      <c r="AO216" s="3">
        <v>3</v>
      </c>
      <c r="AP216" s="13">
        <v>9</v>
      </c>
      <c r="AQ216" s="13">
        <v>16</v>
      </c>
      <c r="AR216" s="19">
        <f t="shared" si="15"/>
        <v>9.013878188659973</v>
      </c>
    </row>
    <row r="217" spans="1:44" ht="25.05" customHeight="1">
      <c r="A217" s="3">
        <v>13</v>
      </c>
      <c r="B217" s="2" t="s">
        <v>76</v>
      </c>
      <c r="C217" s="17" t="str">
        <f>IF($A217="","",IF(VLOOKUP($A217,Spiele!$A$2:$D$15,3,FALSE)=$B217,"H","G"))</f>
        <v>G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COUNTIFS($A$2:$A217,$A217,$B$2:$B217,$B217,$L$2:$L217,"&lt;&gt;ET")</f>
        <v>12</v>
      </c>
      <c r="F217" s="11">
        <v>61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>1:1</v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-1</v>
      </c>
      <c r="K217" s="3">
        <v>20</v>
      </c>
      <c r="L217" s="17" t="s">
        <v>0</v>
      </c>
      <c r="M217" s="2" t="s">
        <v>163</v>
      </c>
      <c r="N217" s="2" t="s">
        <v>152</v>
      </c>
      <c r="X217" s="2" t="s">
        <v>151</v>
      </c>
      <c r="Y217" s="17" t="s">
        <v>149</v>
      </c>
      <c r="Z217" s="14" t="s">
        <v>150</v>
      </c>
      <c r="AA217" s="14" t="s">
        <v>156</v>
      </c>
      <c r="AB217" s="18"/>
      <c r="AC217" s="13">
        <v>-8.5</v>
      </c>
      <c r="AD217" s="13">
        <v>7</v>
      </c>
      <c r="AE217" s="19">
        <f t="shared" si="12"/>
        <v>8.5103231431009725</v>
      </c>
      <c r="AF217" s="19">
        <f t="shared" si="13"/>
        <v>25.411688271902904</v>
      </c>
      <c r="AG217" s="2" t="s">
        <v>146</v>
      </c>
      <c r="AH217" s="13">
        <v>-3</v>
      </c>
      <c r="AI217" s="13">
        <v>0.5</v>
      </c>
      <c r="AJ217" s="19">
        <f>IF(Abschlüsse[[#This Row],[Ergeb]]="ET","",SQRT(($AC217-$AH217)^2+($AD217-$AI217)^2))</f>
        <v>8.5146931829632013</v>
      </c>
      <c r="AK217" s="3">
        <v>1</v>
      </c>
      <c r="AL217" s="13">
        <v>-5</v>
      </c>
      <c r="AM217" s="13">
        <v>6.5</v>
      </c>
      <c r="AN217" s="19">
        <f t="shared" si="14"/>
        <v>3.5355339059327378</v>
      </c>
      <c r="AO217" s="3">
        <v>0</v>
      </c>
      <c r="AR217" s="19" t="str">
        <f t="shared" si="15"/>
        <v/>
      </c>
    </row>
    <row r="218" spans="1:44" ht="25.05" customHeight="1">
      <c r="A218" s="3">
        <v>13</v>
      </c>
      <c r="B218" s="2" t="s">
        <v>76</v>
      </c>
      <c r="C218" s="17" t="str">
        <f>IF($A218="","",IF(VLOOKUP($A218,Spiele!$A$2:$D$15,3,FALSE)=$B218,"H","G"))</f>
        <v>G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COUNTIFS($A$2:$A218,$A218,$B$2:$B218,$B218,$L$2:$L218,"&lt;&gt;ET")</f>
        <v>13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0</v>
      </c>
      <c r="K218" s="3">
        <v>21</v>
      </c>
      <c r="L218" s="17" t="s">
        <v>18</v>
      </c>
      <c r="M218" s="2" t="s">
        <v>163</v>
      </c>
      <c r="N218" s="2" t="s">
        <v>3</v>
      </c>
      <c r="X218" s="2" t="s">
        <v>141</v>
      </c>
      <c r="Y218" s="17" t="s">
        <v>143</v>
      </c>
      <c r="Z218" s="14" t="s">
        <v>150</v>
      </c>
      <c r="AA218" s="14" t="s">
        <v>156</v>
      </c>
      <c r="AB218" s="18"/>
      <c r="AC218" s="13">
        <v>4.5</v>
      </c>
      <c r="AD218" s="13">
        <v>11</v>
      </c>
      <c r="AE218" s="19">
        <f t="shared" si="12"/>
        <v>11.032026105842935</v>
      </c>
      <c r="AF218" s="19">
        <f t="shared" si="13"/>
        <v>32.201857009576806</v>
      </c>
      <c r="AG218" s="2" t="s">
        <v>146</v>
      </c>
      <c r="AH218" s="13">
        <v>1</v>
      </c>
      <c r="AI218" s="13">
        <v>0.5</v>
      </c>
      <c r="AJ218" s="19">
        <f>IF(Abschlüsse[[#This Row],[Ergeb]]="ET","",SQRT(($AC218-$AH218)^2+($AD218-$AI218)^2))</f>
        <v>11.067971810589327</v>
      </c>
      <c r="AK218" s="3">
        <v>1</v>
      </c>
      <c r="AL218" s="13">
        <v>4.5</v>
      </c>
      <c r="AM218" s="13">
        <v>9</v>
      </c>
      <c r="AN218" s="19">
        <f t="shared" si="14"/>
        <v>2</v>
      </c>
      <c r="AO218" s="3">
        <v>1</v>
      </c>
      <c r="AP218" s="13">
        <v>4</v>
      </c>
      <c r="AQ218" s="13">
        <v>5.5</v>
      </c>
      <c r="AR218" s="19">
        <f t="shared" si="15"/>
        <v>5.5226805085936306</v>
      </c>
    </row>
    <row r="219" spans="1:44" ht="25.05" customHeight="1">
      <c r="A219" s="3">
        <v>13</v>
      </c>
      <c r="B219" s="2" t="s">
        <v>8</v>
      </c>
      <c r="C219" s="17" t="str">
        <f>IF($A219="","",IF(VLOOKUP($A219,Spiele!$A$2:$D$15,3,FALSE)=$B219,"H","G"))</f>
        <v>H</v>
      </c>
      <c r="D219" s="17" t="str">
        <f>IF($B219="","",IF(VLOOKUP($A219,Spiele!$A$2:$F$15,3,FALSE)=$B219,VLOOKUP($A219,Spiele!$A$2:$F$15,4,FALSE),VLOOKUP($A219,Spiele!$A$2:$F$15,3,FALSE)))</f>
        <v>60M</v>
      </c>
      <c r="E219" s="18">
        <f>COUNTIFS($A$2:$A219,$A219,$B$2:$B219,$B219,$L$2:$L219,"&lt;&gt;ET")</f>
        <v>12</v>
      </c>
      <c r="F219" s="11">
        <v>68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0</v>
      </c>
      <c r="K219" s="3">
        <v>22</v>
      </c>
      <c r="L219" s="17" t="s">
        <v>20</v>
      </c>
      <c r="M219" s="2" t="s">
        <v>140</v>
      </c>
      <c r="N219" s="2" t="s">
        <v>153</v>
      </c>
      <c r="O219" s="2">
        <v>8</v>
      </c>
      <c r="P219" s="2">
        <v>5</v>
      </c>
      <c r="Q219" s="2">
        <v>6</v>
      </c>
      <c r="X219" s="2" t="s">
        <v>154</v>
      </c>
      <c r="Y219" s="17" t="s">
        <v>160</v>
      </c>
      <c r="Z219" s="14" t="s">
        <v>161</v>
      </c>
      <c r="AA219" s="14" t="s">
        <v>145</v>
      </c>
      <c r="AB219" s="18">
        <v>16</v>
      </c>
      <c r="AC219" s="13">
        <v>-5.5</v>
      </c>
      <c r="AD219" s="13">
        <v>4</v>
      </c>
      <c r="AE219" s="19">
        <f t="shared" si="12"/>
        <v>4.4029081298614443</v>
      </c>
      <c r="AF219" s="19">
        <f t="shared" si="13"/>
        <v>41.707579601485392</v>
      </c>
      <c r="AG219" s="2" t="s">
        <v>169</v>
      </c>
      <c r="AH219" s="13">
        <v>-4</v>
      </c>
      <c r="AI219" s="13">
        <v>3</v>
      </c>
      <c r="AJ219" s="19">
        <f>IF(Abschlüsse[[#This Row],[Ergeb]]="ET","",SQRT(($AC219-$AH219)^2+($AD219-$AI219)^2))</f>
        <v>1.8027756377319946</v>
      </c>
      <c r="AK219" s="3">
        <v>1</v>
      </c>
      <c r="AL219" s="13">
        <v>-5.5</v>
      </c>
      <c r="AM219" s="13">
        <v>3.5</v>
      </c>
      <c r="AN219" s="19">
        <f t="shared" si="14"/>
        <v>0.5</v>
      </c>
      <c r="AO219" s="3">
        <v>2</v>
      </c>
      <c r="AP219" s="13">
        <v>0.5</v>
      </c>
      <c r="AQ219" s="13">
        <v>1.5</v>
      </c>
      <c r="AR219" s="19">
        <f t="shared" si="15"/>
        <v>6.5</v>
      </c>
    </row>
    <row r="220" spans="1:44" ht="25.05" customHeight="1">
      <c r="A220" s="3">
        <v>13</v>
      </c>
      <c r="B220" s="2" t="s">
        <v>8</v>
      </c>
      <c r="C220" s="17" t="str">
        <f>IF($A220="","",IF(VLOOKUP($A220,Spiele!$A$2:$D$15,3,FALSE)=$B220,"H","G"))</f>
        <v>H</v>
      </c>
      <c r="D220" s="17" t="str">
        <f>IF($B220="","",IF(VLOOKUP($A220,Spiele!$A$2:$F$15,3,FALSE)=$B220,VLOOKUP($A220,Spiele!$A$2:$F$15,4,FALSE),VLOOKUP($A220,Spiele!$A$2:$F$15,3,FALSE)))</f>
        <v>60M</v>
      </c>
      <c r="E220" s="18">
        <f>COUNTIFS($A$2:$A220,$A220,$B$2:$B220,$B220,$L$2:$L220,"&lt;&gt;ET")</f>
        <v>13</v>
      </c>
      <c r="F220" s="11">
        <v>71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0</v>
      </c>
      <c r="K220" s="3">
        <v>23</v>
      </c>
      <c r="L220" s="17" t="s">
        <v>19</v>
      </c>
      <c r="M220" s="2" t="s">
        <v>147</v>
      </c>
      <c r="N220" s="2" t="s">
        <v>158</v>
      </c>
      <c r="O220" s="2">
        <v>7</v>
      </c>
      <c r="P220" s="2">
        <v>18</v>
      </c>
      <c r="Q220" s="2">
        <v>8</v>
      </c>
      <c r="R220" s="2">
        <v>23</v>
      </c>
      <c r="S220" s="2">
        <v>6</v>
      </c>
      <c r="T220" s="2">
        <v>5</v>
      </c>
      <c r="U220" s="2">
        <v>16</v>
      </c>
      <c r="V220" s="2">
        <v>20</v>
      </c>
      <c r="X220" s="2" t="s">
        <v>142</v>
      </c>
      <c r="Y220" s="17" t="s">
        <v>149</v>
      </c>
      <c r="Z220" s="14" t="s">
        <v>150</v>
      </c>
      <c r="AA220" s="14" t="s">
        <v>156</v>
      </c>
      <c r="AB220" s="18">
        <v>10</v>
      </c>
      <c r="AC220" s="13">
        <v>2.5</v>
      </c>
      <c r="AD220" s="13">
        <v>15</v>
      </c>
      <c r="AE220" s="19">
        <f t="shared" si="12"/>
        <v>15</v>
      </c>
      <c r="AF220" s="19">
        <f t="shared" si="13"/>
        <v>26.748394088035369</v>
      </c>
      <c r="AG220" s="2" t="s">
        <v>146</v>
      </c>
      <c r="AH220" s="13">
        <v>0</v>
      </c>
      <c r="AI220" s="13">
        <v>3.5</v>
      </c>
      <c r="AJ220" s="19">
        <f>IF(Abschlüsse[[#This Row],[Ergeb]]="ET","",SQRT(($AC220-$AH220)^2+($AD220-$AI220)^2))</f>
        <v>11.76860229593982</v>
      </c>
      <c r="AK220" s="3">
        <v>0</v>
      </c>
      <c r="AL220" s="13"/>
      <c r="AM220" s="13"/>
      <c r="AN220" s="19" t="str">
        <f t="shared" si="14"/>
        <v/>
      </c>
      <c r="AO220" s="3">
        <v>3</v>
      </c>
      <c r="AP220" s="13">
        <v>1.5</v>
      </c>
      <c r="AQ220" s="13">
        <v>11</v>
      </c>
      <c r="AR220" s="19">
        <f t="shared" si="15"/>
        <v>4.1231056256176606</v>
      </c>
    </row>
    <row r="221" spans="1:44" ht="25.05" customHeight="1">
      <c r="A221" s="3">
        <v>13</v>
      </c>
      <c r="B221" s="2" t="s">
        <v>8</v>
      </c>
      <c r="C221" s="17" t="str">
        <f>IF($A221="","",IF(VLOOKUP($A221,Spiele!$A$2:$D$15,3,FALSE)=$B221,"H","G"))</f>
        <v>H</v>
      </c>
      <c r="D221" s="17" t="str">
        <f>IF($B221="","",IF(VLOOKUP($A221,Spiele!$A$2:$F$15,3,FALSE)=$B221,VLOOKUP($A221,Spiele!$A$2:$F$15,4,FALSE),VLOOKUP($A221,Spiele!$A$2:$F$15,3,FALSE)))</f>
        <v>60M</v>
      </c>
      <c r="E221" s="18">
        <f>COUNTIFS($A$2:$A221,$A221,$B$2:$B221,$B221,$L$2:$L221,"&lt;&gt;ET")</f>
        <v>14</v>
      </c>
      <c r="F221" s="11">
        <v>73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0</v>
      </c>
      <c r="K221" s="3">
        <v>24</v>
      </c>
      <c r="L221" s="17" t="s">
        <v>19</v>
      </c>
      <c r="M221" s="2" t="s">
        <v>163</v>
      </c>
      <c r="N221" s="2" t="s">
        <v>164</v>
      </c>
      <c r="O221" s="2">
        <v>18</v>
      </c>
      <c r="P221" s="2">
        <v>5</v>
      </c>
      <c r="X221" s="2" t="s">
        <v>151</v>
      </c>
      <c r="Y221" s="17" t="s">
        <v>143</v>
      </c>
      <c r="Z221" s="14" t="s">
        <v>150</v>
      </c>
      <c r="AA221" s="14" t="s">
        <v>145</v>
      </c>
      <c r="AB221" s="18">
        <v>7</v>
      </c>
      <c r="AC221" s="13">
        <v>-13.5</v>
      </c>
      <c r="AD221" s="13">
        <v>16.5</v>
      </c>
      <c r="AE221" s="19">
        <f t="shared" si="12"/>
        <v>19.211340400919454</v>
      </c>
      <c r="AF221" s="19">
        <f t="shared" si="13"/>
        <v>15.312989252529659</v>
      </c>
      <c r="AG221" s="2" t="s">
        <v>146</v>
      </c>
      <c r="AH221" s="13">
        <v>-3.5</v>
      </c>
      <c r="AI221" s="13">
        <v>2</v>
      </c>
      <c r="AJ221" s="19">
        <f>IF(Abschlüsse[[#This Row],[Ergeb]]="ET","",SQRT(($AC221-$AH221)^2+($AD221-$AI221)^2))</f>
        <v>17.613914953808536</v>
      </c>
      <c r="AK221" s="3">
        <v>2</v>
      </c>
      <c r="AL221" s="13">
        <v>-12.5</v>
      </c>
      <c r="AM221" s="13">
        <v>17.5</v>
      </c>
      <c r="AN221" s="19">
        <f t="shared" si="14"/>
        <v>1.4142135623730951</v>
      </c>
      <c r="AO221" s="3">
        <v>0</v>
      </c>
      <c r="AR221" s="19" t="str">
        <f t="shared" si="15"/>
        <v/>
      </c>
    </row>
    <row r="222" spans="1:44" ht="25.05" customHeight="1">
      <c r="A222" s="3">
        <v>13</v>
      </c>
      <c r="B222" s="2" t="s">
        <v>8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60M</v>
      </c>
      <c r="E222" s="18">
        <f>COUNTIFS($A$2:$A222,$A222,$B$2:$B222,$B222,$L$2:$L222,"&lt;&gt;ET")</f>
        <v>15</v>
      </c>
      <c r="F222" s="11">
        <v>77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/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0</v>
      </c>
      <c r="K222" s="3">
        <v>25</v>
      </c>
      <c r="L222" s="17" t="s">
        <v>20</v>
      </c>
      <c r="M222" s="2" t="s">
        <v>163</v>
      </c>
      <c r="N222" s="2" t="s">
        <v>158</v>
      </c>
      <c r="O222" s="2">
        <v>10</v>
      </c>
      <c r="X222" s="2" t="s">
        <v>151</v>
      </c>
      <c r="Y222" s="17" t="s">
        <v>143</v>
      </c>
      <c r="Z222" s="14" t="s">
        <v>150</v>
      </c>
      <c r="AA222" s="14" t="s">
        <v>156</v>
      </c>
      <c r="AB222" s="18">
        <v>6</v>
      </c>
      <c r="AC222" s="13">
        <v>14.5</v>
      </c>
      <c r="AD222" s="13">
        <v>14</v>
      </c>
      <c r="AE222" s="19">
        <f t="shared" si="12"/>
        <v>17.7060893480181</v>
      </c>
      <c r="AF222" s="19">
        <f t="shared" si="13"/>
        <v>14.620361026676797</v>
      </c>
      <c r="AG222" s="2" t="s">
        <v>146</v>
      </c>
      <c r="AH222" s="13">
        <v>2.5</v>
      </c>
      <c r="AI222" s="13">
        <v>1.5</v>
      </c>
      <c r="AJ222" s="19">
        <f>IF(Abschlüsse[[#This Row],[Ergeb]]="ET","",SQRT(($AC222-$AH222)^2+($AD222-$AI222)^2))</f>
        <v>17.327723451163457</v>
      </c>
      <c r="AK222" s="3">
        <v>1</v>
      </c>
      <c r="AL222" s="13">
        <v>14</v>
      </c>
      <c r="AM222" s="13">
        <v>14</v>
      </c>
      <c r="AN222" s="19">
        <f t="shared" si="14"/>
        <v>0.5</v>
      </c>
      <c r="AO222" s="3">
        <v>2</v>
      </c>
      <c r="AP222" s="13">
        <v>8.5</v>
      </c>
      <c r="AQ222" s="13">
        <v>8</v>
      </c>
      <c r="AR222" s="19">
        <f t="shared" si="15"/>
        <v>8.4852813742385695</v>
      </c>
    </row>
    <row r="223" spans="1:44" ht="25.05" customHeight="1">
      <c r="A223" s="3">
        <v>13</v>
      </c>
      <c r="B223" s="2" t="s">
        <v>76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FCN</v>
      </c>
      <c r="E223" s="18">
        <f>COUNTIFS($A$2:$A223,$A223,$B$2:$B223,$B223,$L$2:$L223,"&lt;&gt;ET")</f>
        <v>14</v>
      </c>
      <c r="F223" s="11">
        <v>83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0</v>
      </c>
      <c r="K223" s="3">
        <v>26</v>
      </c>
      <c r="L223" s="17" t="s">
        <v>18</v>
      </c>
      <c r="M223" s="2" t="s">
        <v>147</v>
      </c>
      <c r="N223" s="2" t="s">
        <v>152</v>
      </c>
      <c r="X223" s="2" t="s">
        <v>142</v>
      </c>
      <c r="Y223" s="17" t="s">
        <v>143</v>
      </c>
      <c r="Z223" s="14" t="s">
        <v>150</v>
      </c>
      <c r="AA223" s="14" t="s">
        <v>156</v>
      </c>
      <c r="AB223" s="18"/>
      <c r="AC223" s="13">
        <v>-12</v>
      </c>
      <c r="AD223" s="13">
        <v>18</v>
      </c>
      <c r="AE223" s="19">
        <f t="shared" si="12"/>
        <v>19.838235808660002</v>
      </c>
      <c r="AF223" s="19">
        <f t="shared" si="13"/>
        <v>16.163407255354326</v>
      </c>
      <c r="AG223" s="2" t="s">
        <v>146</v>
      </c>
      <c r="AH223" s="13">
        <v>-1.5</v>
      </c>
      <c r="AI223" s="13">
        <v>2.5</v>
      </c>
      <c r="AJ223" s="19">
        <f>IF(Abschlüsse[[#This Row],[Ergeb]]="ET","",SQRT(($AC223-$AH223)^2+($AD223-$AI223)^2))</f>
        <v>18.721645226849056</v>
      </c>
      <c r="AK223" s="3">
        <v>1</v>
      </c>
      <c r="AL223" s="13">
        <v>-10.5</v>
      </c>
      <c r="AM223" s="13">
        <v>21</v>
      </c>
      <c r="AN223" s="19">
        <f t="shared" si="14"/>
        <v>3.3541019662496847</v>
      </c>
      <c r="AO223" s="3">
        <v>0</v>
      </c>
      <c r="AR223" s="19" t="str">
        <f t="shared" si="15"/>
        <v/>
      </c>
    </row>
    <row r="225" spans="26:27" ht="25.05" customHeight="1">
      <c r="Z225" s="14"/>
      <c r="AA225" s="14"/>
    </row>
  </sheetData>
  <phoneticPr fontId="5" type="noConversion"/>
  <conditionalFormatting sqref="A2:E223">
    <cfRule type="expression" dxfId="39" priority="126">
      <formula>$C2="H"</formula>
    </cfRule>
  </conditionalFormatting>
  <conditionalFormatting sqref="H2:AR1048576">
    <cfRule type="expression" dxfId="38" priority="13">
      <formula>$L2="ET"</formula>
    </cfRule>
  </conditionalFormatting>
  <conditionalFormatting sqref="K2:K223 M2:M223 Z2:AA223 AC2:AD223 AG2:AI223 AK2:AK223 AO2:AO223">
    <cfRule type="cellIs" dxfId="37" priority="46" operator="notEqual">
      <formula>""</formula>
    </cfRule>
  </conditionalFormatting>
  <conditionalFormatting sqref="K2:M223 X2:AD223 AG2:AI223 AK2:AK223 AO2:AO223">
    <cfRule type="expression" dxfId="36" priority="49">
      <formula>$F2&lt;&gt;""</formula>
    </cfRule>
  </conditionalFormatting>
  <conditionalFormatting sqref="L2:L223 Y2:Y223 AB2:AB223">
    <cfRule type="cellIs" dxfId="35" priority="47" operator="notEqual">
      <formula>""</formula>
    </cfRule>
  </conditionalFormatting>
  <conditionalFormatting sqref="M226">
    <cfRule type="cellIs" dxfId="34" priority="121" operator="notEqual">
      <formula>""</formula>
    </cfRule>
    <cfRule type="expression" dxfId="33" priority="122">
      <formula>$F226&lt;&gt;""</formula>
    </cfRule>
  </conditionalFormatting>
  <conditionalFormatting sqref="N2:N223">
    <cfRule type="cellIs" dxfId="32" priority="3" operator="notEqual">
      <formula>""</formula>
    </cfRule>
    <cfRule type="expression" dxfId="31" priority="4">
      <formula>$M2="nEW"</formula>
    </cfRule>
    <cfRule type="expression" dxfId="30" priority="5">
      <formula>$M2="EW"</formula>
    </cfRule>
    <cfRule type="expression" dxfId="29" priority="6">
      <formula>$M2="n11M"</formula>
    </cfRule>
    <cfRule type="expression" dxfId="28" priority="7">
      <formula>$M2="nFS"</formula>
    </cfRule>
    <cfRule type="expression" dxfId="27" priority="8">
      <formula>$M2="nE"</formula>
    </cfRule>
    <cfRule type="expression" dxfId="26" priority="9">
      <formula>$M2="FSF"</formula>
    </cfRule>
    <cfRule type="expression" dxfId="25" priority="10">
      <formula>$M2="E"</formula>
    </cfRule>
    <cfRule type="expression" dxfId="24" priority="11">
      <formula>$M2="USO"</formula>
    </cfRule>
    <cfRule type="expression" dxfId="23" priority="12">
      <formula>$M2="EB"</formula>
    </cfRule>
  </conditionalFormatting>
  <conditionalFormatting sqref="N226:W226">
    <cfRule type="expression" dxfId="22" priority="104">
      <formula>$M226="nEW"</formula>
    </cfRule>
    <cfRule type="expression" dxfId="21" priority="105">
      <formula>$M226="EW"</formula>
    </cfRule>
    <cfRule type="expression" dxfId="20" priority="106">
      <formula>$M226="n11M"</formula>
    </cfRule>
    <cfRule type="expression" dxfId="19" priority="107">
      <formula>$M226="nFS"</formula>
    </cfRule>
    <cfRule type="expression" dxfId="18" priority="108">
      <formula>$M226="nE"</formula>
    </cfRule>
    <cfRule type="expression" dxfId="17" priority="109">
      <formula>$M226="FSF"</formula>
    </cfRule>
    <cfRule type="expression" dxfId="16" priority="110">
      <formula>$M226="E"</formula>
    </cfRule>
    <cfRule type="expression" dxfId="15" priority="111">
      <formula>$M226="USO"</formula>
    </cfRule>
    <cfRule type="expression" dxfId="14" priority="123">
      <formula>$M226="EB"</formula>
    </cfRule>
  </conditionalFormatting>
  <conditionalFormatting sqref="N226:X226">
    <cfRule type="cellIs" dxfId="13" priority="103" operator="notEqual">
      <formula>""</formula>
    </cfRule>
  </conditionalFormatting>
  <conditionalFormatting sqref="X2:X223">
    <cfRule type="cellIs" dxfId="12" priority="15" operator="notEqual">
      <formula>""</formula>
    </cfRule>
    <cfRule type="expression" dxfId="11" priority="53">
      <formula>#REF!=1</formula>
    </cfRule>
  </conditionalFormatting>
  <conditionalFormatting sqref="X226">
    <cfRule type="expression" dxfId="10" priority="124">
      <formula>#REF!=1</formula>
    </cfRule>
  </conditionalFormatting>
  <conditionalFormatting sqref="Z225:AA225">
    <cfRule type="expression" dxfId="9" priority="99">
      <formula>$L225="ET"</formula>
    </cfRule>
    <cfRule type="cellIs" dxfId="8" priority="100" operator="notEqual">
      <formula>""</formula>
    </cfRule>
    <cfRule type="expression" dxfId="7" priority="101">
      <formula>$F225&lt;&gt;""</formula>
    </cfRule>
  </conditionalFormatting>
  <conditionalFormatting sqref="AB2:AB223">
    <cfRule type="expression" dxfId="6" priority="2">
      <formula>$B2&lt;&gt;"FCN"</formula>
    </cfRule>
  </conditionalFormatting>
  <conditionalFormatting sqref="AH2:AI223">
    <cfRule type="expression" dxfId="5" priority="1">
      <formula>$AG2="niT"</formula>
    </cfRule>
  </conditionalFormatting>
  <conditionalFormatting sqref="AL2:AM223">
    <cfRule type="cellIs" dxfId="4" priority="17" operator="notEqual">
      <formula>""</formula>
    </cfRule>
    <cfRule type="expression" dxfId="3" priority="20">
      <formula>$AK2&gt;0</formula>
    </cfRule>
  </conditionalFormatting>
  <conditionalFormatting sqref="AP2:AQ223">
    <cfRule type="cellIs" dxfId="2" priority="14" operator="notEqual">
      <formula>""</formula>
    </cfRule>
    <cfRule type="expression" dxfId="1" priority="54">
      <formula>$AO2&gt;0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2025-12-03T12:17:42Z</dcterms:modified>
</cp:coreProperties>
</file>