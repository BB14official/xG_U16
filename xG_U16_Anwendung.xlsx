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11C850B1-0349-4165-B1A3-8CA49E360EBC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H255" i="2"/>
  <c r="I255" i="2"/>
  <c r="J255" i="2"/>
  <c r="H256" i="2"/>
  <c r="I256" i="2"/>
  <c r="J256" i="2"/>
  <c r="H257" i="2"/>
  <c r="I257" i="2"/>
  <c r="J257" i="2"/>
  <c r="H258" i="2"/>
  <c r="I258" i="2"/>
  <c r="J258" i="2"/>
  <c r="H259" i="2"/>
  <c r="I259" i="2"/>
  <c r="J259" i="2"/>
  <c r="H260" i="2"/>
  <c r="I260" i="2"/>
  <c r="J260" i="2"/>
  <c r="H261" i="2"/>
  <c r="I261" i="2"/>
  <c r="J261" i="2"/>
  <c r="H262" i="2"/>
  <c r="I262" i="2"/>
  <c r="J262" i="2"/>
  <c r="H263" i="2"/>
  <c r="I263" i="2"/>
  <c r="J263" i="2"/>
  <c r="H264" i="2"/>
  <c r="I264" i="2"/>
  <c r="J264" i="2"/>
  <c r="H265" i="2"/>
  <c r="I265" i="2"/>
  <c r="J265" i="2"/>
  <c r="H266" i="2"/>
  <c r="I266" i="2"/>
  <c r="J266" i="2"/>
  <c r="H267" i="2"/>
  <c r="I267" i="2"/>
  <c r="J267" i="2"/>
  <c r="H268" i="2"/>
  <c r="I268" i="2"/>
  <c r="J268" i="2"/>
  <c r="H269" i="2"/>
  <c r="I269" i="2"/>
  <c r="J269" i="2"/>
  <c r="H270" i="2"/>
  <c r="I270" i="2"/>
  <c r="J270" i="2"/>
  <c r="H271" i="2"/>
  <c r="I271" i="2"/>
  <c r="J271" i="2"/>
  <c r="H272" i="2"/>
  <c r="I272" i="2"/>
  <c r="J272" i="2"/>
  <c r="H273" i="2"/>
  <c r="I273" i="2"/>
  <c r="J273" i="2"/>
  <c r="H274" i="2"/>
  <c r="I274" i="2"/>
  <c r="J274" i="2"/>
  <c r="H275" i="2"/>
  <c r="I275" i="2"/>
  <c r="J275" i="2"/>
  <c r="H276" i="2"/>
  <c r="I276" i="2"/>
  <c r="J276" i="2"/>
  <c r="H277" i="2"/>
  <c r="I277" i="2"/>
  <c r="J277" i="2"/>
  <c r="H278" i="2"/>
  <c r="I278" i="2"/>
  <c r="J278" i="2"/>
  <c r="H279" i="2"/>
  <c r="I279" i="2"/>
  <c r="J279" i="2"/>
  <c r="H280" i="2"/>
  <c r="I280" i="2"/>
  <c r="J280" i="2"/>
  <c r="H281" i="2"/>
  <c r="I281" i="2"/>
  <c r="J281" i="2"/>
  <c r="H282" i="2"/>
  <c r="I282" i="2"/>
  <c r="J282" i="2"/>
  <c r="H283" i="2"/>
  <c r="I283" i="2"/>
  <c r="J283" i="2"/>
  <c r="H284" i="2"/>
  <c r="I284" i="2"/>
  <c r="J284" i="2"/>
  <c r="H285" i="2"/>
  <c r="I285" i="2"/>
  <c r="J285" i="2"/>
  <c r="H286" i="2"/>
  <c r="I286" i="2"/>
  <c r="J286" i="2"/>
  <c r="H287" i="2"/>
  <c r="I287" i="2"/>
  <c r="J287" i="2"/>
  <c r="H288" i="2"/>
  <c r="I288" i="2"/>
  <c r="J288" i="2"/>
  <c r="H289" i="2"/>
  <c r="I289" i="2"/>
  <c r="J289" i="2"/>
  <c r="H290" i="2"/>
  <c r="I290" i="2"/>
  <c r="J290" i="2"/>
  <c r="H291" i="2"/>
  <c r="I291" i="2"/>
  <c r="J291" i="2"/>
  <c r="H292" i="2"/>
  <c r="I292" i="2"/>
  <c r="J292" i="2"/>
  <c r="H293" i="2"/>
  <c r="I293" i="2"/>
  <c r="J293" i="2"/>
  <c r="H294" i="2"/>
  <c r="I294" i="2"/>
  <c r="J294" i="2"/>
  <c r="H295" i="2"/>
  <c r="I295" i="2"/>
  <c r="J295" i="2"/>
  <c r="H296" i="2"/>
  <c r="I296" i="2"/>
  <c r="J296" i="2"/>
  <c r="H297" i="2"/>
  <c r="I297" i="2"/>
  <c r="J297" i="2"/>
  <c r="H298" i="2"/>
  <c r="I298" i="2"/>
  <c r="J298" i="2"/>
  <c r="H299" i="2"/>
  <c r="I299" i="2"/>
  <c r="J299" i="2"/>
  <c r="H300" i="2"/>
  <c r="I300" i="2"/>
  <c r="J300" i="2"/>
  <c r="H301" i="2"/>
  <c r="I301" i="2"/>
  <c r="J301" i="2"/>
  <c r="H302" i="2"/>
  <c r="I302" i="2"/>
  <c r="J302" i="2"/>
  <c r="H303" i="2"/>
  <c r="I303" i="2"/>
  <c r="J303" i="2"/>
  <c r="H304" i="2"/>
  <c r="I304" i="2"/>
  <c r="J304" i="2"/>
  <c r="H305" i="2"/>
  <c r="I305" i="2"/>
  <c r="J305" i="2"/>
  <c r="H306" i="2"/>
  <c r="I306" i="2"/>
  <c r="J306" i="2"/>
  <c r="H307" i="2"/>
  <c r="I307" i="2"/>
  <c r="J307" i="2"/>
  <c r="H308" i="2"/>
  <c r="I308" i="2"/>
  <c r="J308" i="2"/>
  <c r="H309" i="2"/>
  <c r="I309" i="2"/>
  <c r="J309" i="2"/>
  <c r="H310" i="2"/>
  <c r="I310" i="2"/>
  <c r="J310" i="2"/>
  <c r="H311" i="2"/>
  <c r="I311" i="2"/>
  <c r="J311" i="2"/>
  <c r="H312" i="2"/>
  <c r="I312" i="2"/>
  <c r="J312" i="2"/>
  <c r="H313" i="2"/>
  <c r="I313" i="2"/>
  <c r="J313" i="2"/>
  <c r="H314" i="2"/>
  <c r="I314" i="2"/>
  <c r="J314" i="2"/>
  <c r="H315" i="2"/>
  <c r="I315" i="2"/>
  <c r="J315" i="2"/>
  <c r="H316" i="2"/>
  <c r="I316" i="2"/>
  <c r="J316" i="2"/>
  <c r="H317" i="2"/>
  <c r="I317" i="2"/>
  <c r="J317" i="2"/>
  <c r="H318" i="2"/>
  <c r="I318" i="2"/>
  <c r="J318" i="2"/>
  <c r="H319" i="2"/>
  <c r="I319" i="2"/>
  <c r="J319" i="2"/>
  <c r="H320" i="2"/>
  <c r="I320" i="2"/>
  <c r="J320" i="2"/>
  <c r="H321" i="2"/>
  <c r="I321" i="2"/>
  <c r="J321" i="2"/>
  <c r="H322" i="2"/>
  <c r="I322" i="2"/>
  <c r="J322" i="2"/>
  <c r="H323" i="2"/>
  <c r="I323" i="2"/>
  <c r="J323" i="2"/>
  <c r="H324" i="2"/>
  <c r="I324" i="2"/>
  <c r="J324" i="2"/>
  <c r="H325" i="2"/>
  <c r="I325" i="2"/>
  <c r="J325" i="2"/>
  <c r="H326" i="2"/>
  <c r="I326" i="2"/>
  <c r="J326" i="2"/>
  <c r="H327" i="2"/>
  <c r="I327" i="2"/>
  <c r="J327" i="2"/>
  <c r="H328" i="2"/>
  <c r="I328" i="2"/>
  <c r="J328" i="2"/>
  <c r="H329" i="2"/>
  <c r="I329" i="2"/>
  <c r="J329" i="2"/>
  <c r="H330" i="2"/>
  <c r="I330" i="2"/>
  <c r="J330" i="2"/>
  <c r="H331" i="2"/>
  <c r="I331" i="2"/>
  <c r="J331" i="2"/>
  <c r="H332" i="2"/>
  <c r="I332" i="2"/>
  <c r="J332" i="2"/>
  <c r="H333" i="2"/>
  <c r="I333" i="2"/>
  <c r="J333" i="2"/>
  <c r="H334" i="2"/>
  <c r="I334" i="2"/>
  <c r="J334" i="2"/>
  <c r="H335" i="2"/>
  <c r="I335" i="2"/>
  <c r="J335" i="2"/>
  <c r="H336" i="2"/>
  <c r="I336" i="2"/>
  <c r="J336" i="2"/>
  <c r="H337" i="2"/>
  <c r="I337" i="2"/>
  <c r="J337" i="2"/>
  <c r="H338" i="2"/>
  <c r="I338" i="2"/>
  <c r="J338" i="2"/>
  <c r="H339" i="2"/>
  <c r="I339" i="2"/>
  <c r="J339" i="2"/>
  <c r="H340" i="2"/>
  <c r="I340" i="2"/>
  <c r="J340" i="2"/>
  <c r="AQ181" i="2"/>
  <c r="AU172" i="2"/>
  <c r="AH174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330" i="2"/>
  <c r="D330" i="2"/>
  <c r="C318" i="2"/>
  <c r="C316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D316" i="2"/>
  <c r="C317" i="2"/>
  <c r="D317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1" i="2"/>
  <c r="D331" i="2"/>
  <c r="C332" i="2"/>
  <c r="D332" i="2"/>
  <c r="C333" i="2"/>
  <c r="D333" i="2"/>
  <c r="C334" i="2"/>
  <c r="D334" i="2"/>
  <c r="C335" i="2"/>
  <c r="D335" i="2"/>
  <c r="C336" i="2"/>
  <c r="D336" i="2"/>
  <c r="C337" i="2"/>
  <c r="D337" i="2"/>
  <c r="C338" i="2"/>
  <c r="D338" i="2"/>
  <c r="C339" i="2"/>
  <c r="D339" i="2"/>
  <c r="C340" i="2"/>
  <c r="D340" i="2"/>
  <c r="D2" i="2"/>
  <c r="C2" i="2"/>
  <c r="H15" i="35"/>
  <c r="AQ190" i="2"/>
  <c r="AM168" i="2"/>
  <c r="AH155" i="2"/>
  <c r="AU329" i="2"/>
  <c r="AU315" i="2"/>
  <c r="AH330" i="2"/>
  <c r="AI330" i="2"/>
  <c r="AM330" i="2"/>
  <c r="AQ330" i="2"/>
  <c r="AU330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H291" i="2" l="1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1" i="2"/>
  <c r="AM332" i="2"/>
  <c r="AM333" i="2"/>
  <c r="AM334" i="2"/>
  <c r="AM335" i="2"/>
  <c r="AM336" i="2"/>
  <c r="AM337" i="2"/>
  <c r="AM338" i="2"/>
  <c r="AM339" i="2"/>
  <c r="AM340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31" i="2"/>
  <c r="AU332" i="2"/>
  <c r="AU333" i="2"/>
  <c r="AU334" i="2"/>
  <c r="AU335" i="2"/>
  <c r="AU336" i="2"/>
  <c r="AU337" i="2"/>
  <c r="AU338" i="2"/>
  <c r="AU339" i="2"/>
  <c r="AU340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1" i="2"/>
  <c r="AQ332" i="2"/>
  <c r="AQ333" i="2"/>
  <c r="AQ334" i="2"/>
  <c r="AQ335" i="2"/>
  <c r="AQ336" i="2"/>
  <c r="AQ337" i="2"/>
  <c r="AQ338" i="2"/>
  <c r="AQ339" i="2"/>
  <c r="AQ340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1" i="2"/>
  <c r="AI331" i="2"/>
  <c r="AH332" i="2"/>
  <c r="AI332" i="2"/>
  <c r="AH333" i="2"/>
  <c r="AI333" i="2"/>
  <c r="AH334" i="2"/>
  <c r="AI334" i="2"/>
  <c r="AH335" i="2"/>
  <c r="AI335" i="2"/>
  <c r="AH336" i="2"/>
  <c r="AI336" i="2"/>
  <c r="AH337" i="2"/>
  <c r="AI337" i="2"/>
  <c r="AH338" i="2"/>
  <c r="AI338" i="2"/>
  <c r="AH339" i="2"/>
  <c r="AI339" i="2"/>
  <c r="AH340" i="2"/>
  <c r="AI340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<sst xmlns="http://schemas.openxmlformats.org/spreadsheetml/2006/main" count="3210" uniqueCount="188">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</sst>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SUM(COUNTIFS(Abschlüsse!$A$2:$A$340,$A2,Abschlüsse!$B$2:$B$340,$C2,Abschlüsse!$L$2:$L$340,"Tor"),COUNTIFS(Abschlüsse!$A$2:$A$340,$A2,Abschlüsse!$B$2:$B$340,$C2,Abschlüsse!$L$2:$L$340,"ET"))</calculatedColumnFormula>
    </tableColumn>
    <tableColumn id="14" xr3:uid="{C91559F3-290E-4254-BCA6-0153E99BEA95}" name="TG" dataDxfId="121">
      <calculatedColumnFormula>SUM(COUNTIFS(Abschlüsse!$A$2:$A$340,$A2,Abschlüsse!$B$2:$B$340,$D2,Abschlüsse!$L$2:$L$340,"Tor"),COUNTIFS(Abschlüsse!$A$2:$A$340,$A2,Abschlüsse!$B$2:$B$340,$D2,Abschlüsse!$L$2:$L$340,"ET"))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340" totalsRowShown="0" headerRowDxfId="103" dataDxfId="102" headerRowCellStyle="Standard 2">
  <autoFilter ref="A1:AU340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SUM(COUNTIFS(Abschlüsse!$A$2:$A$340,$A2,Abschlüsse!$B$2:$B$340,$C2,Abschlüsse!$L$2:$L$340,"Tor"),COUNTIFS(Abschlüsse!$A$2:$A$340,$A2,Abschlüsse!$B$2:$B$340,$C2,Abschlüsse!$L$2:$L$340,"ET"))</f>
        <v>4</v>
      </c>
      <c r="H2" s="18">
        <f>SUM(COUNTIFS(Abschlüsse!$A$2:$A$340,$A2,Abschlüsse!$B$2:$B$340,$D2,Abschlüsse!$L$2:$L$340,"Tor"),COUNTIFS(Abschlüsse!$A$2:$A$340,$A2,Abschlüsse!$B$2:$B$340,$D2,Abschlüsse!$L$2:$L$340,"ET"))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SUM(COUNTIFS(Abschlüsse!$A$2:$A$340,$A3,Abschlüsse!$B$2:$B$340,$C3,Abschlüsse!$L$2:$L$340,"Tor"),COUNTIFS(Abschlüsse!$A$2:$A$340,$A3,Abschlüsse!$B$2:$B$340,$C3,Abschlüsse!$L$2:$L$340,"ET"))</f>
        <v>2</v>
      </c>
      <c r="H3" s="18">
        <f>SUM(COUNTIFS(Abschlüsse!$A$2:$A$340,$A3,Abschlüsse!$B$2:$B$340,$D3,Abschlüsse!$L$2:$L$340,"Tor"),COUNTIFS(Abschlüsse!$A$2:$A$340,$A3,Abschlüsse!$B$2:$B$340,$D3,Abschlüsse!$L$2:$L$340,"ET"))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SUM(COUNTIFS(Abschlüsse!$A$2:$A$340,$A4,Abschlüsse!$B$2:$B$340,$C4,Abschlüsse!$L$2:$L$340,"Tor"),COUNTIFS(Abschlüsse!$A$2:$A$340,$A4,Abschlüsse!$B$2:$B$340,$C4,Abschlüsse!$L$2:$L$340,"ET"))</f>
        <v>4</v>
      </c>
      <c r="H4" s="18">
        <f>SUM(COUNTIFS(Abschlüsse!$A$2:$A$340,$A4,Abschlüsse!$B$2:$B$340,$D4,Abschlüsse!$L$2:$L$340,"Tor"),COUNTIFS(Abschlüsse!$A$2:$A$340,$A4,Abschlüsse!$B$2:$B$340,$D4,Abschlüsse!$L$2:$L$340,"ET"))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SUM(COUNTIFS(Abschlüsse!$A$2:$A$340,$A5,Abschlüsse!$B$2:$B$340,$C5,Abschlüsse!$L$2:$L$340,"Tor"),COUNTIFS(Abschlüsse!$A$2:$A$340,$A5,Abschlüsse!$B$2:$B$340,$C5,Abschlüsse!$L$2:$L$340,"ET"))</f>
        <v>0</v>
      </c>
      <c r="H5" s="18">
        <f>SUM(COUNTIFS(Abschlüsse!$A$2:$A$340,$A5,Abschlüsse!$B$2:$B$340,$D5,Abschlüsse!$L$2:$L$340,"Tor"),COUNTIFS(Abschlüsse!$A$2:$A$340,$A5,Abschlüsse!$B$2:$B$340,$D5,Abschlüsse!$L$2:$L$340,"ET"))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SUM(COUNTIFS(Abschlüsse!$A$2:$A$340,$A6,Abschlüsse!$B$2:$B$340,$C6,Abschlüsse!$L$2:$L$340,"Tor"),COUNTIFS(Abschlüsse!$A$2:$A$340,$A6,Abschlüsse!$B$2:$B$340,$C6,Abschlüsse!$L$2:$L$340,"ET"))</f>
        <v>2</v>
      </c>
      <c r="H6" s="18">
        <f>SUM(COUNTIFS(Abschlüsse!$A$2:$A$340,$A6,Abschlüsse!$B$2:$B$340,$D6,Abschlüsse!$L$2:$L$340,"Tor"),COUNTIFS(Abschlüsse!$A$2:$A$340,$A6,Abschlüsse!$B$2:$B$340,$D6,Abschlüsse!$L$2:$L$340,"ET"))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SUM(COUNTIFS(Abschlüsse!$A$2:$A$340,$A7,Abschlüsse!$B$2:$B$340,$C7,Abschlüsse!$L$2:$L$340,"Tor"),COUNTIFS(Abschlüsse!$A$2:$A$340,$A7,Abschlüsse!$B$2:$B$340,$C7,Abschlüsse!$L$2:$L$340,"ET"))</f>
        <v>4</v>
      </c>
      <c r="H7" s="18">
        <f>SUM(COUNTIFS(Abschlüsse!$A$2:$A$340,$A7,Abschlüsse!$B$2:$B$340,$D7,Abschlüsse!$L$2:$L$340,"Tor"),COUNTIFS(Abschlüsse!$A$2:$A$340,$A7,Abschlüsse!$B$2:$B$340,$D7,Abschlüsse!$L$2:$L$340,"ET"))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SUM(COUNTIFS(Abschlüsse!$A$2:$A$340,$A8,Abschlüsse!$B$2:$B$340,$C8,Abschlüsse!$L$2:$L$340,"Tor"),COUNTIFS(Abschlüsse!$A$2:$A$340,$A8,Abschlüsse!$B$2:$B$340,$C8,Abschlüsse!$L$2:$L$340,"ET"))</f>
        <v>2</v>
      </c>
      <c r="H8" s="18">
        <f>SUM(COUNTIFS(Abschlüsse!$A$2:$A$340,$A8,Abschlüsse!$B$2:$B$340,$D8,Abschlüsse!$L$2:$L$340,"Tor"),COUNTIFS(Abschlüsse!$A$2:$A$340,$A8,Abschlüsse!$B$2:$B$340,$D8,Abschlüsse!$L$2:$L$340,"ET"))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SUM(COUNTIFS(Abschlüsse!$A$2:$A$340,$A9,Abschlüsse!$B$2:$B$340,$C9,Abschlüsse!$L$2:$L$340,"Tor"),COUNTIFS(Abschlüsse!$A$2:$A$340,$A9,Abschlüsse!$B$2:$B$340,$C9,Abschlüsse!$L$2:$L$340,"ET"))</f>
        <v>2</v>
      </c>
      <c r="H9" s="18">
        <f>SUM(COUNTIFS(Abschlüsse!$A$2:$A$340,$A9,Abschlüsse!$B$2:$B$340,$D9,Abschlüsse!$L$2:$L$340,"Tor"),COUNTIFS(Abschlüsse!$A$2:$A$340,$A9,Abschlüsse!$B$2:$B$340,$D9,Abschlüsse!$L$2:$L$340,"ET"))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SUM(COUNTIFS(Abschlüsse!$A$2:$A$340,$A10,Abschlüsse!$B$2:$B$340,$C10,Abschlüsse!$L$2:$L$340,"Tor"),COUNTIFS(Abschlüsse!$A$2:$A$340,$A10,Abschlüsse!$B$2:$B$340,$C10,Abschlüsse!$L$2:$L$340,"ET"))</f>
        <v>2</v>
      </c>
      <c r="H10" s="18">
        <f>SUM(COUNTIFS(Abschlüsse!$A$2:$A$340,$A10,Abschlüsse!$B$2:$B$340,$D10,Abschlüsse!$L$2:$L$340,"Tor"),COUNTIFS(Abschlüsse!$A$2:$A$340,$A10,Abschlüsse!$B$2:$B$340,$D10,Abschlüsse!$L$2:$L$340,"ET"))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SUM(COUNTIFS(Abschlüsse!$A$2:$A$340,$A11,Abschlüsse!$B$2:$B$340,$C11,Abschlüsse!$L$2:$L$340,"Tor"),COUNTIFS(Abschlüsse!$A$2:$A$340,$A11,Abschlüsse!$B$2:$B$340,$C11,Abschlüsse!$L$2:$L$340,"ET"))</f>
        <v>2</v>
      </c>
      <c r="H11" s="18">
        <f>SUM(COUNTIFS(Abschlüsse!$A$2:$A$340,$A11,Abschlüsse!$B$2:$B$340,$D11,Abschlüsse!$L$2:$L$340,"Tor"),COUNTIFS(Abschlüsse!$A$2:$A$340,$A11,Abschlüsse!$B$2:$B$340,$D11,Abschlüsse!$L$2:$L$340,"ET"))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SUM(COUNTIFS(Abschlüsse!$A$2:$A$340,$A12,Abschlüsse!$B$2:$B$340,$C12,Abschlüsse!$L$2:$L$340,"Tor"),COUNTIFS(Abschlüsse!$A$2:$A$340,$A12,Abschlüsse!$B$2:$B$340,$C12,Abschlüsse!$L$2:$L$340,"ET"))</f>
        <v>3</v>
      </c>
      <c r="H12" s="18">
        <f>SUM(COUNTIFS(Abschlüsse!$A$2:$A$340,$A12,Abschlüsse!$B$2:$B$340,$D12,Abschlüsse!$L$2:$L$340,"Tor"),COUNTIFS(Abschlüsse!$A$2:$A$340,$A12,Abschlüsse!$B$2:$B$340,$D12,Abschlüsse!$L$2:$L$340,"ET"))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SUM(COUNTIFS(Abschlüsse!$A$2:$A$340,$A13,Abschlüsse!$B$2:$B$340,$C13,Abschlüsse!$L$2:$L$340,"Tor"),COUNTIFS(Abschlüsse!$A$2:$A$340,$A13,Abschlüsse!$B$2:$B$340,$C13,Abschlüsse!$L$2:$L$340,"ET"))</f>
        <v>0</v>
      </c>
      <c r="H13" s="18">
        <f>SUM(COUNTIFS(Abschlüsse!$A$2:$A$340,$A13,Abschlüsse!$B$2:$B$340,$D13,Abschlüsse!$L$2:$L$340,"Tor"),COUNTIFS(Abschlüsse!$A$2:$A$340,$A13,Abschlüsse!$B$2:$B$340,$D13,Abschlüsse!$L$2:$L$340,"ET"))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SUM(COUNTIFS(Abschlüsse!$A$2:$A$340,$A14,Abschlüsse!$B$2:$B$340,$C14,Abschlüsse!$L$2:$L$340,"Tor"),COUNTIFS(Abschlüsse!$A$2:$A$340,$A14,Abschlüsse!$B$2:$B$340,$C14,Abschlüsse!$L$2:$L$340,"ET"))</f>
        <v>1</v>
      </c>
      <c r="H14" s="18">
        <f>SUM(COUNTIFS(Abschlüsse!$A$2:$A$340,$A14,Abschlüsse!$B$2:$B$340,$D14,Abschlüsse!$L$2:$L$340,"Tor"),COUNTIFS(Abschlüsse!$A$2:$A$340,$A14,Abschlüsse!$B$2:$B$340,$D14,Abschlüsse!$L$2:$L$340,"ET"))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SUM(COUNTIFS(Abschlüsse!$A$2:$A$340,$A15,Abschlüsse!$B$2:$B$340,$C15,Abschlüsse!$L$2:$L$340,"Tor"),COUNTIFS(Abschlüsse!$A$2:$A$340,$A15,Abschlüsse!$B$2:$B$340,$C15,Abschlüsse!$L$2:$L$340,"ET"))</f>
        <v>0</v>
      </c>
      <c r="H15" s="18">
        <f>SUM(COUNTIFS(Abschlüsse!$A$2:$A$340,$A15,Abschlüsse!$B$2:$B$340,$D15,Abschlüsse!$L$2:$L$340,"Tor"),COUNTIFS(Abschlüsse!$A$2:$A$340,$A15,Abschlüsse!$B$2:$B$340,$D15,Abschlüsse!$L$2:$L$340,"ET"))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42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IF($A228="","",IF(VLOOKUP($A228,Spiele!$A$2:$D$15,3,FALSE)=$B228,"H","G"))</f>
        <v>G</v>
      </c>
      <c r="D228" s="17" t="str">
        <f>IF($B228="","",IF(VLOOKUP($A228,Spiele!$A$2:$F$15,3,FALSE)=$B228,VLOOKUP($A228,Spiele!$A$2:$F$15,4,FALSE),VLOOKUP($A228,Spiele!$A$2:$F$15,3,FALSE)))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IF($A229="","",IF(VLOOKUP($A229,Spiele!$A$2:$D$15,3,FALSE)=$B229,"H","G"))</f>
        <v>H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IF($A232="","",IF(VLOOKUP($A232,Spiele!$A$2:$D$15,3,FALSE)=$B232,"H","G"))</f>
        <v>H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IF($A233="","",IF(VLOOKUP($A233,Spiele!$A$2:$D$15,3,FALSE)=$B233,"H","G"))</f>
        <v>H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156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IF($A238="","",IF(VLOOKUP($A238,Spiele!$A$2:$D$15,3,FALSE)=$B238,"H","G"))</f>
        <v>G</v>
      </c>
      <c r="D238" s="17" t="str">
        <f>IF($B238="","",IF(VLOOKUP($A238,Spiele!$A$2:$F$15,3,FALSE)=$B238,VLOOKUP($A238,Spiele!$A$2:$F$15,4,FALSE),VLOOKUP($A238,Spiele!$A$2:$F$15,3,FALSE)))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IF($A239="","",IF(VLOOKUP($A239,Spiele!$A$2:$D$15,3,FALSE)=$B239,"H","G"))</f>
        <v>H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IF($A240="","",IF(VLOOKUP($A240,Spiele!$A$2:$D$15,3,FALSE)=$B240,"H","G"))</f>
        <v>H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IF($A241="","",IF(VLOOKUP($A241,Spiele!$A$2:$D$15,3,FALSE)=$B241,"H","G"))</f>
        <v>G</v>
      </c>
      <c r="D241" s="17" t="str">
        <f>IF($B241="","",IF(VLOOKUP($A241,Spiele!$A$2:$F$15,3,FALSE)=$B241,VLOOKUP($A241,Spiele!$A$2:$F$15,4,FALSE),VLOOKUP($A241,Spiele!$A$2:$F$15,3,FALSE)))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IF($A243="","",IF(VLOOKUP($A243,Spiele!$A$2:$D$15,3,FALSE)=$B243,"H","G"))</f>
        <v>H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IF($A245="","",IF(VLOOKUP($A245,Spiele!$A$2:$D$15,3,FALSE)=$B245,"H","G"))</f>
        <v>H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IF($A247="","",IF(VLOOKUP($A247,Spiele!$A$2:$D$15,3,FALSE)=$B247,"H","G"))</f>
        <v>G</v>
      </c>
      <c r="D247" s="17" t="str">
        <f>IF($B247="","",IF(VLOOKUP($A247,Spiele!$A$2:$F$15,3,FALSE)=$B247,VLOOKUP($A247,Spiele!$A$2:$F$15,4,FALSE),VLOOKUP($A247,Spiele!$A$2:$F$15,3,FALSE)))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1</v>
      </c>
      <c r="AG247" s="13">
        <v>6</v>
      </c>
      <c r="AH247" s="19">
        <f t="shared" si="12"/>
        <v>6</v>
      </c>
      <c r="AI247" s="19">
        <f t="shared" si="13"/>
        <v>61.744602004458379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IF($A248="","",IF(VLOOKUP($A248,Spiele!$A$2:$D$15,3,FALSE)=$B248,"H","G"))</f>
        <v>H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IF($A249="","",IF(VLOOKUP($A249,Spiele!$A$2:$D$15,3,FALSE)=$B249,"H","G"))</f>
        <v>H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IF($A250="","",IF(VLOOKUP($A250,Spiele!$A$2:$D$15,3,FALSE)=$B250,"H","G"))</f>
        <v>G</v>
      </c>
      <c r="D250" s="17" t="str">
        <f>IF($B250="","",IF(VLOOKUP($A250,Spiele!$A$2:$F$15,3,FALSE)=$B250,VLOOKUP($A250,Spiele!$A$2:$F$15,4,FALSE),VLOOKUP($A250,Spiele!$A$2:$F$15,3,FALSE)))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IF($A253="","",IF(VLOOKUP($A253,Spiele!$A$2:$D$15,3,FALSE)=$B253,"H","G"))</f>
        <v>G</v>
      </c>
      <c r="D253" s="17" t="str">
        <f>IF($B253="","",IF(VLOOKUP($A253,Spiele!$A$2:$F$15,3,FALSE)=$B253,VLOOKUP($A253,Spiele!$A$2:$F$15,4,FALSE),VLOOKUP($A253,Spiele!$A$2:$F$15,3,FALSE)))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IF($A254="","",IF(VLOOKUP($A254,Spiele!$A$2:$D$15,3,FALSE)=$B254,"H","G"))</f>
        <v>H</v>
      </c>
      <c r="D254" s="17" t="str">
        <f>IF($B254="","",IF(VLOOKUP($A254,Spiele!$A$2:$F$15,3,FALSE)=$B254,VLOOKUP($A254,Spiele!$A$2:$F$15,4,FALSE),VLOOKUP($A254,Spiele!$A$2:$F$15,3,FALSE)))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IF($A255="","",IF(VLOOKUP($A255,Spiele!$A$2:$D$15,3,FALSE)=$B255,"H","G"))</f>
        <v>H</v>
      </c>
      <c r="D255" s="17" t="str">
        <f>IF($B255="","",IF(VLOOKUP($A255,Spiele!$A$2:$F$15,3,FALSE)=$B255,VLOOKUP($A255,Spiele!$A$2:$F$15,4,FALSE),VLOOKUP($A255,Spiele!$A$2:$F$15,3,FALSE)))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$15,3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$15,3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IF($A256="","",IF(VLOOKUP($A256,Spiele!$A$2:$D$15,3,FALSE)=$B256,"H","G"))</f>
        <v>G</v>
      </c>
      <c r="D256" s="17" t="str">
        <f>IF($B256="","",IF(VLOOKUP($A256,Spiele!$A$2:$F$15,3,FALSE)=$B256,VLOOKUP($A256,Spiele!$A$2:$F$15,4,FALSE),VLOOKUP($A256,Spiele!$A$2:$F$15,3,FALSE)))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$15,3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$15,3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IF($A257="","",IF(VLOOKUP($A257,Spiele!$A$2:$D$15,3,FALSE)=$B257,"H","G"))</f>
        <v>H</v>
      </c>
      <c r="D257" s="17" t="str">
        <f>IF($B257="","",IF(VLOOKUP($A257,Spiele!$A$2:$F$15,3,FALSE)=$B257,VLOOKUP($A257,Spiele!$A$2:$F$15,4,FALSE),VLOOKUP($A257,Spiele!$A$2:$F$15,3,FALSE)))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$15,3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$15,3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IF($A258="","",IF(VLOOKUP($A258,Spiele!$A$2:$D$15,3,FALSE)=$B258,"H","G"))</f>
        <v>G</v>
      </c>
      <c r="D258" s="17" t="str">
        <f>IF($B258="","",IF(VLOOKUP($A258,Spiele!$A$2:$F$15,3,FALSE)=$B258,VLOOKUP($A258,Spiele!$A$2:$F$15,4,FALSE),VLOOKUP($A258,Spiele!$A$2:$F$15,3,FALSE)))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$15,3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$15,3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11" si="16">IF($L258="ET","",IF($AF258&gt;3.66,SQRT($AG258^2+($AF258-(7.32/2))^2),IF($AF258&lt;-3.66,SQRT($AG258^2+($AF258+(7.32/2))^2),$AG258)))</f>
        <v>2.8836782067352797</v>
      </c>
      <c r="AI258" s="19">
        <f t="shared" ref="AI258:AI31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IF($A259="","",IF(VLOOKUP($A259,Spiele!$A$2:$D$15,3,FALSE)=$B259,"H","G"))</f>
        <v>G</v>
      </c>
      <c r="D259" s="17" t="str">
        <f>IF($B259="","",IF(VLOOKUP($A259,Spiele!$A$2:$F$15,3,FALSE)=$B259,VLOOKUP($A259,Spiele!$A$2:$F$15,4,FALSE),VLOOKUP($A259,Spiele!$A$2:$F$15,3,FALSE)))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$15,3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$15,3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IF($A260="","",IF(VLOOKUP($A260,Spiele!$A$2:$D$15,3,FALSE)=$B260,"H","G"))</f>
        <v>G</v>
      </c>
      <c r="D260" s="17" t="str">
        <f>IF($B260="","",IF(VLOOKUP($A260,Spiele!$A$2:$F$15,3,FALSE)=$B260,VLOOKUP($A260,Spiele!$A$2:$F$15,4,FALSE),VLOOKUP($A260,Spiele!$A$2:$F$15,3,FALSE)))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$15,3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$15,3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IF($A261="","",IF(VLOOKUP($A261,Spiele!$A$2:$D$15,3,FALSE)=$B261,"H","G"))</f>
        <v>G</v>
      </c>
      <c r="D261" s="17" t="str">
        <f>IF($B261="","",IF(VLOOKUP($A261,Spiele!$A$2:$F$15,3,FALSE)=$B261,VLOOKUP($A261,Spiele!$A$2:$F$15,4,FALSE),VLOOKUP($A261,Spiele!$A$2:$F$15,3,FALSE)))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$15,3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$15,3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IF($A262="","",IF(VLOOKUP($A262,Spiele!$A$2:$D$15,3,FALSE)=$B262,"H","G"))</f>
        <v>H</v>
      </c>
      <c r="D262" s="17" t="str">
        <f>IF($B262="","",IF(VLOOKUP($A262,Spiele!$A$2:$F$15,3,FALSE)=$B262,VLOOKUP($A262,Spiele!$A$2:$F$15,4,FALSE),VLOOKUP($A262,Spiele!$A$2:$F$15,3,FALSE)))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$15,3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$15,3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IF($A263="","",IF(VLOOKUP($A263,Spiele!$A$2:$D$15,3,FALSE)=$B263,"H","G"))</f>
        <v>G</v>
      </c>
      <c r="D263" s="17" t="str">
        <f>IF($B263="","",IF(VLOOKUP($A263,Spiele!$A$2:$F$15,3,FALSE)=$B263,VLOOKUP($A263,Spiele!$A$2:$F$15,4,FALSE),VLOOKUP($A263,Spiele!$A$2:$F$15,3,FALSE)))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$15,3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$15,3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IF($A264="","",IF(VLOOKUP($A264,Spiele!$A$2:$D$15,3,FALSE)=$B264,"H","G"))</f>
        <v>H</v>
      </c>
      <c r="D264" s="17" t="str">
        <f>IF($B264="","",IF(VLOOKUP($A264,Spiele!$A$2:$F$15,3,FALSE)=$B264,VLOOKUP($A264,Spiele!$A$2:$F$15,4,FALSE),VLOOKUP($A264,Spiele!$A$2:$F$15,3,FALSE)))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$15,3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$15,3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IF($A265="","",IF(VLOOKUP($A265,Spiele!$A$2:$D$15,3,FALSE)=$B265,"H","G"))</f>
        <v>H</v>
      </c>
      <c r="D265" s="17" t="str">
        <f>IF($B265="","",IF(VLOOKUP($A265,Spiele!$A$2:$F$15,3,FALSE)=$B265,VLOOKUP($A265,Spiele!$A$2:$F$15,4,FALSE),VLOOKUP($A265,Spiele!$A$2:$F$15,3,FALSE)))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$15,3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$15,3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IF($A266="","",IF(VLOOKUP($A266,Spiele!$A$2:$D$15,3,FALSE)=$B266,"H","G"))</f>
        <v>H</v>
      </c>
      <c r="D266" s="17" t="str">
        <f>IF($B266="","",IF(VLOOKUP($A266,Spiele!$A$2:$F$15,3,FALSE)=$B266,VLOOKUP($A266,Spiele!$A$2:$F$15,4,FALSE),VLOOKUP($A266,Spiele!$A$2:$F$15,3,FALSE)))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$15,3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$15,3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IF($A267="","",IF(VLOOKUP($A267,Spiele!$A$2:$D$15,3,FALSE)=$B267,"H","G"))</f>
        <v>H</v>
      </c>
      <c r="D267" s="17" t="str">
        <f>IF($B267="","",IF(VLOOKUP($A267,Spiele!$A$2:$F$15,3,FALSE)=$B267,VLOOKUP($A267,Spiele!$A$2:$F$15,4,FALSE),VLOOKUP($A267,Spiele!$A$2:$F$15,3,FALSE)))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$15,3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$15,3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IF($A268="","",IF(VLOOKUP($A268,Spiele!$A$2:$D$15,3,FALSE)=$B268,"H","G"))</f>
        <v>H</v>
      </c>
      <c r="D268" s="17" t="str">
        <f>IF($B268="","",IF(VLOOKUP($A268,Spiele!$A$2:$F$15,3,FALSE)=$B268,VLOOKUP($A268,Spiele!$A$2:$F$15,4,FALSE),VLOOKUP($A268,Spiele!$A$2:$F$15,3,FALSE)))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$15,3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$15,3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IF($A269="","",IF(VLOOKUP($A269,Spiele!$A$2:$D$15,3,FALSE)=$B269,"H","G"))</f>
        <v>H</v>
      </c>
      <c r="D269" s="17" t="str">
        <f>IF($B269="","",IF(VLOOKUP($A269,Spiele!$A$2:$F$15,3,FALSE)=$B269,VLOOKUP($A269,Spiele!$A$2:$F$15,4,FALSE),VLOOKUP($A269,Spiele!$A$2:$F$15,3,FALSE)))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$15,3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$15,3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IF($A270="","",IF(VLOOKUP($A270,Spiele!$A$2:$D$15,3,FALSE)=$B270,"H","G"))</f>
        <v>H</v>
      </c>
      <c r="D270" s="17" t="str">
        <f>IF($B270="","",IF(VLOOKUP($A270,Spiele!$A$2:$F$15,3,FALSE)=$B270,VLOOKUP($A270,Spiele!$A$2:$F$15,4,FALSE),VLOOKUP($A270,Spiele!$A$2:$F$15,3,FALSE)))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$15,3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$15,3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IF($A271="","",IF(VLOOKUP($A271,Spiele!$A$2:$D$15,3,FALSE)=$B271,"H","G"))</f>
        <v>H</v>
      </c>
      <c r="D271" s="17" t="str">
        <f>IF($B271="","",IF(VLOOKUP($A271,Spiele!$A$2:$F$15,3,FALSE)=$B271,VLOOKUP($A271,Spiele!$A$2:$F$15,4,FALSE),VLOOKUP($A271,Spiele!$A$2:$F$15,3,FALSE)))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$15,3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$15,3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IF($A272="","",IF(VLOOKUP($A272,Spiele!$A$2:$D$15,3,FALSE)=$B272,"H","G"))</f>
        <v>H</v>
      </c>
      <c r="D272" s="17" t="str">
        <f>IF($B272="","",IF(VLOOKUP($A272,Spiele!$A$2:$F$15,3,FALSE)=$B272,VLOOKUP($A272,Spiele!$A$2:$F$15,4,FALSE),VLOOKUP($A272,Spiele!$A$2:$F$15,3,FALSE)))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$15,3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$15,3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IF($A273="","",IF(VLOOKUP($A273,Spiele!$A$2:$D$15,3,FALSE)=$B273,"H","G"))</f>
        <v>G</v>
      </c>
      <c r="D273" s="17" t="str">
        <f>IF($B273="","",IF(VLOOKUP($A273,Spiele!$A$2:$F$15,3,FALSE)=$B273,VLOOKUP($A273,Spiele!$A$2:$F$15,4,FALSE),VLOOKUP($A273,Spiele!$A$2:$F$15,3,FALSE)))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$15,3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$15,3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IF($A274="","",IF(VLOOKUP($A274,Spiele!$A$2:$D$15,3,FALSE)=$B274,"H","G"))</f>
        <v>G</v>
      </c>
      <c r="D274" s="17" t="str">
        <f>IF($B274="","",IF(VLOOKUP($A274,Spiele!$A$2:$F$15,3,FALSE)=$B274,VLOOKUP($A274,Spiele!$A$2:$F$15,4,FALSE),VLOOKUP($A274,Spiele!$A$2:$F$15,3,FALSE)))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$15,3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$15,3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IF($A275="","",IF(VLOOKUP($A275,Spiele!$A$2:$D$15,3,FALSE)=$B275,"H","G"))</f>
        <v>H</v>
      </c>
      <c r="D275" s="17" t="str">
        <f>IF($B275="","",IF(VLOOKUP($A275,Spiele!$A$2:$F$15,3,FALSE)=$B275,VLOOKUP($A275,Spiele!$A$2:$F$15,4,FALSE),VLOOKUP($A275,Spiele!$A$2:$F$15,3,FALSE)))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$15,3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$15,3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IF($A276="","",IF(VLOOKUP($A276,Spiele!$A$2:$D$15,3,FALSE)=$B276,"H","G"))</f>
        <v>H</v>
      </c>
      <c r="D276" s="17" t="str">
        <f>IF($B276="","",IF(VLOOKUP($A276,Spiele!$A$2:$F$15,3,FALSE)=$B276,VLOOKUP($A276,Spiele!$A$2:$F$15,4,FALSE),VLOOKUP($A276,Spiele!$A$2:$F$15,3,FALSE)))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$15,3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$15,3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IF($A277="","",IF(VLOOKUP($A277,Spiele!$A$2:$D$15,3,FALSE)=$B277,"H","G"))</f>
        <v>G</v>
      </c>
      <c r="D277" s="17" t="str">
        <f>IF($B277="","",IF(VLOOKUP($A277,Spiele!$A$2:$F$15,3,FALSE)=$B277,VLOOKUP($A277,Spiele!$A$2:$F$15,4,FALSE),VLOOKUP($A277,Spiele!$A$2:$F$15,3,FALSE)))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$15,3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$15,3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IF($A278="","",IF(VLOOKUP($A278,Spiele!$A$2:$D$15,3,FALSE)=$B278,"H","G"))</f>
        <v>G</v>
      </c>
      <c r="D278" s="17" t="str">
        <f>IF($B278="","",IF(VLOOKUP($A278,Spiele!$A$2:$F$15,3,FALSE)=$B278,VLOOKUP($A278,Spiele!$A$2:$F$15,4,FALSE),VLOOKUP($A278,Spiele!$A$2:$F$15,3,FALSE)))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$15,3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$15,3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11" si="18">IF(AN278=0,"",SQRT(($AF278-$AO278)^2+($AG278-$AP278)^2))</f>
        <v>0.5</v>
      </c>
      <c r="AR278" s="3">
        <v>0</v>
      </c>
      <c r="AU278" s="19" t="str">
        <f t="shared" ref="AU278:AU311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IF($A279="","",IF(VLOOKUP($A279,Spiele!$A$2:$D$15,3,FALSE)=$B279,"H","G"))</f>
        <v>G</v>
      </c>
      <c r="D279" s="17" t="str">
        <f>IF($B279="","",IF(VLOOKUP($A279,Spiele!$A$2:$F$15,3,FALSE)=$B279,VLOOKUP($A279,Spiele!$A$2:$F$15,4,FALSE),VLOOKUP($A279,Spiele!$A$2:$F$15,3,FALSE)))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$15,3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$15,3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IF($A280="","",IF(VLOOKUP($A280,Spiele!$A$2:$D$15,3,FALSE)=$B280,"H","G"))</f>
        <v>H</v>
      </c>
      <c r="D280" s="17" t="str">
        <f>IF($B280="","",IF(VLOOKUP($A280,Spiele!$A$2:$F$15,3,FALSE)=$B280,VLOOKUP($A280,Spiele!$A$2:$F$15,4,FALSE),VLOOKUP($A280,Spiele!$A$2:$F$15,3,FALSE)))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$15,3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$15,3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IF($A281="","",IF(VLOOKUP($A281,Spiele!$A$2:$D$15,3,FALSE)=$B281,"H","G"))</f>
        <v>G</v>
      </c>
      <c r="D281" s="17" t="str">
        <f>IF($B281="","",IF(VLOOKUP($A281,Spiele!$A$2:$F$15,3,FALSE)=$B281,VLOOKUP($A281,Spiele!$A$2:$F$15,4,FALSE),VLOOKUP($A281,Spiele!$A$2:$F$15,3,FALSE)))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$15,3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$15,3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IF($A282="","",IF(VLOOKUP($A282,Spiele!$A$2:$D$15,3,FALSE)=$B282,"H","G"))</f>
        <v>H</v>
      </c>
      <c r="D282" s="17" t="str">
        <f>IF($B282="","",IF(VLOOKUP($A282,Spiele!$A$2:$F$15,3,FALSE)=$B282,VLOOKUP($A282,Spiele!$A$2:$F$15,4,FALSE),VLOOKUP($A282,Spiele!$A$2:$F$15,3,FALSE)))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$15,3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$15,3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IF($A283="","",IF(VLOOKUP($A283,Spiele!$A$2:$D$15,3,FALSE)=$B283,"H","G"))</f>
        <v>G</v>
      </c>
      <c r="D283" s="17" t="str">
        <f>IF($B283="","",IF(VLOOKUP($A283,Spiele!$A$2:$F$15,3,FALSE)=$B283,VLOOKUP($A283,Spiele!$A$2:$F$15,4,FALSE),VLOOKUP($A283,Spiele!$A$2:$F$15,3,FALSE)))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$15,3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$15,3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IF($A284="","",IF(VLOOKUP($A284,Spiele!$A$2:$D$15,3,FALSE)=$B284,"H","G"))</f>
        <v>G</v>
      </c>
      <c r="D284" s="17" t="str">
        <f>IF($B284="","",IF(VLOOKUP($A284,Spiele!$A$2:$F$15,3,FALSE)=$B284,VLOOKUP($A284,Spiele!$A$2:$F$15,4,FALSE),VLOOKUP($A284,Spiele!$A$2:$F$15,3,FALSE)))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$15,3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$15,3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IF($A285="","",IF(VLOOKUP($A285,Spiele!$A$2:$D$15,3,FALSE)=$B285,"H","G"))</f>
        <v>G</v>
      </c>
      <c r="D285" s="17" t="str">
        <f>IF($B285="","",IF(VLOOKUP($A285,Spiele!$A$2:$F$15,3,FALSE)=$B285,VLOOKUP($A285,Spiele!$A$2:$F$15,4,FALSE),VLOOKUP($A285,Spiele!$A$2:$F$15,3,FALSE)))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$15,3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$15,3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IF($A286="","",IF(VLOOKUP($A286,Spiele!$A$2:$D$15,3,FALSE)=$B286,"H","G"))</f>
        <v>G</v>
      </c>
      <c r="D286" s="17" t="str">
        <f>IF($B286="","",IF(VLOOKUP($A286,Spiele!$A$2:$F$15,3,FALSE)=$B286,VLOOKUP($A286,Spiele!$A$2:$F$15,4,FALSE),VLOOKUP($A286,Spiele!$A$2:$F$15,3,FALSE)))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$15,3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$15,3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IF($A287="","",IF(VLOOKUP($A287,Spiele!$A$2:$D$15,3,FALSE)=$B287,"H","G"))</f>
        <v>H</v>
      </c>
      <c r="D287" s="17" t="str">
        <f>IF($B287="","",IF(VLOOKUP($A287,Spiele!$A$2:$F$15,3,FALSE)=$B287,VLOOKUP($A287,Spiele!$A$2:$F$15,4,FALSE),VLOOKUP($A287,Spiele!$A$2:$F$15,3,FALSE)))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$15,3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$15,3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IF($A288="","",IF(VLOOKUP($A288,Spiele!$A$2:$D$15,3,FALSE)=$B288,"H","G"))</f>
        <v>G</v>
      </c>
      <c r="D288" s="17" t="str">
        <f>IF($B288="","",IF(VLOOKUP($A288,Spiele!$A$2:$F$15,3,FALSE)=$B288,VLOOKUP($A288,Spiele!$A$2:$F$15,4,FALSE),VLOOKUP($A288,Spiele!$A$2:$F$15,3,FALSE)))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$15,3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$15,3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IF($A289="","",IF(VLOOKUP($A289,Spiele!$A$2:$D$15,3,FALSE)=$B289,"H","G"))</f>
        <v>H</v>
      </c>
      <c r="D289" s="17" t="str">
        <f>IF($B289="","",IF(VLOOKUP($A289,Spiele!$A$2:$F$15,3,FALSE)=$B289,VLOOKUP($A289,Spiele!$A$2:$F$15,4,FALSE),VLOOKUP($A289,Spiele!$A$2:$F$15,3,FALSE)))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$15,3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$15,3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IF($A290="","",IF(VLOOKUP($A290,Spiele!$A$2:$D$15,3,FALSE)=$B290,"H","G"))</f>
        <v>H</v>
      </c>
      <c r="D290" s="17" t="str">
        <f>IF($B290="","",IF(VLOOKUP($A290,Spiele!$A$2:$F$15,3,FALSE)=$B290,VLOOKUP($A290,Spiele!$A$2:$F$15,4,FALSE),VLOOKUP($A290,Spiele!$A$2:$F$15,3,FALSE)))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$15,3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$15,3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IF($A291="","",IF(VLOOKUP($A291,Spiele!$A$2:$D$15,3,FALSE)=$B291,"H","G"))</f>
        <v>G</v>
      </c>
      <c r="D291" s="17" t="str">
        <f>IF($B291="","",IF(VLOOKUP($A291,Spiele!$A$2:$F$15,3,FALSE)=$B291,VLOOKUP($A291,Spiele!$A$2:$F$15,4,FALSE),VLOOKUP($A291,Spiele!$A$2:$F$15,3,FALSE)))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$15,3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$15,3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IF($A292="","",IF(VLOOKUP($A292,Spiele!$A$2:$D$15,3,FALSE)=$B292,"H","G"))</f>
        <v>G</v>
      </c>
      <c r="D292" s="17" t="str">
        <f>IF($B292="","",IF(VLOOKUP($A292,Spiele!$A$2:$F$15,3,FALSE)=$B292,VLOOKUP($A292,Spiele!$A$2:$F$15,4,FALSE),VLOOKUP($A292,Spiele!$A$2:$F$15,3,FALSE)))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$15,3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$15,3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IF($A293="","",IF(VLOOKUP($A293,Spiele!$A$2:$D$15,3,FALSE)=$B293,"H","G"))</f>
        <v>H</v>
      </c>
      <c r="D293" s="17" t="str">
        <f>IF($B293="","",IF(VLOOKUP($A293,Spiele!$A$2:$F$15,3,FALSE)=$B293,VLOOKUP($A293,Spiele!$A$2:$F$15,4,FALSE),VLOOKUP($A293,Spiele!$A$2:$F$15,3,FALSE)))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$15,3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$15,3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IF($A294="","",IF(VLOOKUP($A294,Spiele!$A$2:$D$15,3,FALSE)=$B294,"H","G"))</f>
        <v>G</v>
      </c>
      <c r="D294" s="17" t="str">
        <f>IF($B294="","",IF(VLOOKUP($A294,Spiele!$A$2:$F$15,3,FALSE)=$B294,VLOOKUP($A294,Spiele!$A$2:$F$15,4,FALSE),VLOOKUP($A294,Spiele!$A$2:$F$15,3,FALSE)))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$15,3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$15,3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IF($A295="","",IF(VLOOKUP($A295,Spiele!$A$2:$D$15,3,FALSE)=$B295,"H","G"))</f>
        <v>H</v>
      </c>
      <c r="D295" s="17" t="str">
        <f>IF($B295="","",IF(VLOOKUP($A295,Spiele!$A$2:$F$15,3,FALSE)=$B295,VLOOKUP($A295,Spiele!$A$2:$F$15,4,FALSE),VLOOKUP($A295,Spiele!$A$2:$F$15,3,FALSE)))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$15,3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$15,3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IF($A296="","",IF(VLOOKUP($A296,Spiele!$A$2:$D$15,3,FALSE)=$B296,"H","G"))</f>
        <v>H</v>
      </c>
      <c r="D296" s="17" t="str">
        <f>IF($B296="","",IF(VLOOKUP($A296,Spiele!$A$2:$F$15,3,FALSE)=$B296,VLOOKUP($A296,Spiele!$A$2:$F$15,4,FALSE),VLOOKUP($A296,Spiele!$A$2:$F$15,3,FALSE)))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$15,3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$15,3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IF($A297="","",IF(VLOOKUP($A297,Spiele!$A$2:$D$15,3,FALSE)=$B297,"H","G"))</f>
        <v>H</v>
      </c>
      <c r="D297" s="17" t="str">
        <f>IF($B297="","",IF(VLOOKUP($A297,Spiele!$A$2:$F$15,3,FALSE)=$B297,VLOOKUP($A297,Spiele!$A$2:$F$15,4,FALSE),VLOOKUP($A297,Spiele!$A$2:$F$15,3,FALSE)))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$15,3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$15,3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IF($A298="","",IF(VLOOKUP($A298,Spiele!$A$2:$D$15,3,FALSE)=$B298,"H","G"))</f>
        <v>H</v>
      </c>
      <c r="D298" s="17" t="str">
        <f>IF($B298="","",IF(VLOOKUP($A298,Spiele!$A$2:$F$15,3,FALSE)=$B298,VLOOKUP($A298,Spiele!$A$2:$F$15,4,FALSE),VLOOKUP($A298,Spiele!$A$2:$F$15,3,FALSE)))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$15,3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$15,3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IF($A299="","",IF(VLOOKUP($A299,Spiele!$A$2:$D$15,3,FALSE)=$B299,"H","G"))</f>
        <v>H</v>
      </c>
      <c r="D299" s="17" t="str">
        <f>IF($B299="","",IF(VLOOKUP($A299,Spiele!$A$2:$F$15,3,FALSE)=$B299,VLOOKUP($A299,Spiele!$A$2:$F$15,4,FALSE),VLOOKUP($A299,Spiele!$A$2:$F$15,3,FALSE)))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$15,3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$15,3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IF($A300="","",IF(VLOOKUP($A300,Spiele!$A$2:$D$15,3,FALSE)=$B300,"H","G"))</f>
        <v>G</v>
      </c>
      <c r="D300" s="17" t="str">
        <f>IF($B300="","",IF(VLOOKUP($A300,Spiele!$A$2:$F$15,3,FALSE)=$B300,VLOOKUP($A300,Spiele!$A$2:$F$15,4,FALSE),VLOOKUP($A300,Spiele!$A$2:$F$15,3,FALSE)))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$15,3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$15,3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IF($A301="","",IF(VLOOKUP($A301,Spiele!$A$2:$D$15,3,FALSE)=$B301,"H","G"))</f>
        <v>G</v>
      </c>
      <c r="D301" s="17" t="str">
        <f>IF($B301="","",IF(VLOOKUP($A301,Spiele!$A$2:$F$15,3,FALSE)=$B301,VLOOKUP($A301,Spiele!$A$2:$F$15,4,FALSE),VLOOKUP($A301,Spiele!$A$2:$F$15,3,FALSE)))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$15,3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$15,3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IF($A302="","",IF(VLOOKUP($A302,Spiele!$A$2:$D$15,3,FALSE)=$B302,"H","G"))</f>
        <v>G</v>
      </c>
      <c r="D302" s="17" t="str">
        <f>IF($B302="","",IF(VLOOKUP($A302,Spiele!$A$2:$F$15,3,FALSE)=$B302,VLOOKUP($A302,Spiele!$A$2:$F$15,4,FALSE),VLOOKUP($A302,Spiele!$A$2:$F$15,3,FALSE)))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$15,3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$15,3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IF($A303="","",IF(VLOOKUP($A303,Spiele!$A$2:$D$15,3,FALSE)=$B303,"H","G"))</f>
        <v>H</v>
      </c>
      <c r="D303" s="17" t="str">
        <f>IF($B303="","",IF(VLOOKUP($A303,Spiele!$A$2:$F$15,3,FALSE)=$B303,VLOOKUP($A303,Spiele!$A$2:$F$15,4,FALSE),VLOOKUP($A303,Spiele!$A$2:$F$15,3,FALSE)))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$15,3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$15,3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IF($A304="","",IF(VLOOKUP($A304,Spiele!$A$2:$D$15,3,FALSE)=$B304,"H","G"))</f>
        <v>G</v>
      </c>
      <c r="D304" s="17" t="str">
        <f>IF($B304="","",IF(VLOOKUP($A304,Spiele!$A$2:$F$15,3,FALSE)=$B304,VLOOKUP($A304,Spiele!$A$2:$F$15,4,FALSE),VLOOKUP($A304,Spiele!$A$2:$F$15,3,FALSE)))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$15,3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$15,3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IF($A305="","",IF(VLOOKUP($A305,Spiele!$A$2:$D$15,3,FALSE)=$B305,"H","G"))</f>
        <v>G</v>
      </c>
      <c r="D305" s="17" t="str">
        <f>IF($B305="","",IF(VLOOKUP($A305,Spiele!$A$2:$F$15,3,FALSE)=$B305,VLOOKUP($A305,Spiele!$A$2:$F$15,4,FALSE),VLOOKUP($A305,Spiele!$A$2:$F$15,3,FALSE)))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$15,3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$15,3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IF($A306="","",IF(VLOOKUP($A306,Spiele!$A$2:$D$15,3,FALSE)=$B306,"H","G"))</f>
        <v>H</v>
      </c>
      <c r="D306" s="17" t="str">
        <f>IF($B306="","",IF(VLOOKUP($A306,Spiele!$A$2:$F$15,3,FALSE)=$B306,VLOOKUP($A306,Spiele!$A$2:$F$15,4,FALSE),VLOOKUP($A306,Spiele!$A$2:$F$15,3,FALSE)))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$15,3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$15,3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IF($A307="","",IF(VLOOKUP($A307,Spiele!$A$2:$D$15,3,FALSE)=$B307,"H","G"))</f>
        <v>G</v>
      </c>
      <c r="D307" s="17" t="str">
        <f>IF($B307="","",IF(VLOOKUP($A307,Spiele!$A$2:$F$15,3,FALSE)=$B307,VLOOKUP($A307,Spiele!$A$2:$F$15,4,FALSE),VLOOKUP($A307,Spiele!$A$2:$F$15,3,FALSE)))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$15,3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$15,3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IF($A308="","",IF(VLOOKUP($A308,Spiele!$A$2:$D$15,3,FALSE)=$B308,"H","G"))</f>
        <v>H</v>
      </c>
      <c r="D308" s="17" t="str">
        <f>IF($B308="","",IF(VLOOKUP($A308,Spiele!$A$2:$F$15,3,FALSE)=$B308,VLOOKUP($A308,Spiele!$A$2:$F$15,4,FALSE),VLOOKUP($A308,Spiele!$A$2:$F$15,3,FALSE)))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$15,3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$15,3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IF($A309="","",IF(VLOOKUP($A309,Spiele!$A$2:$D$15,3,FALSE)=$B309,"H","G"))</f>
        <v>H</v>
      </c>
      <c r="D309" s="17" t="str">
        <f>IF($B309="","",IF(VLOOKUP($A309,Spiele!$A$2:$F$15,3,FALSE)=$B309,VLOOKUP($A309,Spiele!$A$2:$F$15,4,FALSE),VLOOKUP($A309,Spiele!$A$2:$F$15,3,FALSE)))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$15,3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$15,3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IF($A310="","",IF(VLOOKUP($A310,Spiele!$A$2:$D$15,3,FALSE)=$B310,"H","G"))</f>
        <v>G</v>
      </c>
      <c r="D310" s="17" t="str">
        <f>IF($B310="","",IF(VLOOKUP($A310,Spiele!$A$2:$F$15,3,FALSE)=$B310,VLOOKUP($A310,Spiele!$A$2:$F$15,4,FALSE),VLOOKUP($A310,Spiele!$A$2:$F$15,3,FALSE)))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$15,3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$15,3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IF($A311="","",IF(VLOOKUP($A311,Spiele!$A$2:$D$15,3,FALSE)=$B311,"H","G"))</f>
        <v>G</v>
      </c>
      <c r="D311" s="17" t="str">
        <f>IF($B311="","",IF(VLOOKUP($A311,Spiele!$A$2:$F$15,3,FALSE)=$B311,VLOOKUP($A311,Spiele!$A$2:$F$15,4,FALSE),VLOOKUP($A311,Spiele!$A$2:$F$15,3,FALSE)))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$15,3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$15,3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13</v>
      </c>
      <c r="B312" s="2" t="s">
        <v>76</v>
      </c>
      <c r="C312" s="17" t="str">
        <f>IF($A312="","",IF(VLOOKUP($A312,Spiele!$A$2:$D$15,3,FALSE)=$B312,"H","G"))</f>
        <v>G</v>
      </c>
      <c r="D312" s="17" t="str">
        <f>IF($B312="","",IF(VLOOKUP($A312,Spiele!$A$2:$F$15,3,FALSE)=$B312,VLOOKUP($A312,Spiele!$A$2:$F$15,4,FALSE),VLOOKUP($A312,Spiele!$A$2:$F$15,3,FALSE)))</f>
        <v>FCN</v>
      </c>
      <c r="E312" s="18">
        <f>IF(Abschlüsse[[#This Row],[Ergeb]]="ET",0,COUNTIFS($A$2:$A312,$A312,$B$2:$B312,$B312,$L$2:$L312,"&lt;&gt;ET"))</f>
        <v>1</v>
      </c>
      <c r="F312" s="11">
        <v>7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$15,3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/>
      </c>
      <c r="J312" s="18">
        <f>_xlfn.IFNA(IF(VLOOKUP($A312,Spiele!$A$2:$D$15,3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20</v>
      </c>
      <c r="M312" s="2" t="s">
        <v>163</v>
      </c>
      <c r="N312" s="2" t="s">
        <v>158</v>
      </c>
      <c r="O312" s="17"/>
      <c r="AA312" s="2" t="s">
        <v>142</v>
      </c>
      <c r="AB312" s="17" t="s">
        <v>149</v>
      </c>
      <c r="AC312" s="14" t="s">
        <v>150</v>
      </c>
      <c r="AD312" s="14" t="s">
        <v>156</v>
      </c>
      <c r="AE312" s="18"/>
      <c r="AF312" s="13">
        <v>-2</v>
      </c>
      <c r="AG312" s="13">
        <v>17.5</v>
      </c>
      <c r="AH312" s="19">
        <f t="shared" ref="AH312:AH340" si="20">IF($L312="ET","",IF($AF312&gt;3.66,SQRT($AG312^2+($AF312-(7.32/2))^2),IF($AF312&lt;-3.66,SQRT($AG312^2+($AF312+(7.32/2))^2),$AG312)))</f>
        <v>17.5</v>
      </c>
      <c r="AI312" s="19">
        <f t="shared" ref="AI312:AI340" si="21">IF($L312="ET","",IF(DEGREES(ATAN((7.32*$AG312)/($AG312^2+$AF312^2-(7.32/2)^2)))&lt;=0,180+DEGREES(ATAN((7.32*$AG312)/($AG312^2+$AF312^2-(7.32/2)^2))),DEGREES(ATAN((7.32*$AG312)/($AG312^2+$AF312^2-(7.32/2)^2)))))</f>
        <v>23.341389828691302</v>
      </c>
      <c r="AJ312" s="2" t="s">
        <v>146</v>
      </c>
      <c r="AK312" s="13">
        <v>-0.5</v>
      </c>
      <c r="AL312" s="13">
        <v>0.5</v>
      </c>
      <c r="AM312" s="19">
        <f>IF(Abschlüsse[[#This Row],[Ergeb]]="ET","",SQRT(($AF312-$AK312)^2+($AG312-$AL312)^2))</f>
        <v>17.066048165876012</v>
      </c>
      <c r="AN312" s="3">
        <v>1</v>
      </c>
      <c r="AO312" s="13">
        <v>-2.5</v>
      </c>
      <c r="AP312" s="13">
        <v>17</v>
      </c>
      <c r="AQ312" s="19">
        <f t="shared" ref="AQ312:AQ340" si="22">IF(AN312=0,"",SQRT(($AF312-$AO312)^2+($AG312-$AP312)^2))</f>
        <v>0.70710678118654757</v>
      </c>
      <c r="AR312" s="3">
        <v>2</v>
      </c>
      <c r="AS312" s="13">
        <v>-2</v>
      </c>
      <c r="AT312" s="13">
        <v>14</v>
      </c>
      <c r="AU312" s="19">
        <f t="shared" ref="AU312:AU340" si="23">IF(AR312=0,"",SQRT(($AF312-$AS312)^2+($AG312-$AT312)^2))</f>
        <v>3.5</v>
      </c>
    </row>
    <row r="313" spans="1:47" ht="25.05" customHeight="1">
      <c r="A313" s="3">
        <v>13</v>
      </c>
      <c r="B313" s="2" t="s">
        <v>76</v>
      </c>
      <c r="C313" s="17" t="str">
        <f>IF($A313="","",IF(VLOOKUP($A313,Spiele!$A$2:$D$15,3,FALSE)=$B313,"H","G"))</f>
        <v>G</v>
      </c>
      <c r="D313" s="17" t="str">
        <f>IF($B313="","",IF(VLOOKUP($A313,Spiele!$A$2:$F$15,3,FALSE)=$B313,VLOOKUP($A313,Spiele!$A$2:$F$15,4,FALSE),VLOOKUP($A313,Spiele!$A$2:$F$15,3,FALSE)))</f>
        <v>FCN</v>
      </c>
      <c r="E313" s="18">
        <f>IF(Abschlüsse[[#This Row],[Ergeb]]="ET",0,COUNTIFS($A$2:$A313,$A313,$B$2:$B313,$B313,$L$2:$L313,"&lt;&gt;ET"))</f>
        <v>2</v>
      </c>
      <c r="F313" s="11">
        <v>7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$15,3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/>
      </c>
      <c r="J313" s="18">
        <f>_xlfn.IFNA(IF(VLOOKUP($A313,Spiele!$A$2:$D$15,3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0</v>
      </c>
      <c r="K313" s="3">
        <v>1</v>
      </c>
      <c r="L313" s="17" t="s">
        <v>19</v>
      </c>
      <c r="M313" s="2" t="s">
        <v>163</v>
      </c>
      <c r="N313" s="2" t="s">
        <v>165</v>
      </c>
      <c r="O313" s="17"/>
      <c r="AA313" s="2" t="s">
        <v>154</v>
      </c>
      <c r="AB313" s="17" t="s">
        <v>143</v>
      </c>
      <c r="AC313" s="14" t="s">
        <v>161</v>
      </c>
      <c r="AD313" s="14" t="s">
        <v>162</v>
      </c>
      <c r="AE313" s="18"/>
      <c r="AF313" s="13">
        <v>-12</v>
      </c>
      <c r="AG313" s="13">
        <v>15.5</v>
      </c>
      <c r="AH313" s="19">
        <f t="shared" si="20"/>
        <v>17.601295406872758</v>
      </c>
      <c r="AI313" s="19">
        <f t="shared" si="21"/>
        <v>17.011080950867086</v>
      </c>
      <c r="AJ313" s="2" t="s">
        <v>146</v>
      </c>
      <c r="AK313" s="13">
        <v>-2</v>
      </c>
      <c r="AL313" s="13">
        <v>1</v>
      </c>
      <c r="AM313" s="19">
        <f>IF(Abschlüsse[[#This Row],[Ergeb]]="ET","",SQRT(($AF313-$AK313)^2+($AG313-$AL313)^2))</f>
        <v>17.613914953808536</v>
      </c>
      <c r="AN313" s="3">
        <v>0</v>
      </c>
      <c r="AO313" s="13"/>
      <c r="AP313" s="13"/>
      <c r="AQ313" s="19" t="str">
        <f t="shared" si="22"/>
        <v/>
      </c>
      <c r="AR313" s="3">
        <v>2</v>
      </c>
      <c r="AS313" s="13">
        <v>-10.5</v>
      </c>
      <c r="AT313" s="13">
        <v>13.5</v>
      </c>
      <c r="AU313" s="19">
        <f t="shared" si="23"/>
        <v>2.5</v>
      </c>
    </row>
    <row r="314" spans="1:47" ht="25.05" customHeight="1">
      <c r="A314" s="3">
        <v>13</v>
      </c>
      <c r="B314" s="2" t="s">
        <v>8</v>
      </c>
      <c r="C314" s="17" t="str">
        <f>IF($A314="","",IF(VLOOKUP($A314,Spiele!$A$2:$D$15,3,FALSE)=$B314,"H","G"))</f>
        <v>H</v>
      </c>
      <c r="D314" s="17" t="str">
        <f>IF($B314="","",IF(VLOOKUP($A314,Spiele!$A$2:$F$15,3,FALSE)=$B314,VLOOKUP($A314,Spiele!$A$2:$F$15,4,FALSE),VLOOKUP($A314,Spiele!$A$2:$F$15,3,FALSE)))</f>
        <v>60M</v>
      </c>
      <c r="E314" s="18">
        <f>IF(Abschlüsse[[#This Row],[Ergeb]]="ET",0,COUNTIFS($A$2:$A314,$A314,$B$2:$B314,$B314,$L$2:$L314,"&lt;&gt;ET"))</f>
        <v>1</v>
      </c>
      <c r="F314" s="11">
        <v>8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$15,3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$15,3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0</v>
      </c>
      <c r="K314" s="3">
        <v>2</v>
      </c>
      <c r="L314" s="17" t="s">
        <v>19</v>
      </c>
      <c r="M314" s="2" t="s">
        <v>163</v>
      </c>
      <c r="N314" s="2" t="s">
        <v>164</v>
      </c>
      <c r="O314" s="17">
        <v>8</v>
      </c>
      <c r="AA314" s="2" t="s">
        <v>151</v>
      </c>
      <c r="AB314" s="17" t="s">
        <v>143</v>
      </c>
      <c r="AC314" s="14" t="s">
        <v>150</v>
      </c>
      <c r="AD314" s="14" t="s">
        <v>156</v>
      </c>
      <c r="AE314" s="18">
        <v>9</v>
      </c>
      <c r="AF314" s="13">
        <v>-3.5</v>
      </c>
      <c r="AG314" s="13">
        <v>11.5</v>
      </c>
      <c r="AH314" s="19">
        <f t="shared" si="20"/>
        <v>11.5</v>
      </c>
      <c r="AI314" s="19">
        <f t="shared" si="21"/>
        <v>32.703859314557576</v>
      </c>
      <c r="AJ314" s="2" t="s">
        <v>146</v>
      </c>
      <c r="AK314" s="13">
        <v>-1.5</v>
      </c>
      <c r="AL314" s="13">
        <v>3.5</v>
      </c>
      <c r="AM314" s="19">
        <f>IF(Abschlüsse[[#This Row],[Ergeb]]="ET","",SQRT(($AF314-$AK314)^2+($AG314-$AL314)^2))</f>
        <v>8.2462112512353212</v>
      </c>
      <c r="AN314" s="3">
        <v>0</v>
      </c>
      <c r="AO314" s="13"/>
      <c r="AP314" s="13"/>
      <c r="AQ314" s="19" t="str">
        <f t="shared" si="22"/>
        <v/>
      </c>
      <c r="AR314" s="3">
        <v>1</v>
      </c>
      <c r="AS314" s="13">
        <v>-3.5</v>
      </c>
      <c r="AT314" s="13">
        <v>9.5</v>
      </c>
      <c r="AU314" s="19">
        <f t="shared" si="23"/>
        <v>2</v>
      </c>
    </row>
    <row r="315" spans="1:47" ht="25.05" customHeight="1">
      <c r="A315" s="3">
        <v>13</v>
      </c>
      <c r="B315" s="2" t="s">
        <v>76</v>
      </c>
      <c r="C315" s="17" t="str">
        <f>IF($A315="","",IF(VLOOKUP($A315,Spiele!$A$2:$D$15,3,FALSE)=$B315,"H","G"))</f>
        <v>G</v>
      </c>
      <c r="D315" s="17" t="str">
        <f>IF($B315="","",IF(VLOOKUP($A315,Spiele!$A$2:$F$15,3,FALSE)=$B315,VLOOKUP($A315,Spiele!$A$2:$F$15,4,FALSE),VLOOKUP($A315,Spiele!$A$2:$F$15,3,FALSE)))</f>
        <v>FCN</v>
      </c>
      <c r="E315" s="18">
        <f>IF(Abschlüsse[[#This Row],[Ergeb]]="ET",0,COUNTIFS($A$2:$A315,$A315,$B$2:$B315,$B315,$L$2:$L315,"&lt;&gt;ET"))</f>
        <v>3</v>
      </c>
      <c r="F315" s="11">
        <v>9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$15,3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/>
      </c>
      <c r="J315" s="18">
        <f>_xlfn.IFNA(IF(VLOOKUP($A315,Spiele!$A$2:$D$15,3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0</v>
      </c>
      <c r="K315" s="3">
        <v>3</v>
      </c>
      <c r="L315" s="17" t="s">
        <v>18</v>
      </c>
      <c r="M315" s="2" t="s">
        <v>147</v>
      </c>
      <c r="N315" s="2" t="s">
        <v>158</v>
      </c>
      <c r="O315" s="17"/>
      <c r="AA315" s="2" t="s">
        <v>154</v>
      </c>
      <c r="AB315" s="17" t="s">
        <v>143</v>
      </c>
      <c r="AC315" s="14" t="s">
        <v>144</v>
      </c>
      <c r="AD315" s="14" t="s">
        <v>156</v>
      </c>
      <c r="AE315" s="18"/>
      <c r="AF315" s="13">
        <v>-0.5</v>
      </c>
      <c r="AG315" s="13">
        <v>15.5</v>
      </c>
      <c r="AH315" s="19">
        <f t="shared" si="20"/>
        <v>15.5</v>
      </c>
      <c r="AI315" s="19">
        <f t="shared" si="21"/>
        <v>26.546439371443093</v>
      </c>
      <c r="AJ315" s="2" t="s">
        <v>146</v>
      </c>
      <c r="AK315" s="13">
        <v>0.5</v>
      </c>
      <c r="AL315" s="13">
        <v>0.5</v>
      </c>
      <c r="AM315" s="19">
        <f>IF(Abschlüsse[[#This Row],[Ergeb]]="ET","",SQRT(($AF315-$AK315)^2+($AG315-$AL315)^2))</f>
        <v>15.033296378372908</v>
      </c>
      <c r="AN315" s="3">
        <v>0</v>
      </c>
      <c r="AO315" s="13"/>
      <c r="AP315" s="13"/>
      <c r="AQ315" s="19" t="str">
        <f t="shared" si="22"/>
        <v/>
      </c>
      <c r="AR315" s="3">
        <v>2</v>
      </c>
      <c r="AS315" s="13">
        <v>-1</v>
      </c>
      <c r="AT315" s="13">
        <v>9.5</v>
      </c>
      <c r="AU315" s="19">
        <f t="shared" si="23"/>
        <v>6.0207972893961479</v>
      </c>
    </row>
    <row r="316" spans="1:47" ht="25.05" customHeight="1">
      <c r="A316" s="3">
        <v>13</v>
      </c>
      <c r="B316" s="2" t="s">
        <v>8</v>
      </c>
      <c r="C316" s="17" t="str">
        <f>IF($A316="","",IF(VLOOKUP($A316,Spiele!$A$2:$D$15,3,FALSE)=$B316,"H","G"))</f>
        <v>H</v>
      </c>
      <c r="D316" s="17" t="str">
        <f>IF($B316="","",IF(VLOOKUP($A316,Spiele!$A$2:$F$15,3,FALSE)=$B316,VLOOKUP($A316,Spiele!$A$2:$F$15,4,FALSE),VLOOKUP($A316,Spiele!$A$2:$F$15,3,FALSE)))</f>
        <v>60M</v>
      </c>
      <c r="E316" s="18">
        <f>IF(Abschlüsse[[#This Row],[Ergeb]]="ET",0,COUNTIFS($A$2:$A316,$A316,$B$2:$B316,$B316,$L$2:$L316,"&lt;&gt;ET"))</f>
        <v>2</v>
      </c>
      <c r="F316" s="11">
        <v>10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$15,3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$15,3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0</v>
      </c>
      <c r="K316" s="3">
        <v>4</v>
      </c>
      <c r="L316" s="17" t="s">
        <v>19</v>
      </c>
      <c r="M316" s="2" t="s">
        <v>163</v>
      </c>
      <c r="N316" s="2" t="s">
        <v>152</v>
      </c>
      <c r="O316" s="17">
        <v>9</v>
      </c>
      <c r="P316" s="2">
        <v>6</v>
      </c>
      <c r="Q316" s="2">
        <v>7</v>
      </c>
      <c r="R316" s="2">
        <v>23</v>
      </c>
      <c r="AA316" s="2" t="s">
        <v>151</v>
      </c>
      <c r="AB316" s="17" t="s">
        <v>143</v>
      </c>
      <c r="AC316" s="14" t="s">
        <v>150</v>
      </c>
      <c r="AD316" s="14" t="s">
        <v>145</v>
      </c>
      <c r="AE316" s="18">
        <v>7</v>
      </c>
      <c r="AF316" s="13">
        <v>15</v>
      </c>
      <c r="AG316" s="13">
        <v>7.5</v>
      </c>
      <c r="AH316" s="19">
        <f t="shared" si="20"/>
        <v>13.595793467098565</v>
      </c>
      <c r="AI316" s="19">
        <f t="shared" si="21"/>
        <v>11.583042211219654</v>
      </c>
      <c r="AJ316" s="2" t="s">
        <v>146</v>
      </c>
      <c r="AK316" s="13">
        <v>4</v>
      </c>
      <c r="AL316" s="13">
        <v>1.5</v>
      </c>
      <c r="AM316" s="19">
        <f>IF(Abschlüsse[[#This Row],[Ergeb]]="ET","",SQRT(($AF316-$AK316)^2+($AG316-$AL316)^2))</f>
        <v>12.529964086141668</v>
      </c>
      <c r="AN316" s="3">
        <v>1</v>
      </c>
      <c r="AO316" s="13">
        <v>13.5</v>
      </c>
      <c r="AP316" s="13">
        <v>8.5</v>
      </c>
      <c r="AQ316" s="19">
        <f t="shared" si="22"/>
        <v>1.8027756377319946</v>
      </c>
      <c r="AR316" s="3">
        <v>0</v>
      </c>
      <c r="AU316" s="19" t="str">
        <f t="shared" si="23"/>
        <v/>
      </c>
    </row>
    <row r="317" spans="1:47" ht="25.05" customHeight="1">
      <c r="A317" s="3">
        <v>13</v>
      </c>
      <c r="B317" s="2" t="s">
        <v>76</v>
      </c>
      <c r="C317" s="17" t="str">
        <f>IF($A317="","",IF(VLOOKUP($A317,Spiele!$A$2:$D$15,3,FALSE)=$B317,"H","G"))</f>
        <v>G</v>
      </c>
      <c r="D317" s="17" t="str">
        <f>IF($B317="","",IF(VLOOKUP($A317,Spiele!$A$2:$F$15,3,FALSE)=$B317,VLOOKUP($A317,Spiele!$A$2:$F$15,4,FALSE),VLOOKUP($A317,Spiele!$A$2:$F$15,3,FALSE)))</f>
        <v>FCN</v>
      </c>
      <c r="E317" s="18">
        <f>IF(Abschlüsse[[#This Row],[Ergeb]]="ET",0,COUNTIFS($A$2:$A317,$A317,$B$2:$B317,$B317,$L$2:$L317,"&lt;&gt;ET"))</f>
        <v>4</v>
      </c>
      <c r="F317" s="11">
        <v>14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$15,3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$15,3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0</v>
      </c>
      <c r="K317" s="3">
        <v>5</v>
      </c>
      <c r="L317" s="17" t="s">
        <v>20</v>
      </c>
      <c r="M317" s="2" t="s">
        <v>147</v>
      </c>
      <c r="N317" s="2" t="s">
        <v>153</v>
      </c>
      <c r="O317" s="17"/>
      <c r="AA317" s="2" t="s">
        <v>154</v>
      </c>
      <c r="AB317" s="17" t="s">
        <v>160</v>
      </c>
      <c r="AC317" s="14" t="s">
        <v>161</v>
      </c>
      <c r="AD317" s="14" t="s">
        <v>156</v>
      </c>
      <c r="AE317" s="18"/>
      <c r="AF317" s="13">
        <v>7.5</v>
      </c>
      <c r="AG317" s="13">
        <v>13</v>
      </c>
      <c r="AH317" s="19">
        <f t="shared" si="20"/>
        <v>13.555279414309393</v>
      </c>
      <c r="AI317" s="19">
        <f t="shared" si="21"/>
        <v>24.188491715950388</v>
      </c>
      <c r="AJ317" s="2" t="s">
        <v>146</v>
      </c>
      <c r="AK317" s="13">
        <v>1</v>
      </c>
      <c r="AL317" s="13">
        <v>0.5</v>
      </c>
      <c r="AM317" s="19">
        <f>IF(Abschlüsse[[#This Row],[Ergeb]]="ET","",SQRT(($AF317-$AK317)^2+($AG317-$AL317)^2))</f>
        <v>14.089002803605371</v>
      </c>
      <c r="AN317" s="3">
        <v>0</v>
      </c>
      <c r="AO317" s="13"/>
      <c r="AP317" s="13"/>
      <c r="AQ317" s="19" t="str">
        <f t="shared" si="22"/>
        <v/>
      </c>
      <c r="AR317" s="3">
        <v>2</v>
      </c>
      <c r="AS317" s="13">
        <v>7</v>
      </c>
      <c r="AT317" s="13">
        <v>12</v>
      </c>
      <c r="AU317" s="19">
        <f t="shared" si="23"/>
        <v>1.1180339887498949</v>
      </c>
    </row>
    <row r="318" spans="1:47" ht="25.05" customHeight="1">
      <c r="A318" s="3">
        <v>13</v>
      </c>
      <c r="B318" s="2" t="s">
        <v>76</v>
      </c>
      <c r="C318" s="17" t="str">
        <f>IF($A318="","",IF(VLOOKUP($A318,Spiele!$A$2:$D$15,3,FALSE)=$B318,"H","G"))</f>
        <v>G</v>
      </c>
      <c r="D318" s="17" t="str">
        <f>IF($B318="","",IF(VLOOKUP($A318,Spiele!$A$2:$F$15,3,FALSE)=$B318,VLOOKUP($A318,Spiele!$A$2:$F$15,4,FALSE),VLOOKUP($A318,Spiele!$A$2:$F$15,3,FALSE)))</f>
        <v>FCN</v>
      </c>
      <c r="E318" s="18">
        <f>IF(Abschlüsse[[#This Row],[Ergeb]]="ET",0,COUNTIFS($A$2:$A318,$A318,$B$2:$B318,$B318,$L$2:$L318,"&lt;&gt;ET"))</f>
        <v>5</v>
      </c>
      <c r="F318" s="11">
        <v>18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$15,3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/>
      </c>
      <c r="J318" s="18">
        <f>_xlfn.IFNA(IF(VLOOKUP($A318,Spiele!$A$2:$D$15,3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0</v>
      </c>
      <c r="K318" s="3">
        <v>6</v>
      </c>
      <c r="L318" s="17" t="s">
        <v>20</v>
      </c>
      <c r="M318" s="2" t="s">
        <v>163</v>
      </c>
      <c r="N318" s="2" t="s">
        <v>3</v>
      </c>
      <c r="O318" s="17"/>
      <c r="AA318" s="2" t="s">
        <v>141</v>
      </c>
      <c r="AB318" s="17" t="s">
        <v>149</v>
      </c>
      <c r="AC318" s="14" t="s">
        <v>150</v>
      </c>
      <c r="AD318" s="14" t="s">
        <v>145</v>
      </c>
      <c r="AE318" s="18"/>
      <c r="AF318" s="13">
        <v>1</v>
      </c>
      <c r="AG318" s="13">
        <v>19</v>
      </c>
      <c r="AH318" s="19">
        <f t="shared" si="20"/>
        <v>19</v>
      </c>
      <c r="AI318" s="19">
        <f t="shared" si="21"/>
        <v>21.750134253188115</v>
      </c>
      <c r="AJ318" s="2" t="s">
        <v>146</v>
      </c>
      <c r="AK318" s="13">
        <v>0</v>
      </c>
      <c r="AL318" s="13">
        <v>0.5</v>
      </c>
      <c r="AM318" s="19">
        <f>IF(Abschlüsse[[#This Row],[Ergeb]]="ET","",SQRT(($AF318-$AK318)^2+($AG318-$AL318)^2))</f>
        <v>18.527007313648905</v>
      </c>
      <c r="AN318" s="3">
        <v>1</v>
      </c>
      <c r="AO318" s="13">
        <v>-1.5</v>
      </c>
      <c r="AP318" s="13">
        <v>18</v>
      </c>
      <c r="AQ318" s="19">
        <f t="shared" si="22"/>
        <v>2.6925824035672519</v>
      </c>
      <c r="AR318" s="3">
        <v>2</v>
      </c>
      <c r="AS318" s="13">
        <v>1</v>
      </c>
      <c r="AT318" s="13">
        <v>14</v>
      </c>
      <c r="AU318" s="19">
        <f t="shared" si="23"/>
        <v>5</v>
      </c>
    </row>
    <row r="319" spans="1:47" ht="25.05" customHeight="1">
      <c r="A319" s="3">
        <v>13</v>
      </c>
      <c r="B319" s="2" t="s">
        <v>76</v>
      </c>
      <c r="C319" s="17" t="str">
        <f>IF($A319="","",IF(VLOOKUP($A319,Spiele!$A$2:$D$15,3,FALSE)=$B319,"H","G"))</f>
        <v>G</v>
      </c>
      <c r="D319" s="17" t="str">
        <f>IF($B319="","",IF(VLOOKUP($A319,Spiele!$A$2:$F$15,3,FALSE)=$B319,VLOOKUP($A319,Spiele!$A$2:$F$15,4,FALSE),VLOOKUP($A319,Spiele!$A$2:$F$15,3,FALSE)))</f>
        <v>FCN</v>
      </c>
      <c r="E319" s="18">
        <f>IF(Abschlüsse[[#This Row],[Ergeb]]="ET",0,COUNTIFS($A$2:$A319,$A319,$B$2:$B319,$B319,$L$2:$L319,"&lt;&gt;ET"))</f>
        <v>6</v>
      </c>
      <c r="F319" s="11">
        <v>18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$15,3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$15,3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6</v>
      </c>
      <c r="L319" s="17" t="s">
        <v>20</v>
      </c>
      <c r="M319" s="2" t="s">
        <v>163</v>
      </c>
      <c r="N319" s="2" t="s">
        <v>3</v>
      </c>
      <c r="O319" s="17"/>
      <c r="AA319" s="2" t="s">
        <v>142</v>
      </c>
      <c r="AB319" s="17" t="s">
        <v>149</v>
      </c>
      <c r="AC319" s="14" t="s">
        <v>150</v>
      </c>
      <c r="AD319" s="14" t="s">
        <v>145</v>
      </c>
      <c r="AE319" s="18"/>
      <c r="AF319" s="13">
        <v>6.5</v>
      </c>
      <c r="AG319" s="13">
        <v>14.5</v>
      </c>
      <c r="AH319" s="19">
        <f t="shared" si="20"/>
        <v>14.775506759498978</v>
      </c>
      <c r="AI319" s="19">
        <f t="shared" si="21"/>
        <v>23.936746455580142</v>
      </c>
      <c r="AJ319" s="2" t="s">
        <v>146</v>
      </c>
      <c r="AK319" s="13">
        <v>0.5</v>
      </c>
      <c r="AL319" s="13">
        <v>0.5</v>
      </c>
      <c r="AM319" s="19">
        <f>IF(Abschlüsse[[#This Row],[Ergeb]]="ET","",SQRT(($AF319-$AK319)^2+($AG319-$AL319)^2))</f>
        <v>15.231546211727817</v>
      </c>
      <c r="AN319" s="3">
        <v>2</v>
      </c>
      <c r="AO319" s="13">
        <v>3</v>
      </c>
      <c r="AP319" s="13">
        <v>14.5</v>
      </c>
      <c r="AQ319" s="19">
        <f t="shared" si="22"/>
        <v>3.5</v>
      </c>
      <c r="AR319" s="3">
        <v>2</v>
      </c>
      <c r="AS319" s="13">
        <v>6</v>
      </c>
      <c r="AT319" s="13">
        <v>13.5</v>
      </c>
      <c r="AU319" s="19">
        <f t="shared" si="23"/>
        <v>1.1180339887498949</v>
      </c>
    </row>
    <row r="320" spans="1:47" ht="25.05" customHeight="1">
      <c r="A320" s="3">
        <v>13</v>
      </c>
      <c r="B320" s="2" t="s">
        <v>8</v>
      </c>
      <c r="C320" s="17" t="str">
        <f>IF($A320="","",IF(VLOOKUP($A320,Spiele!$A$2:$D$15,3,FALSE)=$B320,"H","G"))</f>
        <v>H</v>
      </c>
      <c r="D320" s="17" t="str">
        <f>IF($B320="","",IF(VLOOKUP($A320,Spiele!$A$2:$F$15,3,FALSE)=$B320,VLOOKUP($A320,Spiele!$A$2:$F$15,4,FALSE),VLOOKUP($A320,Spiele!$A$2:$F$15,3,FALSE)))</f>
        <v>60M</v>
      </c>
      <c r="E320" s="18">
        <f>IF(Abschlüsse[[#This Row],[Ergeb]]="ET",0,COUNTIFS($A$2:$A320,$A320,$B$2:$B320,$B320,$L$2:$L320,"&lt;&gt;ET"))</f>
        <v>3</v>
      </c>
      <c r="F320" s="11">
        <v>18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$15,3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/>
      </c>
      <c r="J320" s="18">
        <f>_xlfn.IFNA(IF(VLOOKUP($A320,Spiele!$A$2:$D$15,3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7</v>
      </c>
      <c r="L320" s="17" t="s">
        <v>19</v>
      </c>
      <c r="M320" s="2" t="s">
        <v>163</v>
      </c>
      <c r="N320" s="2" t="s">
        <v>158</v>
      </c>
      <c r="O320" s="17">
        <v>7</v>
      </c>
      <c r="AA320" s="2" t="s">
        <v>151</v>
      </c>
      <c r="AB320" s="17" t="s">
        <v>149</v>
      </c>
      <c r="AC320" s="14" t="s">
        <v>150</v>
      </c>
      <c r="AD320" s="14" t="s">
        <v>145</v>
      </c>
      <c r="AE320" s="18">
        <v>8</v>
      </c>
      <c r="AF320" s="13">
        <v>4.5</v>
      </c>
      <c r="AG320" s="13">
        <v>14.5</v>
      </c>
      <c r="AH320" s="19">
        <f t="shared" si="20"/>
        <v>14.524310654898565</v>
      </c>
      <c r="AI320" s="19">
        <f t="shared" si="21"/>
        <v>26.053510457112758</v>
      </c>
      <c r="AJ320" s="2" t="s">
        <v>146</v>
      </c>
      <c r="AK320" s="13">
        <v>1.5</v>
      </c>
      <c r="AL320" s="13">
        <v>3.5</v>
      </c>
      <c r="AM320" s="19">
        <f>IF(Abschlüsse[[#This Row],[Ergeb]]="ET","",SQRT(($AF320-$AK320)^2+($AG320-$AL320)^2))</f>
        <v>11.401754250991379</v>
      </c>
      <c r="AN320" s="3">
        <v>1</v>
      </c>
      <c r="AO320" s="13">
        <v>7</v>
      </c>
      <c r="AP320" s="13">
        <v>11.5</v>
      </c>
      <c r="AQ320" s="19">
        <f t="shared" si="22"/>
        <v>3.905124837953327</v>
      </c>
      <c r="AR320" s="3">
        <v>2</v>
      </c>
      <c r="AS320" s="13">
        <v>4</v>
      </c>
      <c r="AT320" s="13">
        <v>10.5</v>
      </c>
      <c r="AU320" s="19">
        <f t="shared" si="23"/>
        <v>4.0311288741492746</v>
      </c>
    </row>
    <row r="321" spans="1:47" ht="25.05" customHeight="1">
      <c r="A321" s="3">
        <v>13</v>
      </c>
      <c r="B321" s="2" t="s">
        <v>8</v>
      </c>
      <c r="C321" s="17" t="str">
        <f>IF($A321="","",IF(VLOOKUP($A321,Spiele!$A$2:$D$15,3,FALSE)=$B321,"H","G"))</f>
        <v>H</v>
      </c>
      <c r="D321" s="17" t="str">
        <f>IF($B321="","",IF(VLOOKUP($A321,Spiele!$A$2:$F$15,3,FALSE)=$B321,VLOOKUP($A321,Spiele!$A$2:$F$15,4,FALSE),VLOOKUP($A321,Spiele!$A$2:$F$15,3,FALSE)))</f>
        <v>60M</v>
      </c>
      <c r="E321" s="18">
        <f>IF(Abschlüsse[[#This Row],[Ergeb]]="ET",0,COUNTIFS($A$2:$A321,$A321,$B$2:$B321,$B321,$L$2:$L321,"&lt;&gt;ET"))</f>
        <v>4</v>
      </c>
      <c r="F321" s="11">
        <v>22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$15,3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$15,3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0</v>
      </c>
      <c r="K321" s="3">
        <v>8</v>
      </c>
      <c r="L321" s="17" t="s">
        <v>19</v>
      </c>
      <c r="M321" s="2" t="s">
        <v>168</v>
      </c>
      <c r="N321" s="2" t="s">
        <v>3</v>
      </c>
      <c r="O321" s="17"/>
      <c r="AA321" s="2" t="s">
        <v>141</v>
      </c>
      <c r="AB321" s="17" t="s">
        <v>143</v>
      </c>
      <c r="AC321" s="14" t="s">
        <v>144</v>
      </c>
      <c r="AD321" s="14" t="s">
        <v>145</v>
      </c>
      <c r="AE321" s="18">
        <v>6</v>
      </c>
      <c r="AF321" s="13">
        <v>-6.5</v>
      </c>
      <c r="AG321" s="13">
        <v>16.5</v>
      </c>
      <c r="AH321" s="19">
        <f t="shared" si="20"/>
        <v>16.742628228566744</v>
      </c>
      <c r="AI321" s="19">
        <f t="shared" si="21"/>
        <v>21.856872591143812</v>
      </c>
      <c r="AJ321" s="2" t="s">
        <v>146</v>
      </c>
      <c r="AK321" s="13">
        <v>-1.5</v>
      </c>
      <c r="AL321" s="13">
        <v>2</v>
      </c>
      <c r="AM321" s="19">
        <f>IF(Abschlüsse[[#This Row],[Ergeb]]="ET","",SQRT(($AF321-$AK321)^2+($AG321-$AL321)^2))</f>
        <v>15.337861650177967</v>
      </c>
      <c r="AN321" s="3">
        <v>1</v>
      </c>
      <c r="AO321" s="13">
        <v>-3</v>
      </c>
      <c r="AP321" s="13">
        <v>14</v>
      </c>
      <c r="AQ321" s="19">
        <f t="shared" si="22"/>
        <v>4.3011626335213133</v>
      </c>
      <c r="AR321" s="3">
        <v>2</v>
      </c>
      <c r="AS321" s="13">
        <v>-2</v>
      </c>
      <c r="AT321" s="13">
        <v>6</v>
      </c>
      <c r="AU321" s="19">
        <f t="shared" si="23"/>
        <v>11.423659658795863</v>
      </c>
    </row>
    <row r="322" spans="1:47" ht="25.05" customHeight="1">
      <c r="A322" s="3">
        <v>13</v>
      </c>
      <c r="B322" s="2" t="s">
        <v>8</v>
      </c>
      <c r="C322" s="17" t="str">
        <f>IF($A322="","",IF(VLOOKUP($A322,Spiele!$A$2:$D$15,3,FALSE)=$B322,"H","G"))</f>
        <v>H</v>
      </c>
      <c r="D322" s="17" t="str">
        <f>IF($B322="","",IF(VLOOKUP($A322,Spiele!$A$2:$F$15,3,FALSE)=$B322,VLOOKUP($A322,Spiele!$A$2:$F$15,4,FALSE),VLOOKUP($A322,Spiele!$A$2:$F$15,3,FALSE)))</f>
        <v>60M</v>
      </c>
      <c r="E322" s="18">
        <f>IF(Abschlüsse[[#This Row],[Ergeb]]="ET",0,COUNTIFS($A$2:$A322,$A322,$B$2:$B322,$B322,$L$2:$L322,"&lt;&gt;ET"))</f>
        <v>5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$15,3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/>
      </c>
      <c r="J322" s="18">
        <f>_xlfn.IFNA(IF(VLOOKUP($A322,Spiele!$A$2:$D$15,3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0</v>
      </c>
      <c r="K322" s="3">
        <v>9</v>
      </c>
      <c r="L322" s="17" t="s">
        <v>20</v>
      </c>
      <c r="M322" s="2" t="s">
        <v>157</v>
      </c>
      <c r="N322" s="2" t="s">
        <v>3</v>
      </c>
      <c r="O322" s="17"/>
      <c r="AA322" s="2" t="s">
        <v>151</v>
      </c>
      <c r="AB322" s="17" t="s">
        <v>149</v>
      </c>
      <c r="AC322" s="14" t="s">
        <v>150</v>
      </c>
      <c r="AD322" s="14" t="s">
        <v>156</v>
      </c>
      <c r="AE322" s="18">
        <v>20</v>
      </c>
      <c r="AF322" s="13">
        <v>-13.5</v>
      </c>
      <c r="AG322" s="13">
        <v>21.5</v>
      </c>
      <c r="AH322" s="19">
        <f t="shared" si="20"/>
        <v>23.644779550674606</v>
      </c>
      <c r="AI322" s="19">
        <f t="shared" si="21"/>
        <v>14.002393253988416</v>
      </c>
      <c r="AJ322" s="2" t="s">
        <v>146</v>
      </c>
      <c r="AK322" s="13">
        <v>-0.5</v>
      </c>
      <c r="AL322" s="13">
        <v>3</v>
      </c>
      <c r="AM322" s="19">
        <f>IF(Abschlüsse[[#This Row],[Ergeb]]="ET","",SQRT(($AF322-$AK322)^2+($AG322-$AL322)^2))</f>
        <v>22.610838109190027</v>
      </c>
      <c r="AN322" s="3">
        <v>0</v>
      </c>
      <c r="AO322" s="13"/>
      <c r="AP322" s="13"/>
      <c r="AQ322" s="19" t="str">
        <f t="shared" si="22"/>
        <v/>
      </c>
      <c r="AR322" s="3">
        <v>2</v>
      </c>
      <c r="AS322" s="13">
        <v>-12</v>
      </c>
      <c r="AT322" s="13">
        <v>20.5</v>
      </c>
      <c r="AU322" s="19">
        <f t="shared" si="23"/>
        <v>1.8027756377319946</v>
      </c>
    </row>
    <row r="323" spans="1:47" ht="25.05" customHeight="1">
      <c r="A323" s="3">
        <v>13</v>
      </c>
      <c r="B323" s="2" t="s">
        <v>76</v>
      </c>
      <c r="C323" s="17" t="str">
        <f>IF($A323="","",IF(VLOOKUP($A323,Spiele!$A$2:$D$15,3,FALSE)=$B323,"H","G"))</f>
        <v>G</v>
      </c>
      <c r="D323" s="17" t="str">
        <f>IF($B323="","",IF(VLOOKUP($A323,Spiele!$A$2:$F$15,3,FALSE)=$B323,VLOOKUP($A323,Spiele!$A$2:$F$15,4,FALSE),VLOOKUP($A323,Spiele!$A$2:$F$15,3,FALSE)))</f>
        <v>FCN</v>
      </c>
      <c r="E323" s="18">
        <f>IF(Abschlüsse[[#This Row],[Ergeb]]="ET",0,COUNTIFS($A$2:$A323,$A323,$B$2:$B323,$B323,$L$2:$L323,"&lt;&gt;ET"))</f>
        <v>7</v>
      </c>
      <c r="F323" s="11">
        <v>28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$15,3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/>
      </c>
      <c r="J323" s="18">
        <f>_xlfn.IFNA(IF(VLOOKUP($A323,Spiele!$A$2:$D$15,3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18</v>
      </c>
      <c r="M323" s="2" t="s">
        <v>163</v>
      </c>
      <c r="N323" s="2" t="s">
        <v>158</v>
      </c>
      <c r="O323" s="17"/>
      <c r="AA323" s="2" t="s">
        <v>151</v>
      </c>
      <c r="AB323" s="17" t="s">
        <v>143</v>
      </c>
      <c r="AC323" s="14" t="s">
        <v>150</v>
      </c>
      <c r="AD323" s="14" t="s">
        <v>145</v>
      </c>
      <c r="AE323" s="18"/>
      <c r="AF323" s="13">
        <v>0</v>
      </c>
      <c r="AG323" s="13">
        <v>25.5</v>
      </c>
      <c r="AH323" s="19">
        <f t="shared" si="20"/>
        <v>25.5</v>
      </c>
      <c r="AI323" s="19">
        <f t="shared" si="21"/>
        <v>16.335693207949546</v>
      </c>
      <c r="AJ323" s="2" t="s">
        <v>146</v>
      </c>
      <c r="AK323" s="13">
        <v>0</v>
      </c>
      <c r="AL323" s="13">
        <v>0.5</v>
      </c>
      <c r="AM323" s="19">
        <f>IF(Abschlüsse[[#This Row],[Ergeb]]="ET","",SQRT(($AF323-$AK323)^2+($AG323-$AL323)^2))</f>
        <v>25</v>
      </c>
      <c r="AN323" s="3">
        <v>1</v>
      </c>
      <c r="AO323" s="13">
        <v>-2</v>
      </c>
      <c r="AP323" s="13">
        <v>28</v>
      </c>
      <c r="AQ323" s="19">
        <f t="shared" si="22"/>
        <v>3.2015621187164243</v>
      </c>
      <c r="AR323" s="3">
        <v>1</v>
      </c>
      <c r="AS323" s="13">
        <v>0</v>
      </c>
      <c r="AT323" s="13">
        <v>17</v>
      </c>
      <c r="AU323" s="19">
        <f t="shared" si="23"/>
        <v>8.5</v>
      </c>
    </row>
    <row r="324" spans="1:47" ht="25.05" customHeight="1">
      <c r="A324" s="3">
        <v>13</v>
      </c>
      <c r="B324" s="2" t="s">
        <v>8</v>
      </c>
      <c r="C324" s="17" t="str">
        <f>IF($A324="","",IF(VLOOKUP($A324,Spiele!$A$2:$D$15,3,FALSE)=$B324,"H","G"))</f>
        <v>H</v>
      </c>
      <c r="D324" s="17" t="str">
        <f>IF($B324="","",IF(VLOOKUP($A324,Spiele!$A$2:$F$15,3,FALSE)=$B324,VLOOKUP($A324,Spiele!$A$2:$F$15,4,FALSE),VLOOKUP($A324,Spiele!$A$2:$F$15,3,FALSE)))</f>
        <v>60M</v>
      </c>
      <c r="E324" s="18">
        <f>IF(Abschlüsse[[#This Row],[Ergeb]]="ET",0,COUNTIFS($A$2:$A324,$A324,$B$2:$B324,$B324,$L$2:$L324,"&lt;&gt;ET"))</f>
        <v>6</v>
      </c>
      <c r="F324" s="11">
        <v>33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$15,3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$15,3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0</v>
      </c>
      <c r="K324" s="3">
        <v>11</v>
      </c>
      <c r="L324" s="17" t="s">
        <v>19</v>
      </c>
      <c r="M324" s="2" t="s">
        <v>163</v>
      </c>
      <c r="N324" s="2" t="s">
        <v>164</v>
      </c>
      <c r="O324" s="17">
        <v>8</v>
      </c>
      <c r="P324" s="2">
        <v>16</v>
      </c>
      <c r="Q324" s="2">
        <v>26</v>
      </c>
      <c r="AA324" s="2" t="s">
        <v>151</v>
      </c>
      <c r="AB324" s="17" t="s">
        <v>149</v>
      </c>
      <c r="AC324" s="14" t="s">
        <v>150</v>
      </c>
      <c r="AD324" s="14" t="s">
        <v>145</v>
      </c>
      <c r="AE324" s="18">
        <v>7</v>
      </c>
      <c r="AF324" s="13">
        <v>5.5</v>
      </c>
      <c r="AG324" s="13">
        <v>17.5</v>
      </c>
      <c r="AH324" s="19">
        <f t="shared" si="20"/>
        <v>17.59646555419582</v>
      </c>
      <c r="AI324" s="19">
        <f t="shared" si="21"/>
        <v>21.626656434445117</v>
      </c>
      <c r="AJ324" s="2" t="s">
        <v>146</v>
      </c>
      <c r="AK324" s="13">
        <v>1</v>
      </c>
      <c r="AL324" s="13">
        <v>3</v>
      </c>
      <c r="AM324" s="19">
        <f>IF(Abschlüsse[[#This Row],[Ergeb]]="ET","",SQRT(($AF324-$AK324)^2+($AG324-$AL324)^2))</f>
        <v>15.182226450688976</v>
      </c>
      <c r="AN324" s="3">
        <v>2</v>
      </c>
      <c r="AO324" s="13">
        <v>6.5</v>
      </c>
      <c r="AP324" s="13">
        <v>18.5</v>
      </c>
      <c r="AQ324" s="19">
        <f t="shared" si="22"/>
        <v>1.4142135623730951</v>
      </c>
      <c r="AR324" s="3">
        <v>0</v>
      </c>
      <c r="AU324" s="19" t="str">
        <f t="shared" si="23"/>
        <v/>
      </c>
    </row>
    <row r="325" spans="1:47" ht="25.05" customHeight="1">
      <c r="A325" s="3">
        <v>13</v>
      </c>
      <c r="B325" s="2" t="s">
        <v>76</v>
      </c>
      <c r="C325" s="17" t="str">
        <f>IF($A325="","",IF(VLOOKUP($A325,Spiele!$A$2:$D$15,3,FALSE)=$B325,"H","G"))</f>
        <v>G</v>
      </c>
      <c r="D325" s="17" t="str">
        <f>IF($B325="","",IF(VLOOKUP($A325,Spiele!$A$2:$F$15,3,FALSE)=$B325,VLOOKUP($A325,Spiele!$A$2:$F$15,4,FALSE),VLOOKUP($A325,Spiele!$A$2:$F$15,3,FALSE)))</f>
        <v>FCN</v>
      </c>
      <c r="E325" s="18">
        <f>IF(Abschlüsse[[#This Row],[Ergeb]]="ET",0,COUNTIFS($A$2:$A325,$A325,$B$2:$B325,$B325,$L$2:$L325,"&lt;&gt;ET"))</f>
        <v>8</v>
      </c>
      <c r="F325" s="11">
        <v>35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$15,3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$15,3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0</v>
      </c>
      <c r="K325" s="3">
        <v>12</v>
      </c>
      <c r="L325" s="17" t="s">
        <v>19</v>
      </c>
      <c r="M325" s="2" t="s">
        <v>163</v>
      </c>
      <c r="N325" s="2" t="s">
        <v>153</v>
      </c>
      <c r="O325" s="17"/>
      <c r="AA325" s="2" t="s">
        <v>154</v>
      </c>
      <c r="AB325" s="17" t="s">
        <v>160</v>
      </c>
      <c r="AC325" s="14" t="s">
        <v>161</v>
      </c>
      <c r="AD325" s="14" t="s">
        <v>156</v>
      </c>
      <c r="AE325" s="18"/>
      <c r="AF325" s="13">
        <v>-1</v>
      </c>
      <c r="AG325" s="13">
        <v>9</v>
      </c>
      <c r="AH325" s="19">
        <f t="shared" si="20"/>
        <v>9</v>
      </c>
      <c r="AI325" s="19">
        <f t="shared" si="21"/>
        <v>43.839454439268671</v>
      </c>
      <c r="AJ325" s="2" t="s">
        <v>146</v>
      </c>
      <c r="AK325" s="13">
        <v>-1</v>
      </c>
      <c r="AL325" s="13">
        <v>0.5</v>
      </c>
      <c r="AM325" s="19">
        <f>IF(Abschlüsse[[#This Row],[Ergeb]]="ET","",SQRT(($AF325-$AK325)^2+($AG325-$AL325)^2))</f>
        <v>8.5</v>
      </c>
      <c r="AN325" s="3">
        <v>1</v>
      </c>
      <c r="AO325" s="13">
        <v>0</v>
      </c>
      <c r="AP325" s="13">
        <v>9</v>
      </c>
      <c r="AQ325" s="19">
        <f t="shared" si="22"/>
        <v>1</v>
      </c>
      <c r="AR325" s="3">
        <v>0</v>
      </c>
      <c r="AU325" s="19" t="str">
        <f t="shared" si="23"/>
        <v/>
      </c>
    </row>
    <row r="326" spans="1:47" ht="25.05" customHeight="1">
      <c r="A326" s="3">
        <v>13</v>
      </c>
      <c r="B326" s="2" t="s">
        <v>76</v>
      </c>
      <c r="C326" s="17" t="str">
        <f>IF($A326="","",IF(VLOOKUP($A326,Spiele!$A$2:$D$15,3,FALSE)=$B326,"H","G"))</f>
        <v>G</v>
      </c>
      <c r="D326" s="17" t="str">
        <f>IF($B326="","",IF(VLOOKUP($A326,Spiele!$A$2:$F$15,3,FALSE)=$B326,VLOOKUP($A326,Spiele!$A$2:$F$15,4,FALSE),VLOOKUP($A326,Spiele!$A$2:$F$15,3,FALSE)))</f>
        <v>FCN</v>
      </c>
      <c r="E326" s="18">
        <f>IF(Abschlüsse[[#This Row],[Ergeb]]="ET",0,COUNTIFS($A$2:$A326,$A326,$B$2:$B326,$B326,$L$2:$L326,"&lt;&gt;ET"))</f>
        <v>9</v>
      </c>
      <c r="F326" s="11">
        <v>37</v>
      </c>
      <c r="G326" s="12">
        <v>1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$15,3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/>
      </c>
      <c r="J326" s="18">
        <f>_xlfn.IFNA(IF(VLOOKUP($A326,Spiele!$A$2:$D$15,3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0</v>
      </c>
      <c r="K326" s="3">
        <v>13</v>
      </c>
      <c r="L326" s="17" t="s">
        <v>19</v>
      </c>
      <c r="M326" s="2" t="s">
        <v>173</v>
      </c>
      <c r="N326" s="2" t="s">
        <v>173</v>
      </c>
      <c r="O326" s="17"/>
      <c r="AA326" s="2" t="s">
        <v>154</v>
      </c>
      <c r="AB326" s="17" t="s">
        <v>160</v>
      </c>
      <c r="AC326" s="14" t="s">
        <v>161</v>
      </c>
      <c r="AD326" s="14" t="s">
        <v>145</v>
      </c>
      <c r="AE326" s="18"/>
      <c r="AF326" s="13">
        <v>-6</v>
      </c>
      <c r="AG326" s="13">
        <v>1</v>
      </c>
      <c r="AH326" s="19">
        <f t="shared" si="20"/>
        <v>2.5447200238926087</v>
      </c>
      <c r="AI326" s="19">
        <f t="shared" si="21"/>
        <v>17.229273479884245</v>
      </c>
      <c r="AJ326" s="2" t="s">
        <v>146</v>
      </c>
      <c r="AK326" s="13">
        <v>-4</v>
      </c>
      <c r="AL326" s="13">
        <v>0.5</v>
      </c>
      <c r="AM326" s="19">
        <f>IF(Abschlüsse[[#This Row],[Ergeb]]="ET","",SQRT(($AF326-$AK326)^2+($AG326-$AL326)^2))</f>
        <v>2.0615528128088303</v>
      </c>
      <c r="AN326" s="3">
        <v>1</v>
      </c>
      <c r="AO326" s="13">
        <v>-5</v>
      </c>
      <c r="AP326" s="13">
        <v>1</v>
      </c>
      <c r="AQ326" s="19">
        <f t="shared" si="22"/>
        <v>1</v>
      </c>
      <c r="AR326" s="3">
        <v>1</v>
      </c>
      <c r="AS326" s="13">
        <v>-3.5</v>
      </c>
      <c r="AT326" s="13">
        <v>0.5</v>
      </c>
      <c r="AU326" s="19">
        <f t="shared" si="23"/>
        <v>2.5495097567963922</v>
      </c>
    </row>
    <row r="327" spans="1:47" ht="25.05" customHeight="1">
      <c r="A327" s="3">
        <v>13</v>
      </c>
      <c r="B327" s="2" t="s">
        <v>8</v>
      </c>
      <c r="C327" s="17" t="str">
        <f>IF($A327="","",IF(VLOOKUP($A327,Spiele!$A$2:$D$15,3,FALSE)=$B327,"H","G"))</f>
        <v>H</v>
      </c>
      <c r="D327" s="17" t="str">
        <f>IF($B327="","",IF(VLOOKUP($A327,Spiele!$A$2:$F$15,3,FALSE)=$B327,VLOOKUP($A327,Spiele!$A$2:$F$15,4,FALSE),VLOOKUP($A327,Spiele!$A$2:$F$15,3,FALSE)))</f>
        <v>60M</v>
      </c>
      <c r="E327" s="18">
        <f>IF(Abschlüsse[[#This Row],[Ergeb]]="ET",0,COUNTIFS($A$2:$A327,$A327,$B$2:$B327,$B327,$L$2:$L327,"&lt;&gt;ET"))</f>
        <v>7</v>
      </c>
      <c r="F327" s="11">
        <v>40</v>
      </c>
      <c r="G327" s="12">
        <v>1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$15,3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/>
      </c>
      <c r="J327" s="18">
        <f>_xlfn.IFNA(IF(VLOOKUP($A327,Spiele!$A$2:$D$15,3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18</v>
      </c>
      <c r="M327" s="2" t="s">
        <v>163</v>
      </c>
      <c r="N327" s="2" t="s">
        <v>153</v>
      </c>
      <c r="O327" s="17">
        <v>7</v>
      </c>
      <c r="AA327" s="2" t="s">
        <v>154</v>
      </c>
      <c r="AB327" s="17" t="s">
        <v>160</v>
      </c>
      <c r="AC327" s="14" t="s">
        <v>161</v>
      </c>
      <c r="AD327" s="14" t="s">
        <v>156</v>
      </c>
      <c r="AE327" s="18">
        <v>9</v>
      </c>
      <c r="AF327" s="13">
        <v>-2</v>
      </c>
      <c r="AG327" s="13">
        <v>9</v>
      </c>
      <c r="AH327" s="19">
        <f t="shared" si="20"/>
        <v>9</v>
      </c>
      <c r="AI327" s="19">
        <f t="shared" si="21"/>
        <v>42.615768593997174</v>
      </c>
      <c r="AJ327" s="2" t="s">
        <v>146</v>
      </c>
      <c r="AK327" s="13">
        <v>-2</v>
      </c>
      <c r="AL327" s="13">
        <v>2.5</v>
      </c>
      <c r="AM327" s="19">
        <f>IF(Abschlüsse[[#This Row],[Ergeb]]="ET","",SQRT(($AF327-$AK327)^2+($AG327-$AL327)^2))</f>
        <v>6.5</v>
      </c>
      <c r="AN327" s="3">
        <v>2</v>
      </c>
      <c r="AO327" s="13">
        <v>-0.5</v>
      </c>
      <c r="AP327" s="13">
        <v>9</v>
      </c>
      <c r="AQ327" s="19">
        <f t="shared" si="22"/>
        <v>1.5</v>
      </c>
      <c r="AR327" s="3">
        <v>0</v>
      </c>
      <c r="AU327" s="19" t="str">
        <f t="shared" si="23"/>
        <v/>
      </c>
    </row>
    <row r="328" spans="1:47" ht="25.05" customHeight="1">
      <c r="A328" s="3">
        <v>13</v>
      </c>
      <c r="B328" s="2" t="s">
        <v>8</v>
      </c>
      <c r="C328" s="17" t="str">
        <f>IF($A328="","",IF(VLOOKUP($A328,Spiele!$A$2:$D$15,3,FALSE)=$B328,"H","G"))</f>
        <v>H</v>
      </c>
      <c r="D328" s="17" t="str">
        <f>IF($B328="","",IF(VLOOKUP($A328,Spiele!$A$2:$F$15,3,FALSE)=$B328,VLOOKUP($A328,Spiele!$A$2:$F$15,4,FALSE),VLOOKUP($A328,Spiele!$A$2:$F$15,3,FALSE)))</f>
        <v>60M</v>
      </c>
      <c r="E328" s="18">
        <f>IF(Abschlüsse[[#This Row],[Ergeb]]="ET",0,COUNTIFS($A$2:$A328,$A328,$B$2:$B328,$B328,$L$2:$L328,"&lt;&gt;ET"))</f>
        <v>8</v>
      </c>
      <c r="F328" s="11">
        <v>40</v>
      </c>
      <c r="G328" s="12">
        <v>1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$15,3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1:0</v>
      </c>
      <c r="J328" s="18">
        <f>_xlfn.IFNA(IF(VLOOKUP($A328,Spiele!$A$2:$D$15,3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0</v>
      </c>
      <c r="K328" s="3">
        <v>14</v>
      </c>
      <c r="L328" s="17" t="s">
        <v>0</v>
      </c>
      <c r="M328" s="2" t="s">
        <v>163</v>
      </c>
      <c r="N328" s="2" t="s">
        <v>3</v>
      </c>
      <c r="O328" s="17"/>
      <c r="AA328" s="2" t="s">
        <v>154</v>
      </c>
      <c r="AB328" s="17" t="s">
        <v>160</v>
      </c>
      <c r="AC328" s="14" t="s">
        <v>161</v>
      </c>
      <c r="AD328" s="14" t="s">
        <v>145</v>
      </c>
      <c r="AE328" s="18">
        <v>7</v>
      </c>
      <c r="AF328" s="13">
        <v>-6.5</v>
      </c>
      <c r="AG328" s="13">
        <v>5</v>
      </c>
      <c r="AH328" s="19">
        <f t="shared" si="20"/>
        <v>5.7502695588989567</v>
      </c>
      <c r="AI328" s="19">
        <f t="shared" si="21"/>
        <v>34.200427604672875</v>
      </c>
      <c r="AJ328" s="2" t="s">
        <v>169</v>
      </c>
      <c r="AK328" s="13">
        <v>0.5</v>
      </c>
      <c r="AL328" s="13">
        <v>2</v>
      </c>
      <c r="AM328" s="19">
        <f>IF(Abschlüsse[[#This Row],[Ergeb]]="ET","",SQRT(($AF328-$AK328)^2+($AG328-$AL328)^2))</f>
        <v>7.6157731058639087</v>
      </c>
      <c r="AN328" s="3">
        <v>1</v>
      </c>
      <c r="AO328" s="13">
        <v>-4</v>
      </c>
      <c r="AP328" s="13">
        <v>5.5</v>
      </c>
      <c r="AQ328" s="19">
        <f t="shared" si="22"/>
        <v>2.5495097567963922</v>
      </c>
      <c r="AR328" s="3">
        <v>0</v>
      </c>
      <c r="AU328" s="19" t="str">
        <f t="shared" si="23"/>
        <v/>
      </c>
    </row>
    <row r="329" spans="1:47" ht="25.05" customHeight="1">
      <c r="A329" s="3">
        <v>13</v>
      </c>
      <c r="B329" s="2" t="s">
        <v>76</v>
      </c>
      <c r="C329" s="17" t="str">
        <f>IF($A329="","",IF(VLOOKUP($A329,Spiele!$A$2:$D$15,3,FALSE)=$B329,"H","G"))</f>
        <v>G</v>
      </c>
      <c r="D329" s="17" t="str">
        <f>IF($B329="","",IF(VLOOKUP($A329,Spiele!$A$2:$F$15,3,FALSE)=$B329,VLOOKUP($A329,Spiele!$A$2:$F$15,4,FALSE),VLOOKUP($A329,Spiele!$A$2:$F$15,3,FALSE)))</f>
        <v>FCN</v>
      </c>
      <c r="E329" s="18">
        <f>IF(Abschlüsse[[#This Row],[Ergeb]]="ET",0,COUNTIFS($A$2:$A329,$A329,$B$2:$B329,$B329,$L$2:$L329,"&lt;&gt;ET"))</f>
        <v>10</v>
      </c>
      <c r="F329" s="11">
        <v>44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$15,3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$15,3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-1</v>
      </c>
      <c r="K329" s="3">
        <v>15</v>
      </c>
      <c r="L329" s="17" t="s">
        <v>19</v>
      </c>
      <c r="M329" s="2" t="s">
        <v>174</v>
      </c>
      <c r="O329" s="17"/>
      <c r="AA329" s="2" t="s">
        <v>142</v>
      </c>
      <c r="AB329" s="17" t="s">
        <v>143</v>
      </c>
      <c r="AC329" s="14" t="s">
        <v>150</v>
      </c>
      <c r="AD329" s="14" t="s">
        <v>156</v>
      </c>
      <c r="AE329" s="18"/>
      <c r="AF329" s="13">
        <v>-3</v>
      </c>
      <c r="AG329" s="13">
        <v>34</v>
      </c>
      <c r="AH329" s="19">
        <f t="shared" si="20"/>
        <v>34</v>
      </c>
      <c r="AI329" s="19">
        <f t="shared" si="21"/>
        <v>12.194976603981754</v>
      </c>
      <c r="AJ329" s="2" t="s">
        <v>146</v>
      </c>
      <c r="AK329" s="13">
        <v>0.5</v>
      </c>
      <c r="AL329" s="13">
        <v>0.5</v>
      </c>
      <c r="AM329" s="19">
        <f>IF(Abschlüsse[[#This Row],[Ergeb]]="ET","",SQRT(($AF329-$AK329)^2+($AG329-$AL329)^2))</f>
        <v>33.68233958619858</v>
      </c>
      <c r="AN329" s="3">
        <v>0</v>
      </c>
      <c r="AO329" s="13"/>
      <c r="AP329" s="13"/>
      <c r="AQ329" s="19" t="str">
        <f t="shared" si="22"/>
        <v/>
      </c>
      <c r="AR329" s="3">
        <v>3</v>
      </c>
      <c r="AS329" s="13">
        <v>-3.5</v>
      </c>
      <c r="AT329" s="13">
        <v>27</v>
      </c>
      <c r="AU329" s="19">
        <f t="shared" si="23"/>
        <v>7.0178344238090995</v>
      </c>
    </row>
    <row r="330" spans="1:47" ht="25.05" customHeight="1">
      <c r="A330" s="3">
        <v>13</v>
      </c>
      <c r="B330" s="2" t="s">
        <v>8</v>
      </c>
      <c r="C330" s="17" t="str">
        <f>IF($A330="","",IF(VLOOKUP($A330,Spiele!$A$2:$D$15,3,FALSE)=$B330,"H","G"))</f>
        <v>H</v>
      </c>
      <c r="D330" s="17" t="str">
        <f>IF($B330="","",IF(VLOOKUP($A330,Spiele!$A$2:$F$15,3,FALSE)=$B330,VLOOKUP($A330,Spiele!$A$2:$F$15,4,FALSE),VLOOKUP($A330,Spiele!$A$2:$F$15,3,FALSE)))</f>
        <v>60M</v>
      </c>
      <c r="E330" s="18">
        <f>IF(Abschlüsse[[#This Row],[Ergeb]]="ET",0,COUNTIFS($A$2:$A330,$A330,$B$2:$B330,$B330,$L$2:$L330,"&lt;&gt;ET"))</f>
        <v>9</v>
      </c>
      <c r="F330" s="11">
        <v>51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$15,3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/>
      </c>
      <c r="J330" s="18">
        <f>_xlfn.IFNA(IF(VLOOKUP($A330,Spiele!$A$2:$D$15,3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1</v>
      </c>
      <c r="K330" s="3">
        <v>16</v>
      </c>
      <c r="L330" s="18" t="s">
        <v>18</v>
      </c>
      <c r="M330" s="3" t="s">
        <v>163</v>
      </c>
      <c r="N330" s="2" t="s">
        <v>164</v>
      </c>
      <c r="O330" s="17">
        <v>8</v>
      </c>
      <c r="P330" s="2">
        <v>26</v>
      </c>
      <c r="Q330" s="2">
        <v>6</v>
      </c>
      <c r="AA330" s="22" t="s">
        <v>151</v>
      </c>
      <c r="AB330" s="18" t="s">
        <v>143</v>
      </c>
      <c r="AC330" s="14" t="s">
        <v>150</v>
      </c>
      <c r="AD330" s="14" t="s">
        <v>145</v>
      </c>
      <c r="AE330" s="18">
        <v>10</v>
      </c>
      <c r="AF330" s="13">
        <v>-10.5</v>
      </c>
      <c r="AG330" s="13">
        <v>13</v>
      </c>
      <c r="AH330" s="19">
        <f t="shared" si="20"/>
        <v>14.689642609675703</v>
      </c>
      <c r="AI330" s="19">
        <f t="shared" si="21"/>
        <v>19.694334659050181</v>
      </c>
      <c r="AJ330" s="3" t="s">
        <v>146</v>
      </c>
      <c r="AK330" s="13">
        <v>-3.5</v>
      </c>
      <c r="AL330" s="13">
        <v>2.5</v>
      </c>
      <c r="AM330" s="19">
        <f>IF(Abschlüsse[[#This Row],[Ergeb]]="ET","",SQRT(($AF330-$AK330)^2+($AG330-$AL330)^2))</f>
        <v>12.619429464123963</v>
      </c>
      <c r="AN330" s="3">
        <v>2</v>
      </c>
      <c r="AO330" s="13">
        <v>-10</v>
      </c>
      <c r="AP330" s="13">
        <v>13.5</v>
      </c>
      <c r="AQ330" s="19">
        <f t="shared" si="22"/>
        <v>0.70710678118654757</v>
      </c>
      <c r="AR330" s="3">
        <v>1</v>
      </c>
      <c r="AS330" s="13">
        <v>-3</v>
      </c>
      <c r="AT330" s="13">
        <v>7.5</v>
      </c>
      <c r="AU330" s="19">
        <f t="shared" si="23"/>
        <v>9.3005376188691375</v>
      </c>
    </row>
    <row r="331" spans="1:47" ht="25.05" customHeight="1">
      <c r="A331" s="3">
        <v>13</v>
      </c>
      <c r="B331" s="2" t="s">
        <v>76</v>
      </c>
      <c r="C331" s="17" t="str">
        <f>IF($A331="","",IF(VLOOKUP($A331,Spiele!$A$2:$D$15,3,FALSE)=$B331,"H","G"))</f>
        <v>G</v>
      </c>
      <c r="D331" s="17" t="str">
        <f>IF($B331="","",IF(VLOOKUP($A331,Spiele!$A$2:$F$15,3,FALSE)=$B331,VLOOKUP($A331,Spiele!$A$2:$F$15,4,FALSE),VLOOKUP($A331,Spiele!$A$2:$F$15,3,FALSE)))</f>
        <v>FCN</v>
      </c>
      <c r="E331" s="18">
        <f>IF(Abschlüsse[[#This Row],[Ergeb]]="ET",0,COUNTIFS($A$2:$A331,$A331,$B$2:$B331,$B331,$L$2:$L331,"&lt;&gt;ET"))</f>
        <v>11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$15,3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$15,3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19</v>
      </c>
      <c r="M331" s="2" t="s">
        <v>163</v>
      </c>
      <c r="N331" s="2" t="s">
        <v>152</v>
      </c>
      <c r="O331" s="17"/>
      <c r="AA331" s="2" t="s">
        <v>142</v>
      </c>
      <c r="AB331" s="17" t="s">
        <v>143</v>
      </c>
      <c r="AC331" s="14" t="s">
        <v>150</v>
      </c>
      <c r="AD331" s="14" t="s">
        <v>145</v>
      </c>
      <c r="AE331" s="18"/>
      <c r="AF331" s="13">
        <v>12</v>
      </c>
      <c r="AG331" s="13">
        <v>7.5</v>
      </c>
      <c r="AH331" s="19">
        <f t="shared" si="20"/>
        <v>11.216309553502882</v>
      </c>
      <c r="AI331" s="19">
        <f t="shared" si="21"/>
        <v>16.373402664953399</v>
      </c>
      <c r="AJ331" s="2" t="s">
        <v>146</v>
      </c>
      <c r="AK331" s="13">
        <v>3.5</v>
      </c>
      <c r="AL331" s="13">
        <v>0.5</v>
      </c>
      <c r="AM331" s="19">
        <f>IF(Abschlüsse[[#This Row],[Ergeb]]="ET","",SQRT(($AF331-$AK331)^2+($AG331-$AL331)^2))</f>
        <v>11.01135777277262</v>
      </c>
      <c r="AN331" s="3">
        <v>1</v>
      </c>
      <c r="AO331" s="13">
        <v>9</v>
      </c>
      <c r="AP331" s="13">
        <v>8.5</v>
      </c>
      <c r="AQ331" s="19">
        <f t="shared" si="22"/>
        <v>3.1622776601683795</v>
      </c>
      <c r="AR331" s="3">
        <v>0</v>
      </c>
      <c r="AU331" s="19" t="str">
        <f t="shared" si="23"/>
        <v/>
      </c>
    </row>
    <row r="332" spans="1:47" ht="25.05" customHeight="1">
      <c r="A332" s="3">
        <v>13</v>
      </c>
      <c r="B332" s="2" t="s">
        <v>8</v>
      </c>
      <c r="C332" s="17" t="str">
        <f>IF($A332="","",IF(VLOOKUP($A332,Spiele!$A$2:$D$15,3,FALSE)=$B332,"H","G"))</f>
        <v>H</v>
      </c>
      <c r="D332" s="17" t="str">
        <f>IF($B332="","",IF(VLOOKUP($A332,Spiele!$A$2:$F$15,3,FALSE)=$B332,VLOOKUP($A332,Spiele!$A$2:$F$15,4,FALSE),VLOOKUP($A332,Spiele!$A$2:$F$15,3,FALSE)))</f>
        <v>60M</v>
      </c>
      <c r="E332" s="18">
        <f>IF(Abschlüsse[[#This Row],[Ergeb]]="ET",0,COUNTIFS($A$2:$A332,$A332,$B$2:$B332,$B332,$L$2:$L332,"&lt;&gt;ET"))</f>
        <v>10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$15,3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$15,3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147</v>
      </c>
      <c r="N332" s="2" t="s">
        <v>158</v>
      </c>
      <c r="O332" s="17">
        <v>4</v>
      </c>
      <c r="P332" s="2">
        <v>23</v>
      </c>
      <c r="Q332" s="2">
        <v>6</v>
      </c>
      <c r="R332" s="2">
        <v>8</v>
      </c>
      <c r="S332" s="2">
        <v>20</v>
      </c>
      <c r="T332" s="2">
        <v>4</v>
      </c>
      <c r="AA332" s="2" t="s">
        <v>151</v>
      </c>
      <c r="AB332" s="17" t="s">
        <v>143</v>
      </c>
      <c r="AC332" s="14" t="s">
        <v>150</v>
      </c>
      <c r="AD332" s="14" t="s">
        <v>156</v>
      </c>
      <c r="AE332" s="18">
        <v>18</v>
      </c>
      <c r="AF332" s="13">
        <v>-14</v>
      </c>
      <c r="AG332" s="13">
        <v>19.5</v>
      </c>
      <c r="AH332" s="19">
        <f t="shared" si="20"/>
        <v>22.071828197954062</v>
      </c>
      <c r="AI332" s="19">
        <f t="shared" si="21"/>
        <v>14.230221882728383</v>
      </c>
      <c r="AJ332" s="2" t="s">
        <v>146</v>
      </c>
      <c r="AK332" s="13">
        <v>-1.5</v>
      </c>
      <c r="AL332" s="13">
        <v>2.5</v>
      </c>
      <c r="AM332" s="19">
        <f>IF(Abschlüsse[[#This Row],[Ergeb]]="ET","",SQRT(($AF332-$AK332)^2+($AG332-$AL332)^2))</f>
        <v>21.100947846009191</v>
      </c>
      <c r="AN332" s="3">
        <v>1</v>
      </c>
      <c r="AO332" s="13">
        <v>-14</v>
      </c>
      <c r="AP332" s="13">
        <v>18</v>
      </c>
      <c r="AQ332" s="19">
        <f t="shared" si="22"/>
        <v>1.5</v>
      </c>
      <c r="AR332" s="3">
        <v>2</v>
      </c>
      <c r="AS332" s="13">
        <v>-11</v>
      </c>
      <c r="AT332" s="13">
        <v>14.5</v>
      </c>
      <c r="AU332" s="19">
        <f t="shared" si="23"/>
        <v>5.8309518948453007</v>
      </c>
    </row>
    <row r="333" spans="1:47" ht="25.05" customHeight="1">
      <c r="A333" s="3">
        <v>13</v>
      </c>
      <c r="B333" s="2" t="s">
        <v>8</v>
      </c>
      <c r="C333" s="17" t="str">
        <f>IF($A333="","",IF(VLOOKUP($A333,Spiele!$A$2:$D$15,3,FALSE)=$B333,"H","G"))</f>
        <v>H</v>
      </c>
      <c r="D333" s="17" t="str">
        <f>IF($B333="","",IF(VLOOKUP($A333,Spiele!$A$2:$F$15,3,FALSE)=$B333,VLOOKUP($A333,Spiele!$A$2:$F$15,4,FALSE),VLOOKUP($A333,Spiele!$A$2:$F$15,3,FALSE)))</f>
        <v>60M</v>
      </c>
      <c r="E333" s="18">
        <f>IF(Abschlüsse[[#This Row],[Ergeb]]="ET",0,COUNTIFS($A$2:$A333,$A333,$B$2:$B333,$B333,$L$2:$L333,"&lt;&gt;ET"))</f>
        <v>11</v>
      </c>
      <c r="F333" s="11">
        <v>60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$15,3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$15,3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18</v>
      </c>
      <c r="M333" s="2" t="s">
        <v>174</v>
      </c>
      <c r="O333" s="17"/>
      <c r="AA333" s="2" t="s">
        <v>142</v>
      </c>
      <c r="AB333" s="17" t="s">
        <v>143</v>
      </c>
      <c r="AC333" s="14" t="s">
        <v>150</v>
      </c>
      <c r="AD333" s="14" t="s">
        <v>145</v>
      </c>
      <c r="AE333" s="18">
        <v>8</v>
      </c>
      <c r="AF333" s="13">
        <v>14</v>
      </c>
      <c r="AG333" s="13">
        <v>23.5</v>
      </c>
      <c r="AH333" s="19">
        <f t="shared" si="20"/>
        <v>25.674220533445606</v>
      </c>
      <c r="AI333" s="19">
        <f t="shared" si="21"/>
        <v>13.174977970680043</v>
      </c>
      <c r="AJ333" s="2" t="s">
        <v>146</v>
      </c>
      <c r="AK333" s="13">
        <v>0</v>
      </c>
      <c r="AL333" s="13">
        <v>2.5</v>
      </c>
      <c r="AM333" s="19">
        <f>IF(Abschlüsse[[#This Row],[Ergeb]]="ET","",SQRT(($AF333-$AK333)^2+($AG333-$AL333)^2))</f>
        <v>25.238858928247925</v>
      </c>
      <c r="AN333" s="3">
        <v>0</v>
      </c>
      <c r="AO333" s="13"/>
      <c r="AP333" s="13"/>
      <c r="AQ333" s="19" t="str">
        <f t="shared" si="22"/>
        <v/>
      </c>
      <c r="AR333" s="3">
        <v>3</v>
      </c>
      <c r="AS333" s="13">
        <v>9</v>
      </c>
      <c r="AT333" s="13">
        <v>16</v>
      </c>
      <c r="AU333" s="19">
        <f t="shared" si="23"/>
        <v>9.013878188659973</v>
      </c>
    </row>
    <row r="334" spans="1:47" ht="25.05" customHeight="1">
      <c r="A334" s="3">
        <v>13</v>
      </c>
      <c r="B334" s="2" t="s">
        <v>76</v>
      </c>
      <c r="C334" s="17" t="str">
        <f>IF($A334="","",IF(VLOOKUP($A334,Spiele!$A$2:$D$15,3,FALSE)=$B334,"H","G"))</f>
        <v>G</v>
      </c>
      <c r="D334" s="17" t="str">
        <f>IF($B334="","",IF(VLOOKUP($A334,Spiele!$A$2:$F$15,3,FALSE)=$B334,VLOOKUP($A334,Spiele!$A$2:$F$15,4,FALSE),VLOOKUP($A334,Spiele!$A$2:$F$15,3,FALSE)))</f>
        <v>FCN</v>
      </c>
      <c r="E334" s="18">
        <f>IF(Abschlüsse[[#This Row],[Ergeb]]="ET",0,COUNTIFS($A$2:$A334,$A334,$B$2:$B334,$B334,$L$2:$L334,"&lt;&gt;ET"))</f>
        <v>12</v>
      </c>
      <c r="F334" s="11">
        <v>61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$15,3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>1:1</v>
      </c>
      <c r="J334" s="18">
        <f>_xlfn.IFNA(IF(VLOOKUP($A334,Spiele!$A$2:$D$15,3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0</v>
      </c>
      <c r="M334" s="2" t="s">
        <v>163</v>
      </c>
      <c r="N334" s="2" t="s">
        <v>152</v>
      </c>
      <c r="O334" s="17"/>
      <c r="AA334" s="2" t="s">
        <v>151</v>
      </c>
      <c r="AB334" s="17" t="s">
        <v>149</v>
      </c>
      <c r="AC334" s="14" t="s">
        <v>150</v>
      </c>
      <c r="AD334" s="14" t="s">
        <v>156</v>
      </c>
      <c r="AE334" s="18"/>
      <c r="AF334" s="13">
        <v>-8.5</v>
      </c>
      <c r="AG334" s="13">
        <v>7</v>
      </c>
      <c r="AH334" s="19">
        <f t="shared" si="20"/>
        <v>8.5103231431009725</v>
      </c>
      <c r="AI334" s="19">
        <f t="shared" si="21"/>
        <v>25.411688271902904</v>
      </c>
      <c r="AJ334" s="2" t="s">
        <v>146</v>
      </c>
      <c r="AK334" s="13">
        <v>-3</v>
      </c>
      <c r="AL334" s="13">
        <v>0.5</v>
      </c>
      <c r="AM334" s="19">
        <f>IF(Abschlüsse[[#This Row],[Ergeb]]="ET","",SQRT(($AF334-$AK334)^2+($AG334-$AL334)^2))</f>
        <v>8.5146931829632013</v>
      </c>
      <c r="AN334" s="3">
        <v>1</v>
      </c>
      <c r="AO334" s="13">
        <v>-5</v>
      </c>
      <c r="AP334" s="13">
        <v>6.5</v>
      </c>
      <c r="AQ334" s="19">
        <f t="shared" si="22"/>
        <v>3.5355339059327378</v>
      </c>
      <c r="AR334" s="3">
        <v>0</v>
      </c>
      <c r="AU334" s="19" t="str">
        <f t="shared" si="23"/>
        <v/>
      </c>
    </row>
    <row r="335" spans="1:47" ht="25.05" customHeight="1">
      <c r="A335" s="3">
        <v>13</v>
      </c>
      <c r="B335" s="2" t="s">
        <v>76</v>
      </c>
      <c r="C335" s="17" t="str">
        <f>IF($A335="","",IF(VLOOKUP($A335,Spiele!$A$2:$D$15,3,FALSE)=$B335,"H","G"))</f>
        <v>G</v>
      </c>
      <c r="D335" s="17" t="str">
        <f>IF($B335="","",IF(VLOOKUP($A335,Spiele!$A$2:$F$15,3,FALSE)=$B335,VLOOKUP($A335,Spiele!$A$2:$F$15,4,FALSE),VLOOKUP($A335,Spiele!$A$2:$F$15,3,FALSE)))</f>
        <v>FCN</v>
      </c>
      <c r="E335" s="18">
        <f>IF(Abschlüsse[[#This Row],[Ergeb]]="ET",0,COUNTIFS($A$2:$A335,$A335,$B$2:$B335,$B335,$L$2:$L335,"&lt;&gt;ET"))</f>
        <v>13</v>
      </c>
      <c r="F335" s="11">
        <v>65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$15,3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$15,3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0</v>
      </c>
      <c r="K335" s="3">
        <v>21</v>
      </c>
      <c r="L335" s="17" t="s">
        <v>18</v>
      </c>
      <c r="M335" s="2" t="s">
        <v>163</v>
      </c>
      <c r="N335" s="2" t="s">
        <v>3</v>
      </c>
      <c r="O335" s="17"/>
      <c r="AA335" s="2" t="s">
        <v>141</v>
      </c>
      <c r="AB335" s="17" t="s">
        <v>143</v>
      </c>
      <c r="AC335" s="14" t="s">
        <v>150</v>
      </c>
      <c r="AD335" s="14" t="s">
        <v>156</v>
      </c>
      <c r="AE335" s="18"/>
      <c r="AF335" s="13">
        <v>4.5</v>
      </c>
      <c r="AG335" s="13">
        <v>11</v>
      </c>
      <c r="AH335" s="19">
        <f t="shared" si="20"/>
        <v>11.032026105842935</v>
      </c>
      <c r="AI335" s="19">
        <f t="shared" si="21"/>
        <v>32.201857009576806</v>
      </c>
      <c r="AJ335" s="2" t="s">
        <v>146</v>
      </c>
      <c r="AK335" s="13">
        <v>1</v>
      </c>
      <c r="AL335" s="13">
        <v>0.5</v>
      </c>
      <c r="AM335" s="19">
        <f>IF(Abschlüsse[[#This Row],[Ergeb]]="ET","",SQRT(($AF335-$AK335)^2+($AG335-$AL335)^2))</f>
        <v>11.067971810589327</v>
      </c>
      <c r="AN335" s="3">
        <v>1</v>
      </c>
      <c r="AO335" s="13">
        <v>4.5</v>
      </c>
      <c r="AP335" s="13">
        <v>9</v>
      </c>
      <c r="AQ335" s="19">
        <f t="shared" si="22"/>
        <v>2</v>
      </c>
      <c r="AR335" s="3">
        <v>1</v>
      </c>
      <c r="AS335" s="13">
        <v>4</v>
      </c>
      <c r="AT335" s="13">
        <v>5.5</v>
      </c>
      <c r="AU335" s="19">
        <f t="shared" si="23"/>
        <v>5.5226805085936306</v>
      </c>
    </row>
    <row r="336" spans="1:47" ht="25.05" customHeight="1">
      <c r="A336" s="3">
        <v>13</v>
      </c>
      <c r="B336" s="2" t="s">
        <v>8</v>
      </c>
      <c r="C336" s="17" t="str">
        <f>IF($A336="","",IF(VLOOKUP($A336,Spiele!$A$2:$D$15,3,FALSE)=$B336,"H","G"))</f>
        <v>H</v>
      </c>
      <c r="D336" s="17" t="str">
        <f>IF($B336="","",IF(VLOOKUP($A336,Spiele!$A$2:$F$15,3,FALSE)=$B336,VLOOKUP($A336,Spiele!$A$2:$F$15,4,FALSE),VLOOKUP($A336,Spiele!$A$2:$F$15,3,FALSE)))</f>
        <v>60M</v>
      </c>
      <c r="E336" s="18">
        <f>IF(Abschlüsse[[#This Row],[Ergeb]]="ET",0,COUNTIFS($A$2:$A336,$A336,$B$2:$B336,$B336,$L$2:$L336,"&lt;&gt;ET"))</f>
        <v>12</v>
      </c>
      <c r="F336" s="11">
        <v>68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$15,3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$15,3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0</v>
      </c>
      <c r="K336" s="3">
        <v>22</v>
      </c>
      <c r="L336" s="17" t="s">
        <v>20</v>
      </c>
      <c r="M336" s="2" t="s">
        <v>140</v>
      </c>
      <c r="N336" s="2" t="s">
        <v>153</v>
      </c>
      <c r="O336" s="17">
        <v>8</v>
      </c>
      <c r="P336" s="2">
        <v>5</v>
      </c>
      <c r="Q336" s="2">
        <v>8</v>
      </c>
      <c r="R336" s="2">
        <v>6</v>
      </c>
      <c r="AA336" s="2" t="s">
        <v>154</v>
      </c>
      <c r="AB336" s="17" t="s">
        <v>160</v>
      </c>
      <c r="AC336" s="14" t="s">
        <v>161</v>
      </c>
      <c r="AD336" s="14" t="s">
        <v>145</v>
      </c>
      <c r="AE336" s="18">
        <v>16</v>
      </c>
      <c r="AF336" s="13">
        <v>-5.5</v>
      </c>
      <c r="AG336" s="13">
        <v>4</v>
      </c>
      <c r="AH336" s="19">
        <f t="shared" si="20"/>
        <v>4.4029081298614443</v>
      </c>
      <c r="AI336" s="19">
        <f t="shared" si="21"/>
        <v>41.707579601485392</v>
      </c>
      <c r="AJ336" s="2" t="s">
        <v>169</v>
      </c>
      <c r="AK336" s="13">
        <v>-4</v>
      </c>
      <c r="AL336" s="13">
        <v>3</v>
      </c>
      <c r="AM336" s="19">
        <f>IF(Abschlüsse[[#This Row],[Ergeb]]="ET","",SQRT(($AF336-$AK336)^2+($AG336-$AL336)^2))</f>
        <v>1.8027756377319946</v>
      </c>
      <c r="AN336" s="3">
        <v>1</v>
      </c>
      <c r="AO336" s="13">
        <v>-5.5</v>
      </c>
      <c r="AP336" s="13">
        <v>3.5</v>
      </c>
      <c r="AQ336" s="19">
        <f t="shared" si="22"/>
        <v>0.5</v>
      </c>
      <c r="AR336" s="3">
        <v>2</v>
      </c>
      <c r="AS336" s="13">
        <v>0.5</v>
      </c>
      <c r="AT336" s="13">
        <v>1.5</v>
      </c>
      <c r="AU336" s="19">
        <f t="shared" si="23"/>
        <v>6.5</v>
      </c>
    </row>
    <row r="337" spans="1:47" ht="25.05" customHeight="1">
      <c r="A337" s="3">
        <v>13</v>
      </c>
      <c r="B337" s="2" t="s">
        <v>8</v>
      </c>
      <c r="C337" s="17" t="str">
        <f>IF($A337="","",IF(VLOOKUP($A337,Spiele!$A$2:$D$15,3,FALSE)=$B337,"H","G"))</f>
        <v>H</v>
      </c>
      <c r="D337" s="17" t="str">
        <f>IF($B337="","",IF(VLOOKUP($A337,Spiele!$A$2:$F$15,3,FALSE)=$B337,VLOOKUP($A337,Spiele!$A$2:$F$15,4,FALSE),VLOOKUP($A337,Spiele!$A$2:$F$15,3,FALSE)))</f>
        <v>60M</v>
      </c>
      <c r="E337" s="18">
        <f>IF(Abschlüsse[[#This Row],[Ergeb]]="ET",0,COUNTIFS($A$2:$A337,$A337,$B$2:$B337,$B337,$L$2:$L337,"&lt;&gt;ET"))</f>
        <v>13</v>
      </c>
      <c r="F337" s="11">
        <v>71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$15,3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$15,3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0</v>
      </c>
      <c r="K337" s="3">
        <v>23</v>
      </c>
      <c r="L337" s="17" t="s">
        <v>19</v>
      </c>
      <c r="M337" s="2" t="s">
        <v>147</v>
      </c>
      <c r="N337" s="2" t="s">
        <v>158</v>
      </c>
      <c r="O337" s="17">
        <v>7</v>
      </c>
      <c r="P337" s="2">
        <v>18</v>
      </c>
      <c r="Q337" s="2">
        <v>8</v>
      </c>
      <c r="R337" s="2">
        <v>7</v>
      </c>
      <c r="S337" s="2">
        <v>23</v>
      </c>
      <c r="T337" s="2">
        <v>6</v>
      </c>
      <c r="U337" s="2">
        <v>5</v>
      </c>
      <c r="V337" s="2">
        <v>16</v>
      </c>
      <c r="W337" s="2">
        <v>20</v>
      </c>
      <c r="AA337" s="2" t="s">
        <v>142</v>
      </c>
      <c r="AB337" s="17" t="s">
        <v>149</v>
      </c>
      <c r="AC337" s="14" t="s">
        <v>150</v>
      </c>
      <c r="AD337" s="14" t="s">
        <v>156</v>
      </c>
      <c r="AE337" s="18">
        <v>10</v>
      </c>
      <c r="AF337" s="13">
        <v>2.5</v>
      </c>
      <c r="AG337" s="13">
        <v>15</v>
      </c>
      <c r="AH337" s="19">
        <f t="shared" si="20"/>
        <v>15</v>
      </c>
      <c r="AI337" s="19">
        <f t="shared" si="21"/>
        <v>26.748394088035369</v>
      </c>
      <c r="AJ337" s="2" t="s">
        <v>146</v>
      </c>
      <c r="AK337" s="13">
        <v>0</v>
      </c>
      <c r="AL337" s="13">
        <v>3.5</v>
      </c>
      <c r="AM337" s="19">
        <f>IF(Abschlüsse[[#This Row],[Ergeb]]="ET","",SQRT(($AF337-$AK337)^2+($AG337-$AL337)^2))</f>
        <v>11.76860229593982</v>
      </c>
      <c r="AN337" s="3">
        <v>0</v>
      </c>
      <c r="AO337" s="13"/>
      <c r="AP337" s="13"/>
      <c r="AQ337" s="19" t="str">
        <f t="shared" si="22"/>
        <v/>
      </c>
      <c r="AR337" s="3">
        <v>3</v>
      </c>
      <c r="AS337" s="13">
        <v>1.5</v>
      </c>
      <c r="AT337" s="13">
        <v>11</v>
      </c>
      <c r="AU337" s="19">
        <f t="shared" si="23"/>
        <v>4.1231056256176606</v>
      </c>
    </row>
    <row r="338" spans="1:47" ht="25.05" customHeight="1">
      <c r="A338" s="3">
        <v>13</v>
      </c>
      <c r="B338" s="2" t="s">
        <v>8</v>
      </c>
      <c r="C338" s="17" t="str">
        <f>IF($A338="","",IF(VLOOKUP($A338,Spiele!$A$2:$D$15,3,FALSE)=$B338,"H","G"))</f>
        <v>H</v>
      </c>
      <c r="D338" s="17" t="str">
        <f>IF($B338="","",IF(VLOOKUP($A338,Spiele!$A$2:$F$15,3,FALSE)=$B338,VLOOKUP($A338,Spiele!$A$2:$F$15,4,FALSE),VLOOKUP($A338,Spiele!$A$2:$F$15,3,FALSE)))</f>
        <v>60M</v>
      </c>
      <c r="E338" s="18">
        <f>IF(Abschlüsse[[#This Row],[Ergeb]]="ET",0,COUNTIFS($A$2:$A338,$A338,$B$2:$B338,$B338,$L$2:$L338,"&lt;&gt;ET"))</f>
        <v>14</v>
      </c>
      <c r="F338" s="11">
        <v>73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$15,3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$15,3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0</v>
      </c>
      <c r="K338" s="3">
        <v>24</v>
      </c>
      <c r="L338" s="17" t="s">
        <v>19</v>
      </c>
      <c r="M338" s="2" t="s">
        <v>163</v>
      </c>
      <c r="N338" s="2" t="s">
        <v>164</v>
      </c>
      <c r="O338" s="17">
        <v>18</v>
      </c>
      <c r="P338" s="2">
        <v>5</v>
      </c>
      <c r="Q338" s="2">
        <v>18</v>
      </c>
      <c r="AA338" s="2" t="s">
        <v>151</v>
      </c>
      <c r="AB338" s="17" t="s">
        <v>143</v>
      </c>
      <c r="AC338" s="14" t="s">
        <v>150</v>
      </c>
      <c r="AD338" s="14" t="s">
        <v>145</v>
      </c>
      <c r="AE338" s="18">
        <v>7</v>
      </c>
      <c r="AF338" s="13">
        <v>-13.5</v>
      </c>
      <c r="AG338" s="13">
        <v>16.5</v>
      </c>
      <c r="AH338" s="19">
        <f t="shared" si="20"/>
        <v>19.211340400919454</v>
      </c>
      <c r="AI338" s="19">
        <f t="shared" si="21"/>
        <v>15.312989252529659</v>
      </c>
      <c r="AJ338" s="2" t="s">
        <v>146</v>
      </c>
      <c r="AK338" s="13">
        <v>-3.5</v>
      </c>
      <c r="AL338" s="13">
        <v>2</v>
      </c>
      <c r="AM338" s="19">
        <f>IF(Abschlüsse[[#This Row],[Ergeb]]="ET","",SQRT(($AF338-$AK338)^2+($AG338-$AL338)^2))</f>
        <v>17.613914953808536</v>
      </c>
      <c r="AN338" s="3">
        <v>2</v>
      </c>
      <c r="AO338" s="13">
        <v>-12.5</v>
      </c>
      <c r="AP338" s="13">
        <v>17.5</v>
      </c>
      <c r="AQ338" s="19">
        <f t="shared" si="22"/>
        <v>1.4142135623730951</v>
      </c>
      <c r="AR338" s="3">
        <v>0</v>
      </c>
      <c r="AU338" s="19" t="str">
        <f t="shared" si="23"/>
        <v/>
      </c>
    </row>
    <row r="339" spans="1:47" ht="25.05" customHeight="1">
      <c r="A339" s="3">
        <v>13</v>
      </c>
      <c r="B339" s="2" t="s">
        <v>8</v>
      </c>
      <c r="C339" s="17" t="str">
        <f>IF($A339="","",IF(VLOOKUP($A339,Spiele!$A$2:$D$15,3,FALSE)=$B339,"H","G"))</f>
        <v>H</v>
      </c>
      <c r="D339" s="17" t="str">
        <f>IF($B339="","",IF(VLOOKUP($A339,Spiele!$A$2:$F$15,3,FALSE)=$B339,VLOOKUP($A339,Spiele!$A$2:$F$15,4,FALSE),VLOOKUP($A339,Spiele!$A$2:$F$15,3,FALSE)))</f>
        <v>60M</v>
      </c>
      <c r="E339" s="18">
        <f>IF(Abschlüsse[[#This Row],[Ergeb]]="ET",0,COUNTIFS($A$2:$A339,$A339,$B$2:$B339,$B339,$L$2:$L339,"&lt;&gt;ET"))</f>
        <v>15</v>
      </c>
      <c r="F339" s="11">
        <v>77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$15,3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$15,3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0</v>
      </c>
      <c r="K339" s="3">
        <v>25</v>
      </c>
      <c r="L339" s="17" t="s">
        <v>20</v>
      </c>
      <c r="M339" s="2" t="s">
        <v>163</v>
      </c>
      <c r="N339" s="2" t="s">
        <v>158</v>
      </c>
      <c r="O339" s="17">
        <v>10</v>
      </c>
      <c r="AA339" s="2" t="s">
        <v>151</v>
      </c>
      <c r="AB339" s="17" t="s">
        <v>143</v>
      </c>
      <c r="AC339" s="14" t="s">
        <v>150</v>
      </c>
      <c r="AD339" s="14" t="s">
        <v>156</v>
      </c>
      <c r="AE339" s="18">
        <v>6</v>
      </c>
      <c r="AF339" s="13">
        <v>14.5</v>
      </c>
      <c r="AG339" s="13">
        <v>14</v>
      </c>
      <c r="AH339" s="19">
        <f t="shared" si="20"/>
        <v>17.7060893480181</v>
      </c>
      <c r="AI339" s="19">
        <f t="shared" si="21"/>
        <v>14.620361026676797</v>
      </c>
      <c r="AJ339" s="2" t="s">
        <v>146</v>
      </c>
      <c r="AK339" s="13">
        <v>2.5</v>
      </c>
      <c r="AL339" s="13">
        <v>1.5</v>
      </c>
      <c r="AM339" s="19">
        <f>IF(Abschlüsse[[#This Row],[Ergeb]]="ET","",SQRT(($AF339-$AK339)^2+($AG339-$AL339)^2))</f>
        <v>17.327723451163457</v>
      </c>
      <c r="AN339" s="3">
        <v>1</v>
      </c>
      <c r="AO339" s="13">
        <v>14</v>
      </c>
      <c r="AP339" s="13">
        <v>14</v>
      </c>
      <c r="AQ339" s="19">
        <f t="shared" si="22"/>
        <v>0.5</v>
      </c>
      <c r="AR339" s="3">
        <v>2</v>
      </c>
      <c r="AS339" s="13">
        <v>8.5</v>
      </c>
      <c r="AT339" s="13">
        <v>8</v>
      </c>
      <c r="AU339" s="19">
        <f t="shared" si="23"/>
        <v>8.4852813742385695</v>
      </c>
    </row>
    <row r="340" spans="1:47" ht="25.05" customHeight="1">
      <c r="A340" s="3">
        <v>13</v>
      </c>
      <c r="B340" s="2" t="s">
        <v>76</v>
      </c>
      <c r="C340" s="17" t="str">
        <f>IF($A340="","",IF(VLOOKUP($A340,Spiele!$A$2:$D$15,3,FALSE)=$B340,"H","G"))</f>
        <v>G</v>
      </c>
      <c r="D340" s="17" t="str">
        <f>IF($B340="","",IF(VLOOKUP($A340,Spiele!$A$2:$F$15,3,FALSE)=$B340,VLOOKUP($A340,Spiele!$A$2:$F$15,4,FALSE),VLOOKUP($A340,Spiele!$A$2:$F$15,3,FALSE)))</f>
        <v>FCN</v>
      </c>
      <c r="E340" s="18">
        <f>IF(Abschlüsse[[#This Row],[Ergeb]]="ET",0,COUNTIFS($A$2:$A340,$A340,$B$2:$B340,$B340,$L$2:$L340,"&lt;&gt;ET"))</f>
        <v>14</v>
      </c>
      <c r="F340" s="11">
        <v>83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$15,3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$15,3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0</v>
      </c>
      <c r="K340" s="3">
        <v>26</v>
      </c>
      <c r="L340" s="17" t="s">
        <v>18</v>
      </c>
      <c r="M340" s="2" t="s">
        <v>147</v>
      </c>
      <c r="N340" s="2" t="s">
        <v>152</v>
      </c>
      <c r="O340" s="17"/>
      <c r="AA340" s="2" t="s">
        <v>142</v>
      </c>
      <c r="AB340" s="17" t="s">
        <v>143</v>
      </c>
      <c r="AC340" s="14" t="s">
        <v>150</v>
      </c>
      <c r="AD340" s="14" t="s">
        <v>156</v>
      </c>
      <c r="AE340" s="18"/>
      <c r="AF340" s="13">
        <v>-12</v>
      </c>
      <c r="AG340" s="13">
        <v>18</v>
      </c>
      <c r="AH340" s="19">
        <f t="shared" si="20"/>
        <v>19.838235808660002</v>
      </c>
      <c r="AI340" s="19">
        <f t="shared" si="21"/>
        <v>16.163407255354326</v>
      </c>
      <c r="AJ340" s="2" t="s">
        <v>146</v>
      </c>
      <c r="AK340" s="13">
        <v>-1.5</v>
      </c>
      <c r="AL340" s="13">
        <v>2.5</v>
      </c>
      <c r="AM340" s="19">
        <f>IF(Abschlüsse[[#This Row],[Ergeb]]="ET","",SQRT(($AF340-$AK340)^2+($AG340-$AL340)^2))</f>
        <v>18.721645226849056</v>
      </c>
      <c r="AN340" s="3">
        <v>1</v>
      </c>
      <c r="AO340" s="13">
        <v>-10.5</v>
      </c>
      <c r="AP340" s="13">
        <v>21</v>
      </c>
      <c r="AQ340" s="19">
        <f t="shared" si="22"/>
        <v>3.3541019662496847</v>
      </c>
      <c r="AR340" s="3">
        <v>0</v>
      </c>
      <c r="AU340" s="19" t="str">
        <f t="shared" si="23"/>
        <v/>
      </c>
    </row>
    <row r="342" spans="1:47" ht="25.05" customHeight="1">
      <c r="AC342" s="14"/>
      <c r="AD342" s="14"/>
    </row>
  </sheetData>
  <phoneticPr fontId="5" type="noConversion"/>
  <conditionalFormatting sqref="A2:E340">
    <cfRule type="expression" dxfId="40" priority="127">
      <formula>$C2="H"</formula>
    </cfRule>
  </conditionalFormatting>
  <conditionalFormatting sqref="K2:K340 M2:M340 AC2:AD340 AF2:AG340 AJ2:AL340 AN2:AN340 AR2:AR340">
    <cfRule type="cellIs" dxfId="39" priority="47" operator="notEqual">
      <formula>""</formula>
    </cfRule>
  </conditionalFormatting>
  <conditionalFormatting sqref="K2:M340 AA2:AG340 AJ2:AL340 AN2:AN340 AR2:AR340">
    <cfRule type="expression" dxfId="38" priority="50">
      <formula>$F2&lt;&gt;""</formula>
    </cfRule>
  </conditionalFormatting>
  <conditionalFormatting sqref="L2:L340 AB2:AB340 AE2:AE340">
    <cfRule type="cellIs" dxfId="37" priority="1" operator="notEqual">
      <formula>""</formula>
    </cfRule>
  </conditionalFormatting>
  <conditionalFormatting sqref="M343">
    <cfRule type="cellIs" dxfId="36" priority="122" operator="notEqual">
      <formula>""</formula>
    </cfRule>
    <cfRule type="expression" dxfId="35" priority="123">
      <formula>$F343&lt;&gt;""</formula>
    </cfRule>
  </conditionalFormatting>
  <conditionalFormatting sqref="M2:AU1048576">
    <cfRule type="expression" dxfId="34" priority="48">
      <formula>$L2="ET"</formula>
    </cfRule>
  </conditionalFormatting>
  <conditionalFormatting sqref="N2:N340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343:Z343">
    <cfRule type="expression" dxfId="23" priority="105">
      <formula>$M343="nEW"</formula>
    </cfRule>
    <cfRule type="expression" dxfId="22" priority="106">
      <formula>$M343="EW"</formula>
    </cfRule>
    <cfRule type="expression" dxfId="21" priority="107">
      <formula>$M343="n11M"</formula>
    </cfRule>
    <cfRule type="expression" dxfId="20" priority="108">
      <formula>$M343="nFS"</formula>
    </cfRule>
    <cfRule type="expression" dxfId="19" priority="109">
      <formula>$M343="nE"</formula>
    </cfRule>
    <cfRule type="expression" dxfId="18" priority="110">
      <formula>$M343="FSF"</formula>
    </cfRule>
    <cfRule type="expression" dxfId="17" priority="111">
      <formula>$M343="E"</formula>
    </cfRule>
    <cfRule type="expression" dxfId="16" priority="112">
      <formula>$M343="USO"</formula>
    </cfRule>
    <cfRule type="expression" dxfId="15" priority="124">
      <formula>$M343="EB"</formula>
    </cfRule>
  </conditionalFormatting>
  <conditionalFormatting sqref="N343:AA343">
    <cfRule type="cellIs" dxfId="14" priority="104" operator="notEqual">
      <formula>""</formula>
    </cfRule>
  </conditionalFormatting>
  <conditionalFormatting sqref="AA2:AA340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343">
    <cfRule type="expression" dxfId="11" priority="125">
      <formula>#REF!=1</formula>
    </cfRule>
  </conditionalFormatting>
  <conditionalFormatting sqref="AC342:AD342">
    <cfRule type="expression" dxfId="10" priority="100">
      <formula>$L342="ET"</formula>
    </cfRule>
    <cfRule type="cellIs" dxfId="9" priority="101" operator="notEqual">
      <formula>""</formula>
    </cfRule>
    <cfRule type="expression" dxfId="8" priority="102">
      <formula>$F342&lt;&gt;""</formula>
    </cfRule>
  </conditionalFormatting>
  <conditionalFormatting sqref="AE2:AE340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340">
    <cfRule type="expression" dxfId="5" priority="2">
      <formula>$AJ2="niT"</formula>
    </cfRule>
  </conditionalFormatting>
  <conditionalFormatting sqref="AO2:AP340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340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2025-12-11T14:49:20Z</dcterms:modified>
</cp:coreProperties>
</file>