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1E027767-6C92-4F59-9244-240DCCDCA478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9" i="2" l="1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363" i="2"/>
  <c r="I363" i="2"/>
  <c r="J363" i="2"/>
  <c r="H364" i="2"/>
  <c r="I364" i="2"/>
  <c r="J364" i="2"/>
  <c r="H365" i="2"/>
  <c r="I365" i="2"/>
  <c r="J365" i="2"/>
  <c r="H366" i="2"/>
  <c r="I366" i="2"/>
  <c r="J366" i="2"/>
  <c r="H367" i="2"/>
  <c r="I367" i="2"/>
  <c r="J367" i="2"/>
  <c r="H368" i="2"/>
  <c r="I368" i="2"/>
  <c r="J368" i="2"/>
  <c r="H369" i="2"/>
  <c r="I369" i="2"/>
  <c r="J369" i="2"/>
  <c r="H370" i="2"/>
  <c r="I370" i="2"/>
  <c r="J370" i="2"/>
  <c r="H371" i="2"/>
  <c r="I371" i="2"/>
  <c r="J371" i="2"/>
  <c r="H372" i="2"/>
  <c r="I372" i="2"/>
  <c r="J372" i="2"/>
  <c r="H373" i="2"/>
  <c r="I373" i="2"/>
  <c r="J373" i="2"/>
  <c r="H374" i="2"/>
  <c r="I374" i="2"/>
  <c r="J374" i="2"/>
  <c r="H375" i="2"/>
  <c r="I375" i="2"/>
  <c r="J375" i="2"/>
  <c r="H376" i="2"/>
  <c r="I376" i="2"/>
  <c r="J376" i="2"/>
  <c r="H377" i="2"/>
  <c r="I377" i="2"/>
  <c r="J377" i="2"/>
  <c r="H378" i="2"/>
  <c r="I378" i="2"/>
  <c r="J378" i="2"/>
  <c r="H379" i="2"/>
  <c r="I379" i="2"/>
  <c r="J379" i="2"/>
  <c r="H380" i="2"/>
  <c r="I380" i="2"/>
  <c r="J380" i="2"/>
  <c r="H381" i="2"/>
  <c r="I381" i="2"/>
  <c r="J381" i="2"/>
  <c r="H382" i="2"/>
  <c r="I382" i="2"/>
  <c r="J382" i="2"/>
  <c r="H383" i="2"/>
  <c r="I383" i="2"/>
  <c r="J383" i="2"/>
  <c r="H384" i="2"/>
  <c r="I384" i="2"/>
  <c r="J384" i="2"/>
  <c r="H385" i="2"/>
  <c r="I385" i="2"/>
  <c r="J385" i="2"/>
  <c r="H386" i="2"/>
  <c r="I386" i="2"/>
  <c r="J386" i="2"/>
  <c r="H387" i="2"/>
  <c r="I387" i="2"/>
  <c r="J387" i="2"/>
  <c r="H388" i="2"/>
  <c r="I388" i="2"/>
  <c r="J388" i="2"/>
  <c r="H389" i="2"/>
  <c r="I389" i="2"/>
  <c r="J389" i="2"/>
  <c r="H390" i="2"/>
  <c r="I390" i="2"/>
  <c r="J390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D2" i="2"/>
  <c r="C2" i="2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<sst xmlns="http://schemas.openxmlformats.org/spreadsheetml/2006/main" count="3659" uniqueCount="188">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</sst>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SUM(COUNTIFS(Abschlüsse!$A$2:$A$390,$A2,Abschlüsse!$B$2:$B$390,$C2,Abschlüsse!$L$2:$L$390,"Tor"),COUNTIFS(Abschlüsse!$A$2:$A$390,$A2,Abschlüsse!$B$2:$B$390,$C2,Abschlüsse!$L$2:$L$390,"ET"))</calculatedColumnFormula>
    </tableColumn>
    <tableColumn id="14" xr3:uid="{C91559F3-290E-4254-BCA6-0153E99BEA95}" name="TG" dataDxfId="121">
      <calculatedColumnFormula>SUM(COUNTIFS(Abschlüsse!$A$2:$A$390,$A2,Abschlüsse!$B$2:$B$390,$D2,Abschlüsse!$L$2:$L$390,"Tor"),COUNTIFS(Abschlüsse!$A$2:$A$390,$A2,Abschlüsse!$B$2:$B$390,$D2,Abschlüsse!$L$2:$L$390,"ET"))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90" totalsRowShown="0" headerRowDxfId="103" dataDxfId="102" headerRowCellStyle="Standard 2">
  <autoFilter ref="A1:AU390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SUM(COUNTIFS(Abschlüsse!$A$2:$A$390,$A2,Abschlüsse!$B$2:$B$390,$C2,Abschlüsse!$L$2:$L$390,"Tor"),COUNTIFS(Abschlüsse!$A$2:$A$390,$A2,Abschlüsse!$B$2:$B$390,$C2,Abschlüsse!$L$2:$L$390,"ET"))</f>
        <v>4</v>
      </c>
      <c r="H2" s="18">
        <f>SUM(COUNTIFS(Abschlüsse!$A$2:$A$390,$A2,Abschlüsse!$B$2:$B$390,$D2,Abschlüsse!$L$2:$L$390,"Tor"),COUNTIFS(Abschlüsse!$A$2:$A$390,$A2,Abschlüsse!$B$2:$B$390,$D2,Abschlüsse!$L$2:$L$390,"ET"))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SUM(COUNTIFS(Abschlüsse!$A$2:$A$390,$A3,Abschlüsse!$B$2:$B$390,$C3,Abschlüsse!$L$2:$L$390,"Tor"),COUNTIFS(Abschlüsse!$A$2:$A$390,$A3,Abschlüsse!$B$2:$B$390,$C3,Abschlüsse!$L$2:$L$390,"ET"))</f>
        <v>2</v>
      </c>
      <c r="H3" s="18">
        <f>SUM(COUNTIFS(Abschlüsse!$A$2:$A$390,$A3,Abschlüsse!$B$2:$B$390,$D3,Abschlüsse!$L$2:$L$390,"Tor"),COUNTIFS(Abschlüsse!$A$2:$A$390,$A3,Abschlüsse!$B$2:$B$390,$D3,Abschlüsse!$L$2:$L$390,"ET"))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SUM(COUNTIFS(Abschlüsse!$A$2:$A$390,$A4,Abschlüsse!$B$2:$B$390,$C4,Abschlüsse!$L$2:$L$390,"Tor"),COUNTIFS(Abschlüsse!$A$2:$A$390,$A4,Abschlüsse!$B$2:$B$390,$C4,Abschlüsse!$L$2:$L$390,"ET"))</f>
        <v>4</v>
      </c>
      <c r="H4" s="18">
        <f>SUM(COUNTIFS(Abschlüsse!$A$2:$A$390,$A4,Abschlüsse!$B$2:$B$390,$D4,Abschlüsse!$L$2:$L$390,"Tor"),COUNTIFS(Abschlüsse!$A$2:$A$390,$A4,Abschlüsse!$B$2:$B$390,$D4,Abschlüsse!$L$2:$L$390,"ET"))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SUM(COUNTIFS(Abschlüsse!$A$2:$A$390,$A5,Abschlüsse!$B$2:$B$390,$C5,Abschlüsse!$L$2:$L$390,"Tor"),COUNTIFS(Abschlüsse!$A$2:$A$390,$A5,Abschlüsse!$B$2:$B$390,$C5,Abschlüsse!$L$2:$L$390,"ET"))</f>
        <v>0</v>
      </c>
      <c r="H5" s="18">
        <f>SUM(COUNTIFS(Abschlüsse!$A$2:$A$390,$A5,Abschlüsse!$B$2:$B$390,$D5,Abschlüsse!$L$2:$L$390,"Tor"),COUNTIFS(Abschlüsse!$A$2:$A$390,$A5,Abschlüsse!$B$2:$B$390,$D5,Abschlüsse!$L$2:$L$390,"ET"))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SUM(COUNTIFS(Abschlüsse!$A$2:$A$390,$A6,Abschlüsse!$B$2:$B$390,$C6,Abschlüsse!$L$2:$L$390,"Tor"),COUNTIFS(Abschlüsse!$A$2:$A$390,$A6,Abschlüsse!$B$2:$B$390,$C6,Abschlüsse!$L$2:$L$390,"ET"))</f>
        <v>2</v>
      </c>
      <c r="H6" s="18">
        <f>SUM(COUNTIFS(Abschlüsse!$A$2:$A$390,$A6,Abschlüsse!$B$2:$B$390,$D6,Abschlüsse!$L$2:$L$390,"Tor"),COUNTIFS(Abschlüsse!$A$2:$A$390,$A6,Abschlüsse!$B$2:$B$390,$D6,Abschlüsse!$L$2:$L$390,"ET"))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SUM(COUNTIFS(Abschlüsse!$A$2:$A$390,$A7,Abschlüsse!$B$2:$B$390,$C7,Abschlüsse!$L$2:$L$390,"Tor"),COUNTIFS(Abschlüsse!$A$2:$A$390,$A7,Abschlüsse!$B$2:$B$390,$C7,Abschlüsse!$L$2:$L$390,"ET"))</f>
        <v>4</v>
      </c>
      <c r="H7" s="18">
        <f>SUM(COUNTIFS(Abschlüsse!$A$2:$A$390,$A7,Abschlüsse!$B$2:$B$390,$D7,Abschlüsse!$L$2:$L$390,"Tor"),COUNTIFS(Abschlüsse!$A$2:$A$390,$A7,Abschlüsse!$B$2:$B$390,$D7,Abschlüsse!$L$2:$L$390,"ET"))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SUM(COUNTIFS(Abschlüsse!$A$2:$A$390,$A8,Abschlüsse!$B$2:$B$390,$C8,Abschlüsse!$L$2:$L$390,"Tor"),COUNTIFS(Abschlüsse!$A$2:$A$390,$A8,Abschlüsse!$B$2:$B$390,$C8,Abschlüsse!$L$2:$L$390,"ET"))</f>
        <v>2</v>
      </c>
      <c r="H8" s="18">
        <f>SUM(COUNTIFS(Abschlüsse!$A$2:$A$390,$A8,Abschlüsse!$B$2:$B$390,$D8,Abschlüsse!$L$2:$L$390,"Tor"),COUNTIFS(Abschlüsse!$A$2:$A$390,$A8,Abschlüsse!$B$2:$B$390,$D8,Abschlüsse!$L$2:$L$390,"ET"))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SUM(COUNTIFS(Abschlüsse!$A$2:$A$390,$A9,Abschlüsse!$B$2:$B$390,$C9,Abschlüsse!$L$2:$L$390,"Tor"),COUNTIFS(Abschlüsse!$A$2:$A$390,$A9,Abschlüsse!$B$2:$B$390,$C9,Abschlüsse!$L$2:$L$390,"ET"))</f>
        <v>2</v>
      </c>
      <c r="H9" s="18">
        <f>SUM(COUNTIFS(Abschlüsse!$A$2:$A$390,$A9,Abschlüsse!$B$2:$B$390,$D9,Abschlüsse!$L$2:$L$390,"Tor"),COUNTIFS(Abschlüsse!$A$2:$A$390,$A9,Abschlüsse!$B$2:$B$390,$D9,Abschlüsse!$L$2:$L$390,"ET"))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SUM(COUNTIFS(Abschlüsse!$A$2:$A$390,$A10,Abschlüsse!$B$2:$B$390,$C10,Abschlüsse!$L$2:$L$390,"Tor"),COUNTIFS(Abschlüsse!$A$2:$A$390,$A10,Abschlüsse!$B$2:$B$390,$C10,Abschlüsse!$L$2:$L$390,"ET"))</f>
        <v>2</v>
      </c>
      <c r="H10" s="18">
        <f>SUM(COUNTIFS(Abschlüsse!$A$2:$A$390,$A10,Abschlüsse!$B$2:$B$390,$D10,Abschlüsse!$L$2:$L$390,"Tor"),COUNTIFS(Abschlüsse!$A$2:$A$390,$A10,Abschlüsse!$B$2:$B$390,$D10,Abschlüsse!$L$2:$L$390,"ET"))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SUM(COUNTIFS(Abschlüsse!$A$2:$A$390,$A11,Abschlüsse!$B$2:$B$390,$C11,Abschlüsse!$L$2:$L$390,"Tor"),COUNTIFS(Abschlüsse!$A$2:$A$390,$A11,Abschlüsse!$B$2:$B$390,$C11,Abschlüsse!$L$2:$L$390,"ET"))</f>
        <v>2</v>
      </c>
      <c r="H11" s="18">
        <f>SUM(COUNTIFS(Abschlüsse!$A$2:$A$390,$A11,Abschlüsse!$B$2:$B$390,$D11,Abschlüsse!$L$2:$L$390,"Tor"),COUNTIFS(Abschlüsse!$A$2:$A$390,$A11,Abschlüsse!$B$2:$B$390,$D11,Abschlüsse!$L$2:$L$390,"ET"))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SUM(COUNTIFS(Abschlüsse!$A$2:$A$390,$A12,Abschlüsse!$B$2:$B$390,$C12,Abschlüsse!$L$2:$L$390,"Tor"),COUNTIFS(Abschlüsse!$A$2:$A$390,$A12,Abschlüsse!$B$2:$B$390,$C12,Abschlüsse!$L$2:$L$390,"ET"))</f>
        <v>3</v>
      </c>
      <c r="H12" s="18">
        <f>SUM(COUNTIFS(Abschlüsse!$A$2:$A$390,$A12,Abschlüsse!$B$2:$B$390,$D12,Abschlüsse!$L$2:$L$390,"Tor"),COUNTIFS(Abschlüsse!$A$2:$A$390,$A12,Abschlüsse!$B$2:$B$390,$D12,Abschlüsse!$L$2:$L$390,"ET"))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SUM(COUNTIFS(Abschlüsse!$A$2:$A$390,$A13,Abschlüsse!$B$2:$B$390,$C13,Abschlüsse!$L$2:$L$390,"Tor"),COUNTIFS(Abschlüsse!$A$2:$A$390,$A13,Abschlüsse!$B$2:$B$390,$C13,Abschlüsse!$L$2:$L$390,"ET"))</f>
        <v>5</v>
      </c>
      <c r="H13" s="18">
        <f>SUM(COUNTIFS(Abschlüsse!$A$2:$A$390,$A13,Abschlüsse!$B$2:$B$390,$D13,Abschlüsse!$L$2:$L$390,"Tor"),COUNTIFS(Abschlüsse!$A$2:$A$390,$A13,Abschlüsse!$B$2:$B$390,$D13,Abschlüsse!$L$2:$L$390,"ET"))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SUM(COUNTIFS(Abschlüsse!$A$2:$A$390,$A14,Abschlüsse!$B$2:$B$390,$C14,Abschlüsse!$L$2:$L$390,"Tor"),COUNTIFS(Abschlüsse!$A$2:$A$390,$A14,Abschlüsse!$B$2:$B$390,$C14,Abschlüsse!$L$2:$L$390,"ET"))</f>
        <v>1</v>
      </c>
      <c r="H14" s="18">
        <f>SUM(COUNTIFS(Abschlüsse!$A$2:$A$390,$A14,Abschlüsse!$B$2:$B$390,$D14,Abschlüsse!$L$2:$L$390,"Tor"),COUNTIFS(Abschlüsse!$A$2:$A$390,$A14,Abschlüsse!$B$2:$B$390,$D14,Abschlüsse!$L$2:$L$390,"ET"))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SUM(COUNTIFS(Abschlüsse!$A$2:$A$390,$A15,Abschlüsse!$B$2:$B$390,$C15,Abschlüsse!$L$2:$L$390,"Tor"),COUNTIFS(Abschlüsse!$A$2:$A$390,$A15,Abschlüsse!$B$2:$B$390,$C15,Abschlüsse!$L$2:$L$390,"ET"))</f>
        <v>2</v>
      </c>
      <c r="H15" s="18">
        <f>SUM(COUNTIFS(Abschlüsse!$A$2:$A$390,$A15,Abschlüsse!$B$2:$B$390,$D15,Abschlüsse!$L$2:$L$390,"Tor"),COUNTIFS(Abschlüsse!$A$2:$A$390,$A15,Abschlüsse!$B$2:$B$390,$D15,Abschlüsse!$L$2:$L$390,"ET"))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92"/>
  <sheetViews>
    <sheetView tabSelected="1" zoomScale="70" zoomScaleNormal="70" workbookViewId="0">
      <pane xSplit="7" ySplit="1" topLeftCell="H96" activePane="bottomRight" state="frozen"/>
      <selection activeCell="B2" sqref="B2:O2"/>
      <selection pane="topRight" activeCell="B2" sqref="B2:O2"/>
      <selection pane="bottomLeft" activeCell="B2" sqref="B2:O2"/>
      <selection pane="bottomRight" activeCell="I151" sqref="I151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IF($A281="","",IF(VLOOKUP($A281,Spiele!$A$2:$D$15,3,FALSE)=$B281,"H","G"))</f>
        <v>G</v>
      </c>
      <c r="D281" s="17" t="str">
        <f>IF($B281="","",IF(VLOOKUP($A281,Spiele!$A$2:$F$15,3,FALSE)=$B281,VLOOKUP($A281,Spiele!$A$2:$F$15,4,FALSE),VLOOKUP($A281,Spiele!$A$2:$F$15,3,FALSE)))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IF($A282="","",IF(VLOOKUP($A282,Spiele!$A$2:$D$15,3,FALSE)=$B282,"H","G"))</f>
        <v>H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IF($A283="","",IF(VLOOKUP($A283,Spiele!$A$2:$D$15,3,FALSE)=$B283,"H","G"))</f>
        <v>G</v>
      </c>
      <c r="D283" s="17" t="str">
        <f>IF($B283="","",IF(VLOOKUP($A283,Spiele!$A$2:$F$15,3,FALSE)=$B283,VLOOKUP($A283,Spiele!$A$2:$F$15,4,FALSE),VLOOKUP($A283,Spiele!$A$2:$F$15,3,FALSE)))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IF($A288="","",IF(VLOOKUP($A288,Spiele!$A$2:$D$15,3,FALSE)=$B288,"H","G"))</f>
        <v>G</v>
      </c>
      <c r="D288" s="17" t="str">
        <f>IF($B288="","",IF(VLOOKUP($A288,Spiele!$A$2:$F$15,3,FALSE)=$B288,VLOOKUP($A288,Spiele!$A$2:$F$15,4,FALSE),VLOOKUP($A288,Spiele!$A$2:$F$15,3,FALSE)))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IF($A290="","",IF(VLOOKUP($A290,Spiele!$A$2:$D$15,3,FALSE)=$B290,"H","G"))</f>
        <v>H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IF($A291="","",IF(VLOOKUP($A291,Spiele!$A$2:$D$15,3,FALSE)=$B291,"H","G"))</f>
        <v>G</v>
      </c>
      <c r="D291" s="17" t="str">
        <f>IF($B291="","",IF(VLOOKUP($A291,Spiele!$A$2:$F$15,3,FALSE)=$B291,VLOOKUP($A291,Spiele!$A$2:$F$15,4,FALSE),VLOOKUP($A291,Spiele!$A$2:$F$15,3,FALSE)))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IF($A293="","",IF(VLOOKUP($A293,Spiele!$A$2:$D$15,3,FALSE)=$B293,"H","G"))</f>
        <v>H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IF($A294="","",IF(VLOOKUP($A294,Spiele!$A$2:$D$15,3,FALSE)=$B294,"H","G"))</f>
        <v>G</v>
      </c>
      <c r="D294" s="17" t="str">
        <f>IF($B294="","",IF(VLOOKUP($A294,Spiele!$A$2:$F$15,3,FALSE)=$B294,VLOOKUP($A294,Spiele!$A$2:$F$15,4,FALSE),VLOOKUP($A294,Spiele!$A$2:$F$15,3,FALSE)))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IF($A296="","",IF(VLOOKUP($A296,Spiele!$A$2:$D$15,3,FALSE)=$B296,"H","G"))</f>
        <v>H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IF($A298="","",IF(VLOOKUP($A298,Spiele!$A$2:$D$15,3,FALSE)=$B298,"H","G"))</f>
        <v>H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IF($A300="","",IF(VLOOKUP($A300,Spiele!$A$2:$D$15,3,FALSE)=$B300,"H","G"))</f>
        <v>G</v>
      </c>
      <c r="D300" s="17" t="str">
        <f>IF($B300="","",IF(VLOOKUP($A300,Spiele!$A$2:$F$15,3,FALSE)=$B300,VLOOKUP($A300,Spiele!$A$2:$F$15,4,FALSE),VLOOKUP($A300,Spiele!$A$2:$F$15,3,FALSE)))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IF($A304="","",IF(VLOOKUP($A304,Spiele!$A$2:$D$15,3,FALSE)=$B304,"H","G"))</f>
        <v>G</v>
      </c>
      <c r="D304" s="17" t="str">
        <f>IF($B304="","",IF(VLOOKUP($A304,Spiele!$A$2:$F$15,3,FALSE)=$B304,VLOOKUP($A304,Spiele!$A$2:$F$15,4,FALSE),VLOOKUP($A304,Spiele!$A$2:$F$15,3,FALSE)))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IF($A305="","",IF(VLOOKUP($A305,Spiele!$A$2:$D$15,3,FALSE)=$B305,"H","G"))</f>
        <v>G</v>
      </c>
      <c r="D305" s="17" t="str">
        <f>IF($B305="","",IF(VLOOKUP($A305,Spiele!$A$2:$F$15,3,FALSE)=$B305,VLOOKUP($A305,Spiele!$A$2:$F$15,4,FALSE),VLOOKUP($A305,Spiele!$A$2:$F$15,3,FALSE)))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IF($A308="","",IF(VLOOKUP($A308,Spiele!$A$2:$D$15,3,FALSE)=$B308,"H","G"))</f>
        <v>H</v>
      </c>
      <c r="D308" s="17" t="str">
        <f>IF($B308="","",IF(VLOOKUP($A308,Spiele!$A$2:$F$15,3,FALSE)=$B308,VLOOKUP($A308,Spiele!$A$2:$F$15,4,FALSE),VLOOKUP($A308,Spiele!$A$2:$F$15,3,FALSE)))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$15,3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$15,3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IF($A309="","",IF(VLOOKUP($A309,Spiele!$A$2:$D$15,3,FALSE)=$B309,"H","G"))</f>
        <v>H</v>
      </c>
      <c r="D309" s="17" t="str">
        <f>IF($B309="","",IF(VLOOKUP($A309,Spiele!$A$2:$F$15,3,FALSE)=$B309,VLOOKUP($A309,Spiele!$A$2:$F$15,4,FALSE),VLOOKUP($A309,Spiele!$A$2:$F$15,3,FALSE)))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$15,3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$15,3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IF($A310="","",IF(VLOOKUP($A310,Spiele!$A$2:$D$15,3,FALSE)=$B310,"H","G"))</f>
        <v>G</v>
      </c>
      <c r="D310" s="17" t="str">
        <f>IF($B310="","",IF(VLOOKUP($A310,Spiele!$A$2:$F$15,3,FALSE)=$B310,VLOOKUP($A310,Spiele!$A$2:$F$15,4,FALSE),VLOOKUP($A310,Spiele!$A$2:$F$15,3,FALSE)))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$15,3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$15,3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IF($A311="","",IF(VLOOKUP($A311,Spiele!$A$2:$D$15,3,FALSE)=$B311,"H","G"))</f>
        <v>G</v>
      </c>
      <c r="D311" s="17" t="str">
        <f>IF($B311="","",IF(VLOOKUP($A311,Spiele!$A$2:$F$15,3,FALSE)=$B311,VLOOKUP($A311,Spiele!$A$2:$F$15,4,FALSE),VLOOKUP($A311,Spiele!$A$2:$F$15,3,FALSE)))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$15,3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$15,3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IF($A312="","",IF(VLOOKUP($A312,Spiele!$A$2:$D$15,3,FALSE)=$B312,"H","G"))</f>
        <v>H</v>
      </c>
      <c r="D312" s="17" t="str">
        <f>IF($B312="","",IF(VLOOKUP($A312,Spiele!$A$2:$F$15,3,FALSE)=$B312,VLOOKUP($A312,Spiele!$A$2:$F$15,4,FALSE),VLOOKUP($A312,Spiele!$A$2:$F$15,3,FALSE)))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$15,3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$15,3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IF($A313="","",IF(VLOOKUP($A313,Spiele!$A$2:$D$15,3,FALSE)=$B313,"H","G"))</f>
        <v>H</v>
      </c>
      <c r="D313" s="17" t="str">
        <f>IF($B313="","",IF(VLOOKUP($A313,Spiele!$A$2:$F$15,3,FALSE)=$B313,VLOOKUP($A313,Spiele!$A$2:$F$15,4,FALSE),VLOOKUP($A313,Spiele!$A$2:$F$15,3,FALSE)))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$15,3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$15,3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IF($A314="","",IF(VLOOKUP($A314,Spiele!$A$2:$D$15,3,FALSE)=$B314,"H","G"))</f>
        <v>H</v>
      </c>
      <c r="D314" s="17" t="str">
        <f>IF($B314="","",IF(VLOOKUP($A314,Spiele!$A$2:$F$15,3,FALSE)=$B314,VLOOKUP($A314,Spiele!$A$2:$F$15,4,FALSE),VLOOKUP($A314,Spiele!$A$2:$F$15,3,FALSE)))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$15,3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$15,3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IF($A315="","",IF(VLOOKUP($A315,Spiele!$A$2:$D$15,3,FALSE)=$B315,"H","G"))</f>
        <v>G</v>
      </c>
      <c r="D315" s="17" t="str">
        <f>IF($B315="","",IF(VLOOKUP($A315,Spiele!$A$2:$F$15,3,FALSE)=$B315,VLOOKUP($A315,Spiele!$A$2:$F$15,4,FALSE),VLOOKUP($A315,Spiele!$A$2:$F$15,3,FALSE)))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$15,3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$15,3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IF($A316="","",IF(VLOOKUP($A316,Spiele!$A$2:$D$15,3,FALSE)=$B316,"H","G"))</f>
        <v>G</v>
      </c>
      <c r="D316" s="17" t="str">
        <f>IF($B316="","",IF(VLOOKUP($A316,Spiele!$A$2:$F$15,3,FALSE)=$B316,VLOOKUP($A316,Spiele!$A$2:$F$15,4,FALSE),VLOOKUP($A316,Spiele!$A$2:$F$15,3,FALSE)))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$15,3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$15,3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IF($A317="","",IF(VLOOKUP($A317,Spiele!$A$2:$D$15,3,FALSE)=$B317,"H","G"))</f>
        <v>H</v>
      </c>
      <c r="D317" s="17" t="str">
        <f>IF($B317="","",IF(VLOOKUP($A317,Spiele!$A$2:$F$15,3,FALSE)=$B317,VLOOKUP($A317,Spiele!$A$2:$F$15,4,FALSE),VLOOKUP($A317,Spiele!$A$2:$F$15,3,FALSE)))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$15,3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$15,3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IF($A318="","",IF(VLOOKUP($A318,Spiele!$A$2:$D$15,3,FALSE)=$B318,"H","G"))</f>
        <v>G</v>
      </c>
      <c r="D318" s="17" t="str">
        <f>IF($B318="","",IF(VLOOKUP($A318,Spiele!$A$2:$F$15,3,FALSE)=$B318,VLOOKUP($A318,Spiele!$A$2:$F$15,4,FALSE),VLOOKUP($A318,Spiele!$A$2:$F$15,3,FALSE)))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$15,3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$15,3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IF($A319="","",IF(VLOOKUP($A319,Spiele!$A$2:$D$15,3,FALSE)=$B319,"H","G"))</f>
        <v>G</v>
      </c>
      <c r="D319" s="17" t="str">
        <f>IF($B319="","",IF(VLOOKUP($A319,Spiele!$A$2:$F$15,3,FALSE)=$B319,VLOOKUP($A319,Spiele!$A$2:$F$15,4,FALSE),VLOOKUP($A319,Spiele!$A$2:$F$15,3,FALSE)))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$15,3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$15,3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IF($A320="","",IF(VLOOKUP($A320,Spiele!$A$2:$D$15,3,FALSE)=$B320,"H","G"))</f>
        <v>G</v>
      </c>
      <c r="D320" s="17" t="str">
        <f>IF($B320="","",IF(VLOOKUP($A320,Spiele!$A$2:$F$15,3,FALSE)=$B320,VLOOKUP($A320,Spiele!$A$2:$F$15,4,FALSE),VLOOKUP($A320,Spiele!$A$2:$F$15,3,FALSE)))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$15,3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$15,3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IF($A321="","",IF(VLOOKUP($A321,Spiele!$A$2:$D$15,3,FALSE)=$B321,"H","G"))</f>
        <v>H</v>
      </c>
      <c r="D321" s="17" t="str">
        <f>IF($B321="","",IF(VLOOKUP($A321,Spiele!$A$2:$F$15,3,FALSE)=$B321,VLOOKUP($A321,Spiele!$A$2:$F$15,4,FALSE),VLOOKUP($A321,Spiele!$A$2:$F$15,3,FALSE)))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$15,3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$15,3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IF($A322="","",IF(VLOOKUP($A322,Spiele!$A$2:$D$15,3,FALSE)=$B322,"H","G"))</f>
        <v>H</v>
      </c>
      <c r="D322" s="17" t="str">
        <f>IF($B322="","",IF(VLOOKUP($A322,Spiele!$A$2:$F$15,3,FALSE)=$B322,VLOOKUP($A322,Spiele!$A$2:$F$15,4,FALSE),VLOOKUP($A322,Spiele!$A$2:$F$15,3,FALSE)))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$15,3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$15,3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IF($A323="","",IF(VLOOKUP($A323,Spiele!$A$2:$D$15,3,FALSE)=$B323,"H","G"))</f>
        <v>H</v>
      </c>
      <c r="D323" s="17" t="str">
        <f>IF($B323="","",IF(VLOOKUP($A323,Spiele!$A$2:$F$15,3,FALSE)=$B323,VLOOKUP($A323,Spiele!$A$2:$F$15,4,FALSE),VLOOKUP($A323,Spiele!$A$2:$F$15,3,FALSE)))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$15,3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$15,3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IF($A324="","",IF(VLOOKUP($A324,Spiele!$A$2:$D$15,3,FALSE)=$B324,"H","G"))</f>
        <v>G</v>
      </c>
      <c r="D324" s="17" t="str">
        <f>IF($B324="","",IF(VLOOKUP($A324,Spiele!$A$2:$F$15,3,FALSE)=$B324,VLOOKUP($A324,Spiele!$A$2:$F$15,4,FALSE),VLOOKUP($A324,Spiele!$A$2:$F$15,3,FALSE)))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$15,3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$15,3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IF($A325="","",IF(VLOOKUP($A325,Spiele!$A$2:$D$15,3,FALSE)=$B325,"H","G"))</f>
        <v>H</v>
      </c>
      <c r="D325" s="17" t="str">
        <f>IF($B325="","",IF(VLOOKUP($A325,Spiele!$A$2:$F$15,3,FALSE)=$B325,VLOOKUP($A325,Spiele!$A$2:$F$15,4,FALSE),VLOOKUP($A325,Spiele!$A$2:$F$15,3,FALSE)))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$15,3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$15,3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IF($A326="","",IF(VLOOKUP($A326,Spiele!$A$2:$D$15,3,FALSE)=$B326,"H","G"))</f>
        <v>G</v>
      </c>
      <c r="D326" s="17" t="str">
        <f>IF($B326="","",IF(VLOOKUP($A326,Spiele!$A$2:$F$15,3,FALSE)=$B326,VLOOKUP($A326,Spiele!$A$2:$F$15,4,FALSE),VLOOKUP($A326,Spiele!$A$2:$F$15,3,FALSE)))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$15,3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$15,3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IF($A327="","",IF(VLOOKUP($A327,Spiele!$A$2:$D$15,3,FALSE)=$B327,"H","G"))</f>
        <v>G</v>
      </c>
      <c r="D327" s="17" t="str">
        <f>IF($B327="","",IF(VLOOKUP($A327,Spiele!$A$2:$F$15,3,FALSE)=$B327,VLOOKUP($A327,Spiele!$A$2:$F$15,4,FALSE),VLOOKUP($A327,Spiele!$A$2:$F$15,3,FALSE)))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$15,3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$15,3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IF($A328="","",IF(VLOOKUP($A328,Spiele!$A$2:$D$15,3,FALSE)=$B328,"H","G"))</f>
        <v>H</v>
      </c>
      <c r="D328" s="17" t="str">
        <f>IF($B328="","",IF(VLOOKUP($A328,Spiele!$A$2:$F$15,3,FALSE)=$B328,VLOOKUP($A328,Spiele!$A$2:$F$15,4,FALSE),VLOOKUP($A328,Spiele!$A$2:$F$15,3,FALSE)))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$15,3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$15,3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IF($A329="","",IF(VLOOKUP($A329,Spiele!$A$2:$D$15,3,FALSE)=$B329,"H","G"))</f>
        <v>G</v>
      </c>
      <c r="D329" s="17" t="str">
        <f>IF($B329="","",IF(VLOOKUP($A329,Spiele!$A$2:$F$15,3,FALSE)=$B329,VLOOKUP($A329,Spiele!$A$2:$F$15,4,FALSE),VLOOKUP($A329,Spiele!$A$2:$F$15,3,FALSE)))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$15,3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$15,3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IF($A330="","",IF(VLOOKUP($A330,Spiele!$A$2:$D$15,3,FALSE)=$B330,"H","G"))</f>
        <v>G</v>
      </c>
      <c r="D330" s="17" t="str">
        <f>IF($B330="","",IF(VLOOKUP($A330,Spiele!$A$2:$F$15,3,FALSE)=$B330,VLOOKUP($A330,Spiele!$A$2:$F$15,4,FALSE),VLOOKUP($A330,Spiele!$A$2:$F$15,3,FALSE)))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$15,3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$15,3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IF($A331="","",IF(VLOOKUP($A331,Spiele!$A$2:$D$15,3,FALSE)=$B331,"H","G"))</f>
        <v>H</v>
      </c>
      <c r="D331" s="17" t="str">
        <f>IF($B331="","",IF(VLOOKUP($A331,Spiele!$A$2:$F$15,3,FALSE)=$B331,VLOOKUP($A331,Spiele!$A$2:$F$15,4,FALSE),VLOOKUP($A331,Spiele!$A$2:$F$15,3,FALSE)))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$15,3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$15,3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IF($A332="","",IF(VLOOKUP($A332,Spiele!$A$2:$D$15,3,FALSE)=$B332,"H","G"))</f>
        <v>G</v>
      </c>
      <c r="D332" s="17" t="str">
        <f>IF($B332="","",IF(VLOOKUP($A332,Spiele!$A$2:$F$15,3,FALSE)=$B332,VLOOKUP($A332,Spiele!$A$2:$F$15,4,FALSE),VLOOKUP($A332,Spiele!$A$2:$F$15,3,FALSE)))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$15,3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$15,3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IF($A333="","",IF(VLOOKUP($A333,Spiele!$A$2:$D$15,3,FALSE)=$B333,"H","G"))</f>
        <v>G</v>
      </c>
      <c r="D333" s="17" t="str">
        <f>IF($B333="","",IF(VLOOKUP($A333,Spiele!$A$2:$F$15,3,FALSE)=$B333,VLOOKUP($A333,Spiele!$A$2:$F$15,4,FALSE),VLOOKUP($A333,Spiele!$A$2:$F$15,3,FALSE)))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$15,3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$15,3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IF($A334="","",IF(VLOOKUP($A334,Spiele!$A$2:$D$15,3,FALSE)=$B334,"H","G"))</f>
        <v>H</v>
      </c>
      <c r="D334" s="17" t="str">
        <f>IF($B334="","",IF(VLOOKUP($A334,Spiele!$A$2:$F$15,3,FALSE)=$B334,VLOOKUP($A334,Spiele!$A$2:$F$15,4,FALSE),VLOOKUP($A334,Spiele!$A$2:$F$15,3,FALSE)))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$15,3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$15,3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IF($A335="","",IF(VLOOKUP($A335,Spiele!$A$2:$D$15,3,FALSE)=$B335,"H","G"))</f>
        <v>H</v>
      </c>
      <c r="D335" s="17" t="str">
        <f>IF($B335="","",IF(VLOOKUP($A335,Spiele!$A$2:$F$15,3,FALSE)=$B335,VLOOKUP($A335,Spiele!$A$2:$F$15,4,FALSE),VLOOKUP($A335,Spiele!$A$2:$F$15,3,FALSE)))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$15,3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$15,3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IF($A336="","",IF(VLOOKUP($A336,Spiele!$A$2:$D$15,3,FALSE)=$B336,"H","G"))</f>
        <v>H</v>
      </c>
      <c r="D336" s="17" t="str">
        <f>IF($B336="","",IF(VLOOKUP($A336,Spiele!$A$2:$F$15,3,FALSE)=$B336,VLOOKUP($A336,Spiele!$A$2:$F$15,4,FALSE),VLOOKUP($A336,Spiele!$A$2:$F$15,3,FALSE)))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$15,3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$15,3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IF($A337="","",IF(VLOOKUP($A337,Spiele!$A$2:$D$15,3,FALSE)=$B337,"H","G"))</f>
        <v>H</v>
      </c>
      <c r="D337" s="17" t="str">
        <f>IF($B337="","",IF(VLOOKUP($A337,Spiele!$A$2:$F$15,3,FALSE)=$B337,VLOOKUP($A337,Spiele!$A$2:$F$15,4,FALSE),VLOOKUP($A337,Spiele!$A$2:$F$15,3,FALSE)))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$15,3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$15,3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IF($A338="","",IF(VLOOKUP($A338,Spiele!$A$2:$D$15,3,FALSE)=$B338,"H","G"))</f>
        <v>G</v>
      </c>
      <c r="D338" s="17" t="str">
        <f>IF($B338="","",IF(VLOOKUP($A338,Spiele!$A$2:$F$15,3,FALSE)=$B338,VLOOKUP($A338,Spiele!$A$2:$F$15,4,FALSE),VLOOKUP($A338,Spiele!$A$2:$F$15,3,FALSE)))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$15,3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$15,3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IF($A339="","",IF(VLOOKUP($A339,Spiele!$A$2:$D$15,3,FALSE)=$B339,"H","G"))</f>
        <v>G</v>
      </c>
      <c r="D339" s="17" t="str">
        <f>IF($B339="","",IF(VLOOKUP($A339,Spiele!$A$2:$F$15,3,FALSE)=$B339,VLOOKUP($A339,Spiele!$A$2:$F$15,4,FALSE),VLOOKUP($A339,Spiele!$A$2:$F$15,3,FALSE)))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$15,3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$15,3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IF($A340="","",IF(VLOOKUP($A340,Spiele!$A$2:$D$15,3,FALSE)=$B340,"H","G"))</f>
        <v>H</v>
      </c>
      <c r="D340" s="17" t="str">
        <f>IF($B340="","",IF(VLOOKUP($A340,Spiele!$A$2:$F$15,3,FALSE)=$B340,VLOOKUP($A340,Spiele!$A$2:$F$15,4,FALSE),VLOOKUP($A340,Spiele!$A$2:$F$15,3,FALSE)))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$15,3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$15,3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IF($A341="","",IF(VLOOKUP($A341,Spiele!$A$2:$D$15,3,FALSE)=$B341,"H","G"))</f>
        <v>G</v>
      </c>
      <c r="D341" s="17" t="str">
        <f>IF($B341="","",IF(VLOOKUP($A341,Spiele!$A$2:$F$15,3,FALSE)=$B341,VLOOKUP($A341,Spiele!$A$2:$F$15,4,FALSE),VLOOKUP($A341,Spiele!$A$2:$F$15,3,FALSE)))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$15,3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$15,3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IF($A342="","",IF(VLOOKUP($A342,Spiele!$A$2:$D$15,3,FALSE)=$B342,"H","G"))</f>
        <v>G</v>
      </c>
      <c r="D342" s="17" t="str">
        <f>IF($B342="","",IF(VLOOKUP($A342,Spiele!$A$2:$F$15,3,FALSE)=$B342,VLOOKUP($A342,Spiele!$A$2:$F$15,4,FALSE),VLOOKUP($A342,Spiele!$A$2:$F$15,3,FALSE)))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$15,3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$15,3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IF($A343="","",IF(VLOOKUP($A343,Spiele!$A$2:$D$15,3,FALSE)=$B343,"H","G"))</f>
        <v>H</v>
      </c>
      <c r="D343" s="17" t="str">
        <f>IF($B343="","",IF(VLOOKUP($A343,Spiele!$A$2:$F$15,3,FALSE)=$B343,VLOOKUP($A343,Spiele!$A$2:$F$15,4,FALSE),VLOOKUP($A343,Spiele!$A$2:$F$15,3,FALSE)))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$15,3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$15,3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IF($A344="","",IF(VLOOKUP($A344,Spiele!$A$2:$D$15,3,FALSE)=$B344,"H","G"))</f>
        <v>G</v>
      </c>
      <c r="D344" s="17" t="str">
        <f>IF($B344="","",IF(VLOOKUP($A344,Spiele!$A$2:$F$15,3,FALSE)=$B344,VLOOKUP($A344,Spiele!$A$2:$F$15,4,FALSE),VLOOKUP($A344,Spiele!$A$2:$F$15,3,FALSE)))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$15,3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$15,3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IF($A345="","",IF(VLOOKUP($A345,Spiele!$A$2:$D$15,3,FALSE)=$B345,"H","G"))</f>
        <v>H</v>
      </c>
      <c r="D345" s="17" t="str">
        <f>IF($B345="","",IF(VLOOKUP($A345,Spiele!$A$2:$F$15,3,FALSE)=$B345,VLOOKUP($A345,Spiele!$A$2:$F$15,4,FALSE),VLOOKUP($A345,Spiele!$A$2:$F$15,3,FALSE)))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$15,3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$15,3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IF($A346="","",IF(VLOOKUP($A346,Spiele!$A$2:$D$15,3,FALSE)=$B346,"H","G"))</f>
        <v>G</v>
      </c>
      <c r="D346" s="17" t="str">
        <f>IF($B346="","",IF(VLOOKUP($A346,Spiele!$A$2:$F$15,3,FALSE)=$B346,VLOOKUP($A346,Spiele!$A$2:$F$15,4,FALSE),VLOOKUP($A346,Spiele!$A$2:$F$15,3,FALSE)))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$15,3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$15,3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IF($A347="","",IF(VLOOKUP($A347,Spiele!$A$2:$D$15,3,FALSE)=$B347,"H","G"))</f>
        <v>G</v>
      </c>
      <c r="D347" s="17" t="str">
        <f>IF($B347="","",IF(VLOOKUP($A347,Spiele!$A$2:$F$15,3,FALSE)=$B347,VLOOKUP($A347,Spiele!$A$2:$F$15,4,FALSE),VLOOKUP($A347,Spiele!$A$2:$F$15,3,FALSE)))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$15,3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$15,3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IF($A348="","",IF(VLOOKUP($A348,Spiele!$A$2:$D$15,3,FALSE)=$B348,"H","G"))</f>
        <v>G</v>
      </c>
      <c r="D348" s="17" t="str">
        <f>IF($B348="","",IF(VLOOKUP($A348,Spiele!$A$2:$F$15,3,FALSE)=$B348,VLOOKUP($A348,Spiele!$A$2:$F$15,4,FALSE),VLOOKUP($A348,Spiele!$A$2:$F$15,3,FALSE)))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$15,3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$15,3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IF($A349="","",IF(VLOOKUP($A349,Spiele!$A$2:$D$15,3,FALSE)=$B349,"H","G"))</f>
        <v>H</v>
      </c>
      <c r="D349" s="17" t="str">
        <f>IF($B349="","",IF(VLOOKUP($A349,Spiele!$A$2:$F$15,3,FALSE)=$B349,VLOOKUP($A349,Spiele!$A$2:$F$15,4,FALSE),VLOOKUP($A349,Spiele!$A$2:$F$15,3,FALSE)))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$15,3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$15,3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IF($A350="","",IF(VLOOKUP($A350,Spiele!$A$2:$D$15,3,FALSE)=$B350,"H","G"))</f>
        <v>H</v>
      </c>
      <c r="D350" s="17" t="str">
        <f>IF($B350="","",IF(VLOOKUP($A350,Spiele!$A$2:$F$15,3,FALSE)=$B350,VLOOKUP($A350,Spiele!$A$2:$F$15,4,FALSE),VLOOKUP($A350,Spiele!$A$2:$F$15,3,FALSE)))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$15,3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$15,3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IF($A351="","",IF(VLOOKUP($A351,Spiele!$A$2:$D$15,3,FALSE)=$B351,"H","G"))</f>
        <v>H</v>
      </c>
      <c r="D351" s="17" t="str">
        <f>IF($B351="","",IF(VLOOKUP($A351,Spiele!$A$2:$F$15,3,FALSE)=$B351,VLOOKUP($A351,Spiele!$A$2:$F$15,4,FALSE),VLOOKUP($A351,Spiele!$A$2:$F$15,3,FALSE)))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$15,3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$15,3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IF($A352="","",IF(VLOOKUP($A352,Spiele!$A$2:$D$15,3,FALSE)=$B352,"H","G"))</f>
        <v>G</v>
      </c>
      <c r="D352" s="17" t="str">
        <f>IF($B352="","",IF(VLOOKUP($A352,Spiele!$A$2:$F$15,3,FALSE)=$B352,VLOOKUP($A352,Spiele!$A$2:$F$15,4,FALSE),VLOOKUP($A352,Spiele!$A$2:$F$15,3,FALSE)))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$15,3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$15,3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IF($A353="","",IF(VLOOKUP($A353,Spiele!$A$2:$D$15,3,FALSE)=$B353,"H","G"))</f>
        <v>H</v>
      </c>
      <c r="D353" s="17" t="str">
        <f>IF($B353="","",IF(VLOOKUP($A353,Spiele!$A$2:$F$15,3,FALSE)=$B353,VLOOKUP($A353,Spiele!$A$2:$F$15,4,FALSE),VLOOKUP($A353,Spiele!$A$2:$F$15,3,FALSE)))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$15,3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$15,3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IF($A354="","",IF(VLOOKUP($A354,Spiele!$A$2:$D$15,3,FALSE)=$B354,"H","G"))</f>
        <v>G</v>
      </c>
      <c r="D354" s="17" t="str">
        <f>IF($B354="","",IF(VLOOKUP($A354,Spiele!$A$2:$F$15,3,FALSE)=$B354,VLOOKUP($A354,Spiele!$A$2:$F$15,4,FALSE),VLOOKUP($A354,Spiele!$A$2:$F$15,3,FALSE)))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$15,3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$15,3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IF($A355="","",IF(VLOOKUP($A355,Spiele!$A$2:$D$15,3,FALSE)=$B355,"H","G"))</f>
        <v>G</v>
      </c>
      <c r="D355" s="17" t="str">
        <f>IF($B355="","",IF(VLOOKUP($A355,Spiele!$A$2:$F$15,3,FALSE)=$B355,VLOOKUP($A355,Spiele!$A$2:$F$15,4,FALSE),VLOOKUP($A355,Spiele!$A$2:$F$15,3,FALSE)))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$15,3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$15,3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IF($A356="","",IF(VLOOKUP($A356,Spiele!$A$2:$D$15,3,FALSE)=$B356,"H","G"))</f>
        <v>H</v>
      </c>
      <c r="D356" s="17" t="str">
        <f>IF($B356="","",IF(VLOOKUP($A356,Spiele!$A$2:$F$15,3,FALSE)=$B356,VLOOKUP($A356,Spiele!$A$2:$F$15,4,FALSE),VLOOKUP($A356,Spiele!$A$2:$F$15,3,FALSE)))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$15,3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$15,3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IF($A357="","",IF(VLOOKUP($A357,Spiele!$A$2:$D$15,3,FALSE)=$B357,"H","G"))</f>
        <v>H</v>
      </c>
      <c r="D357" s="17" t="str">
        <f>IF($B357="","",IF(VLOOKUP($A357,Spiele!$A$2:$F$15,3,FALSE)=$B357,VLOOKUP($A357,Spiele!$A$2:$F$15,4,FALSE),VLOOKUP($A357,Spiele!$A$2:$F$15,3,FALSE)))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$15,3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$15,3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IF($A358="","",IF(VLOOKUP($A358,Spiele!$A$2:$D$15,3,FALSE)=$B358,"H","G"))</f>
        <v>G</v>
      </c>
      <c r="D358" s="17" t="str">
        <f>IF($B358="","",IF(VLOOKUP($A358,Spiele!$A$2:$F$15,3,FALSE)=$B358,VLOOKUP($A358,Spiele!$A$2:$F$15,4,FALSE),VLOOKUP($A358,Spiele!$A$2:$F$15,3,FALSE)))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$15,3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$15,3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IF($A359="","",IF(VLOOKUP($A359,Spiele!$A$2:$D$15,3,FALSE)=$B359,"H","G"))</f>
        <v>H</v>
      </c>
      <c r="D359" s="17" t="str">
        <f>IF($B359="","",IF(VLOOKUP($A359,Spiele!$A$2:$F$15,3,FALSE)=$B359,VLOOKUP($A359,Spiele!$A$2:$F$15,4,FALSE),VLOOKUP($A359,Spiele!$A$2:$F$15,3,FALSE)))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$15,3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$15,3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IF($A360="","",IF(VLOOKUP($A360,Spiele!$A$2:$D$15,3,FALSE)=$B360,"H","G"))</f>
        <v>G</v>
      </c>
      <c r="D360" s="17" t="str">
        <f>IF($B360="","",IF(VLOOKUP($A360,Spiele!$A$2:$F$15,3,FALSE)=$B360,VLOOKUP($A360,Spiele!$A$2:$F$15,4,FALSE),VLOOKUP($A360,Spiele!$A$2:$F$15,3,FALSE)))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$15,3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$15,3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IF($A361="","",IF(VLOOKUP($A361,Spiele!$A$2:$D$15,3,FALSE)=$B361,"H","G"))</f>
        <v>H</v>
      </c>
      <c r="D361" s="17" t="str">
        <f>IF($B361="","",IF(VLOOKUP($A361,Spiele!$A$2:$F$15,3,FALSE)=$B361,VLOOKUP($A361,Spiele!$A$2:$F$15,4,FALSE),VLOOKUP($A361,Spiele!$A$2:$F$15,3,FALSE)))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$15,3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$15,3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IF($A362="","",IF(VLOOKUP($A362,Spiele!$A$2:$D$15,3,FALSE)=$B362,"H","G"))</f>
        <v>H</v>
      </c>
      <c r="D362" s="17" t="str">
        <f>IF($B362="","",IF(VLOOKUP($A362,Spiele!$A$2:$F$15,3,FALSE)=$B362,VLOOKUP($A362,Spiele!$A$2:$F$15,4,FALSE),VLOOKUP($A362,Spiele!$A$2:$F$15,3,FALSE)))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$15,3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$15,3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IF($A363="","",IF(VLOOKUP($A363,Spiele!$A$2:$D$15,3,FALSE)=$B363,"H","G"))</f>
        <v>G</v>
      </c>
      <c r="D363" s="17" t="str">
        <f>IF($B363="","",IF(VLOOKUP($A363,Spiele!$A$2:$F$15,3,FALSE)=$B363,VLOOKUP($A363,Spiele!$A$2:$F$15,4,FALSE),VLOOKUP($A363,Spiele!$A$2:$F$15,3,FALSE)))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$15,3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$15,3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IF($A364="","",IF(VLOOKUP($A364,Spiele!$A$2:$D$15,3,FALSE)=$B364,"H","G"))</f>
        <v>G</v>
      </c>
      <c r="D364" s="17" t="str">
        <f>IF($B364="","",IF(VLOOKUP($A364,Spiele!$A$2:$F$15,3,FALSE)=$B364,VLOOKUP($A364,Spiele!$A$2:$F$15,4,FALSE),VLOOKUP($A364,Spiele!$A$2:$F$15,3,FALSE)))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$15,3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$15,3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IF($A365="","",IF(VLOOKUP($A365,Spiele!$A$2:$D$15,3,FALSE)=$B365,"H","G"))</f>
        <v>H</v>
      </c>
      <c r="D365" s="17" t="str">
        <f>IF($B365="","",IF(VLOOKUP($A365,Spiele!$A$2:$F$15,3,FALSE)=$B365,VLOOKUP($A365,Spiele!$A$2:$F$15,4,FALSE),VLOOKUP($A365,Spiele!$A$2:$F$15,3,FALSE)))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$15,3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$15,3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IF($A366="","",IF(VLOOKUP($A366,Spiele!$A$2:$D$15,3,FALSE)=$B366,"H","G"))</f>
        <v>H</v>
      </c>
      <c r="D366" s="17" t="str">
        <f>IF($B366="","",IF(VLOOKUP($A366,Spiele!$A$2:$F$15,3,FALSE)=$B366,VLOOKUP($A366,Spiele!$A$2:$F$15,4,FALSE),VLOOKUP($A366,Spiele!$A$2:$F$15,3,FALSE)))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$15,3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$15,3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IF($A367="","",IF(VLOOKUP($A367,Spiele!$A$2:$D$15,3,FALSE)=$B367,"H","G"))</f>
        <v>H</v>
      </c>
      <c r="D367" s="17" t="str">
        <f>IF($B367="","",IF(VLOOKUP($A367,Spiele!$A$2:$F$15,3,FALSE)=$B367,VLOOKUP($A367,Spiele!$A$2:$F$15,4,FALSE),VLOOKUP($A367,Spiele!$A$2:$F$15,3,FALSE)))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$15,3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$15,3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IF($A368="","",IF(VLOOKUP($A368,Spiele!$A$2:$D$15,3,FALSE)=$B368,"H","G"))</f>
        <v>H</v>
      </c>
      <c r="D368" s="17" t="str">
        <f>IF($B368="","",IF(VLOOKUP($A368,Spiele!$A$2:$F$15,3,FALSE)=$B368,VLOOKUP($A368,Spiele!$A$2:$F$15,4,FALSE),VLOOKUP($A368,Spiele!$A$2:$F$15,3,FALSE)))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$15,3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$15,3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IF($A369="","",IF(VLOOKUP($A369,Spiele!$A$2:$D$15,3,FALSE)=$B369,"H","G"))</f>
        <v>G</v>
      </c>
      <c r="D369" s="17" t="str">
        <f>IF($B369="","",IF(VLOOKUP($A369,Spiele!$A$2:$F$15,3,FALSE)=$B369,VLOOKUP($A369,Spiele!$A$2:$F$15,4,FALSE),VLOOKUP($A369,Spiele!$A$2:$F$15,3,FALSE)))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$15,3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$15,3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IF($A370="","",IF(VLOOKUP($A370,Spiele!$A$2:$D$15,3,FALSE)=$B370,"H","G"))</f>
        <v>H</v>
      </c>
      <c r="D370" s="17" t="str">
        <f>IF($B370="","",IF(VLOOKUP($A370,Spiele!$A$2:$F$15,3,FALSE)=$B370,VLOOKUP($A370,Spiele!$A$2:$F$15,4,FALSE),VLOOKUP($A370,Spiele!$A$2:$F$15,3,FALSE)))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$15,3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$15,3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390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390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IF($A371="","",IF(VLOOKUP($A371,Spiele!$A$2:$D$15,3,FALSE)=$B371,"H","G"))</f>
        <v>G</v>
      </c>
      <c r="D371" s="17" t="str">
        <f>IF($B371="","",IF(VLOOKUP($A371,Spiele!$A$2:$F$15,3,FALSE)=$B371,VLOOKUP($A371,Spiele!$A$2:$F$15,4,FALSE),VLOOKUP($A371,Spiele!$A$2:$F$15,3,FALSE)))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$15,3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$15,3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IF($A372="","",IF(VLOOKUP($A372,Spiele!$A$2:$D$15,3,FALSE)=$B372,"H","G"))</f>
        <v>G</v>
      </c>
      <c r="D372" s="17" t="str">
        <f>IF($B372="","",IF(VLOOKUP($A372,Spiele!$A$2:$F$15,3,FALSE)=$B372,VLOOKUP($A372,Spiele!$A$2:$F$15,4,FALSE),VLOOKUP($A372,Spiele!$A$2:$F$15,3,FALSE)))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$15,3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$15,3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IF($A373="","",IF(VLOOKUP($A373,Spiele!$A$2:$D$15,3,FALSE)=$B373,"H","G"))</f>
        <v>G</v>
      </c>
      <c r="D373" s="17" t="str">
        <f>IF($B373="","",IF(VLOOKUP($A373,Spiele!$A$2:$F$15,3,FALSE)=$B373,VLOOKUP($A373,Spiele!$A$2:$F$15,4,FALSE),VLOOKUP($A373,Spiele!$A$2:$F$15,3,FALSE)))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$15,3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$15,3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IF($A374="","",IF(VLOOKUP($A374,Spiele!$A$2:$D$15,3,FALSE)=$B374,"H","G"))</f>
        <v>H</v>
      </c>
      <c r="D374" s="17" t="str">
        <f>IF($B374="","",IF(VLOOKUP($A374,Spiele!$A$2:$F$15,3,FALSE)=$B374,VLOOKUP($A374,Spiele!$A$2:$F$15,4,FALSE),VLOOKUP($A374,Spiele!$A$2:$F$15,3,FALSE)))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$15,3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$15,3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IF($A375="","",IF(VLOOKUP($A375,Spiele!$A$2:$D$15,3,FALSE)=$B375,"H","G"))</f>
        <v>H</v>
      </c>
      <c r="D375" s="17" t="str">
        <f>IF($B375="","",IF(VLOOKUP($A375,Spiele!$A$2:$F$15,3,FALSE)=$B375,VLOOKUP($A375,Spiele!$A$2:$F$15,4,FALSE),VLOOKUP($A375,Spiele!$A$2:$F$15,3,FALSE)))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$15,3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$15,3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IF($A376="","",IF(VLOOKUP($A376,Spiele!$A$2:$D$15,3,FALSE)=$B376,"H","G"))</f>
        <v>H</v>
      </c>
      <c r="D376" s="17" t="str">
        <f>IF($B376="","",IF(VLOOKUP($A376,Spiele!$A$2:$F$15,3,FALSE)=$B376,VLOOKUP($A376,Spiele!$A$2:$F$15,4,FALSE),VLOOKUP($A376,Spiele!$A$2:$F$15,3,FALSE)))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$15,3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$15,3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IF($A377="","",IF(VLOOKUP($A377,Spiele!$A$2:$D$15,3,FALSE)=$B377,"H","G"))</f>
        <v>G</v>
      </c>
      <c r="D377" s="17" t="str">
        <f>IF($B377="","",IF(VLOOKUP($A377,Spiele!$A$2:$F$15,3,FALSE)=$B377,VLOOKUP($A377,Spiele!$A$2:$F$15,4,FALSE),VLOOKUP($A377,Spiele!$A$2:$F$15,3,FALSE)))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$15,3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$15,3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IF($A378="","",IF(VLOOKUP($A378,Spiele!$A$2:$D$15,3,FALSE)=$B378,"H","G"))</f>
        <v>H</v>
      </c>
      <c r="D378" s="17" t="str">
        <f>IF($B378="","",IF(VLOOKUP($A378,Spiele!$A$2:$F$15,3,FALSE)=$B378,VLOOKUP($A378,Spiele!$A$2:$F$15,4,FALSE),VLOOKUP($A378,Spiele!$A$2:$F$15,3,FALSE)))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$15,3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$15,3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IF($A379="","",IF(VLOOKUP($A379,Spiele!$A$2:$D$15,3,FALSE)=$B379,"H","G"))</f>
        <v>G</v>
      </c>
      <c r="D379" s="17" t="str">
        <f>IF($B379="","",IF(VLOOKUP($A379,Spiele!$A$2:$F$15,3,FALSE)=$B379,VLOOKUP($A379,Spiele!$A$2:$F$15,4,FALSE),VLOOKUP($A379,Spiele!$A$2:$F$15,3,FALSE)))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$15,3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$15,3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IF($A380="","",IF(VLOOKUP($A380,Spiele!$A$2:$D$15,3,FALSE)=$B380,"H","G"))</f>
        <v>G</v>
      </c>
      <c r="D380" s="17" t="str">
        <f>IF($B380="","",IF(VLOOKUP($A380,Spiele!$A$2:$F$15,3,FALSE)=$B380,VLOOKUP($A380,Spiele!$A$2:$F$15,4,FALSE),VLOOKUP($A380,Spiele!$A$2:$F$15,3,FALSE)))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$15,3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$15,3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IF($A381="","",IF(VLOOKUP($A381,Spiele!$A$2:$D$15,3,FALSE)=$B381,"H","G"))</f>
        <v>H</v>
      </c>
      <c r="D381" s="17" t="str">
        <f>IF($B381="","",IF(VLOOKUP($A381,Spiele!$A$2:$F$15,3,FALSE)=$B381,VLOOKUP($A381,Spiele!$A$2:$F$15,4,FALSE),VLOOKUP($A381,Spiele!$A$2:$F$15,3,FALSE)))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$15,3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$15,3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3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IF($A382="","",IF(VLOOKUP($A382,Spiele!$A$2:$D$15,3,FALSE)=$B382,"H","G"))</f>
        <v>H</v>
      </c>
      <c r="D382" s="17" t="str">
        <f>IF($B382="","",IF(VLOOKUP($A382,Spiele!$A$2:$F$15,3,FALSE)=$B382,VLOOKUP($A382,Spiele!$A$2:$F$15,4,FALSE),VLOOKUP($A382,Spiele!$A$2:$F$15,3,FALSE)))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$15,3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$15,3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IF($A383="","",IF(VLOOKUP($A383,Spiele!$A$2:$D$15,3,FALSE)=$B383,"H","G"))</f>
        <v>G</v>
      </c>
      <c r="D383" s="17" t="str">
        <f>IF($B383="","",IF(VLOOKUP($A383,Spiele!$A$2:$F$15,3,FALSE)=$B383,VLOOKUP($A383,Spiele!$A$2:$F$15,4,FALSE),VLOOKUP($A383,Spiele!$A$2:$F$15,3,FALSE)))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$15,3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$15,3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IF($A384="","",IF(VLOOKUP($A384,Spiele!$A$2:$D$15,3,FALSE)=$B384,"H","G"))</f>
        <v>H</v>
      </c>
      <c r="D384" s="17" t="str">
        <f>IF($B384="","",IF(VLOOKUP($A384,Spiele!$A$2:$F$15,3,FALSE)=$B384,VLOOKUP($A384,Spiele!$A$2:$F$15,4,FALSE),VLOOKUP($A384,Spiele!$A$2:$F$15,3,FALSE)))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$15,3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$15,3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IF($A385="","",IF(VLOOKUP($A385,Spiele!$A$2:$D$15,3,FALSE)=$B385,"H","G"))</f>
        <v>G</v>
      </c>
      <c r="D385" s="17" t="str">
        <f>IF($B385="","",IF(VLOOKUP($A385,Spiele!$A$2:$F$15,3,FALSE)=$B385,VLOOKUP($A385,Spiele!$A$2:$F$15,4,FALSE),VLOOKUP($A385,Spiele!$A$2:$F$15,3,FALSE)))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$15,3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$15,3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IF($A386="","",IF(VLOOKUP($A386,Spiele!$A$2:$D$15,3,FALSE)=$B386,"H","G"))</f>
        <v>H</v>
      </c>
      <c r="D386" s="17" t="str">
        <f>IF($B386="","",IF(VLOOKUP($A386,Spiele!$A$2:$F$15,3,FALSE)=$B386,VLOOKUP($A386,Spiele!$A$2:$F$15,4,FALSE),VLOOKUP($A386,Spiele!$A$2:$F$15,3,FALSE)))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$15,3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$15,3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390" si="26">IF($L386="ET","",IF($AF386&gt;3.66,SQRT($AG386^2+($AF386-(7.32/2))^2),IF($AF386&lt;-3.66,SQRT($AG386^2+($AF386+(7.32/2))^2),$AG386)))</f>
        <v>5.7996206772512284</v>
      </c>
      <c r="AI386" s="19">
        <f t="shared" ref="AI386:AI390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IF($A387="","",IF(VLOOKUP($A387,Spiele!$A$2:$D$15,3,FALSE)=$B387,"H","G"))</f>
        <v>G</v>
      </c>
      <c r="D387" s="17" t="str">
        <f>IF($B387="","",IF(VLOOKUP($A387,Spiele!$A$2:$F$15,3,FALSE)=$B387,VLOOKUP($A387,Spiele!$A$2:$F$15,4,FALSE),VLOOKUP($A387,Spiele!$A$2:$F$15,3,FALSE)))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$15,3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$15,3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IF($A388="","",IF(VLOOKUP($A388,Spiele!$A$2:$D$15,3,FALSE)=$B388,"H","G"))</f>
        <v>G</v>
      </c>
      <c r="D388" s="17" t="str">
        <f>IF($B388="","",IF(VLOOKUP($A388,Spiele!$A$2:$F$15,3,FALSE)=$B388,VLOOKUP($A388,Spiele!$A$2:$F$15,4,FALSE),VLOOKUP($A388,Spiele!$A$2:$F$15,3,FALSE)))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$15,3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$15,3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IF($A389="","",IF(VLOOKUP($A389,Spiele!$A$2:$D$15,3,FALSE)=$B389,"H","G"))</f>
        <v>G</v>
      </c>
      <c r="D389" s="17" t="str">
        <f>IF($B389="","",IF(VLOOKUP($A389,Spiele!$A$2:$F$15,3,FALSE)=$B389,VLOOKUP($A389,Spiele!$A$2:$F$15,4,FALSE),VLOOKUP($A389,Spiele!$A$2:$F$15,3,FALSE)))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$15,3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$15,3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IF($A390="","",IF(VLOOKUP($A390,Spiele!$A$2:$D$15,3,FALSE)=$B390,"H","G"))</f>
        <v>G</v>
      </c>
      <c r="D390" s="17" t="str">
        <f>IF($B390="","",IF(VLOOKUP($A390,Spiele!$A$2:$F$15,3,FALSE)=$B390,VLOOKUP($A390,Spiele!$A$2:$F$15,4,FALSE),VLOOKUP($A390,Spiele!$A$2:$F$15,3,FALSE)))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$15,3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$15,3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1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2" spans="1:47" ht="25.05" customHeight="1">
      <c r="AC392" s="14"/>
      <c r="AD392" s="14"/>
    </row>
  </sheetData>
  <phoneticPr fontId="5" type="noConversion"/>
  <conditionalFormatting sqref="A2:E390">
    <cfRule type="expression" dxfId="40" priority="127">
      <formula>$C2="H"</formula>
    </cfRule>
  </conditionalFormatting>
  <conditionalFormatting sqref="K2:K390 M2:M390 AC2:AD390 AF2:AG390 AJ2:AL390 AN2:AN390 AR2:AR390">
    <cfRule type="cellIs" dxfId="39" priority="47" operator="notEqual">
      <formula>""</formula>
    </cfRule>
  </conditionalFormatting>
  <conditionalFormatting sqref="K2:M390 AA2:AG390 AJ2:AL390 AN2:AN390 AR2:AR390">
    <cfRule type="expression" dxfId="38" priority="50">
      <formula>$F2&lt;&gt;""</formula>
    </cfRule>
  </conditionalFormatting>
  <conditionalFormatting sqref="L2:L390 AB2:AB390 AE2:AE390">
    <cfRule type="cellIs" dxfId="37" priority="1" operator="notEqual">
      <formula>""</formula>
    </cfRule>
  </conditionalFormatting>
  <conditionalFormatting sqref="M393">
    <cfRule type="cellIs" dxfId="36" priority="122" operator="notEqual">
      <formula>""</formula>
    </cfRule>
    <cfRule type="expression" dxfId="35" priority="123">
      <formula>$F393&lt;&gt;""</formula>
    </cfRule>
  </conditionalFormatting>
  <conditionalFormatting sqref="M2:AU1048576">
    <cfRule type="expression" dxfId="34" priority="48">
      <formula>$L2="ET"</formula>
    </cfRule>
  </conditionalFormatting>
  <conditionalFormatting sqref="N2:N39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93:Z393">
    <cfRule type="expression" dxfId="23" priority="108">
      <formula>$M393="nFS"</formula>
    </cfRule>
    <cfRule type="expression" dxfId="22" priority="107">
      <formula>$M393="n11M"</formula>
    </cfRule>
    <cfRule type="expression" dxfId="21" priority="106">
      <formula>$M393="EW"</formula>
    </cfRule>
    <cfRule type="expression" dxfId="20" priority="105">
      <formula>$M393="nEW"</formula>
    </cfRule>
    <cfRule type="expression" dxfId="19" priority="109">
      <formula>$M393="nE"</formula>
    </cfRule>
    <cfRule type="expression" dxfId="18" priority="110">
      <formula>$M393="FSF"</formula>
    </cfRule>
    <cfRule type="expression" dxfId="17" priority="111">
      <formula>$M393="E"</formula>
    </cfRule>
    <cfRule type="expression" dxfId="16" priority="112">
      <formula>$M393="USO"</formula>
    </cfRule>
    <cfRule type="expression" dxfId="15" priority="124">
      <formula>$M393="EB"</formula>
    </cfRule>
  </conditionalFormatting>
  <conditionalFormatting sqref="N393:AA393">
    <cfRule type="cellIs" dxfId="14" priority="104" operator="notEqual">
      <formula>""</formula>
    </cfRule>
  </conditionalFormatting>
  <conditionalFormatting sqref="AA2:AA390">
    <cfRule type="expression" dxfId="13" priority="54">
      <formula>#REF!=1</formula>
    </cfRule>
    <cfRule type="cellIs" dxfId="12" priority="16" operator="notEqual">
      <formula>""</formula>
    </cfRule>
  </conditionalFormatting>
  <conditionalFormatting sqref="AA393">
    <cfRule type="expression" dxfId="11" priority="125">
      <formula>#REF!=1</formula>
    </cfRule>
  </conditionalFormatting>
  <conditionalFormatting sqref="AC392:AD392">
    <cfRule type="expression" dxfId="10" priority="100">
      <formula>$L392="ET"</formula>
    </cfRule>
    <cfRule type="cellIs" dxfId="9" priority="101" operator="notEqual">
      <formula>""</formula>
    </cfRule>
    <cfRule type="expression" dxfId="8" priority="102">
      <formula>$F392&lt;&gt;""</formula>
    </cfRule>
  </conditionalFormatting>
  <conditionalFormatting sqref="AE2:AE390">
    <cfRule type="expression" dxfId="7" priority="14">
      <formula>$B2&lt;&gt;"FCN"</formula>
    </cfRule>
    <cfRule type="expression" dxfId="6" priority="3">
      <formula>AND($L2="ET", $D2="FCN")</formula>
    </cfRule>
  </conditionalFormatting>
  <conditionalFormatting sqref="AK2:AL390">
    <cfRule type="expression" dxfId="5" priority="2">
      <formula>$AJ2="niT"</formula>
    </cfRule>
  </conditionalFormatting>
  <conditionalFormatting sqref="AO2:AP390">
    <cfRule type="expression" dxfId="4" priority="21">
      <formula>$AN2&gt;0</formula>
    </cfRule>
    <cfRule type="cellIs" dxfId="3" priority="18" operator="notEqual">
      <formula>""</formula>
    </cfRule>
  </conditionalFormatting>
  <conditionalFormatting sqref="AS2:AT390">
    <cfRule type="expression" dxfId="2" priority="55">
      <formula>$AR2&gt;0</formula>
    </cfRule>
    <cfRule type="cellIs" dxfId="1" priority="15" operator="notEqual">
      <formula>""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2025-12-12T12:05:39Z</dcterms:modified>
</cp:coreProperties>
</file>